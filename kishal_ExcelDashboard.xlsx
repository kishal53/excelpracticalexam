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osai\Downloads\"/>
    </mc:Choice>
  </mc:AlternateContent>
  <xr:revisionPtr revIDLastSave="0" documentId="13_ncr:1_{D9D00E8A-AC2D-4CF9-8672-238B36497691}" xr6:coauthVersionLast="47" xr6:coauthVersionMax="47" xr10:uidLastSave="{00000000-0000-0000-0000-000000000000}"/>
  <bookViews>
    <workbookView xWindow="-108" yWindow="-108" windowWidth="23256" windowHeight="12456" firstSheet="3" activeTab="8" xr2:uid="{00000000-000D-0000-FFFF-FFFF00000000}"/>
  </bookViews>
  <sheets>
    <sheet name="1_Raw_Data" sheetId="1" r:id="rId1"/>
    <sheet name="2_Clean_Data" sheetId="2" r:id="rId2"/>
    <sheet name="2_Cleaning_Log" sheetId="3" r:id="rId3"/>
    <sheet name="3_Pivot_Tables" sheetId="4" r:id="rId4"/>
    <sheet name="3_Summary_Tables" sheetId="5" r:id="rId5"/>
    <sheet name="4_Formulas" sheetId="6" r:id="rId6"/>
    <sheet name="5_Visualization" sheetId="7" r:id="rId7"/>
    <sheet name="6_Dashboard" sheetId="8" r:id="rId8"/>
    <sheet name="7_Documentation" sheetId="9" r:id="rId9"/>
  </sheets>
  <definedNames>
    <definedName name="_xlnm._FilterDatabase" localSheetId="1" hidden="1">'2_Clean_Data'!$A$1:$M$1360</definedName>
    <definedName name="_xlnm._FilterDatabase" localSheetId="5" hidden="1">'4_Formulas'!$A$4:$J$1363</definedName>
    <definedName name="_xlnm.Print_Area" localSheetId="7">'6_Dashboard'!$A$1:$N$41</definedName>
    <definedName name="rngAlcohol">'2_Clean_Data'!$L$2:INDEX('2_Clean_Data'!$L:$L,COUNTA('2_Clean_Data'!$A:$A))</definedName>
    <definedName name="rngCitric">'2_Clean_Data'!$D$2:INDEX('2_Clean_Data'!$D:$D,COUNTA('2_Clean_Data'!$A:$A))</definedName>
    <definedName name="rngData">'2_Clean_Data'!$B$2:INDEX('2_Clean_Data'!$M:$M,COUNTA('2_Clean_Data'!$A:$A))</definedName>
    <definedName name="rngPH">'2_Clean_Data'!$J$2:INDEX('2_Clean_Data'!$J:$J,COUNTA('2_Clean_Data'!$A:$A))</definedName>
    <definedName name="rngQuality">'2_Clean_Data'!$M$2:INDEX('2_Clean_Data'!$M:$M,COUNTA('2_Clean_Data'!$A:$A))</definedName>
    <definedName name="rngSulphates">'2_Clean_Data'!$K$2:INDEX('2_Clean_Data'!$K:$K,COUNTA('2_Clean_Data'!$A:$A))</definedName>
    <definedName name="rngVolatile">'2_Clean_Data'!$C$2:INDEX('2_Clean_Data'!$C:$C,COUNTA('2_Clean_Data'!$A:$A))</definedName>
    <definedName name="selAhi">'6_Dashboard'!$Q$6</definedName>
    <definedName name="selAlo">'6_Dashboard'!$Q$5</definedName>
    <definedName name="selQmax">'6_Dashboard'!$Q$4</definedName>
    <definedName name="selQmin">'6_Dashboard'!$Q$3</definedName>
  </definedNames>
  <calcPr calcId="191029" iterateDelta="1E-4"/>
  <pivotCaches>
    <pivotCache cacheId="0" r:id="rId10"/>
    <pivotCache cacheId="1"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16" i="7" l="1"/>
  <c r="L16" i="7"/>
  <c r="K16" i="7"/>
  <c r="J16" i="7"/>
  <c r="I16" i="7"/>
  <c r="H16" i="7"/>
  <c r="G16" i="7"/>
  <c r="F16" i="7"/>
  <c r="E16" i="7"/>
  <c r="D16" i="7"/>
  <c r="C16" i="7"/>
  <c r="B16" i="7"/>
  <c r="A16" i="7"/>
  <c r="M15" i="7"/>
  <c r="L15" i="7"/>
  <c r="K15" i="7"/>
  <c r="J15" i="7"/>
  <c r="I15" i="7"/>
  <c r="H15" i="7"/>
  <c r="G15" i="7"/>
  <c r="F15" i="7"/>
  <c r="E15" i="7"/>
  <c r="D15" i="7"/>
  <c r="C15" i="7"/>
  <c r="B15" i="7"/>
  <c r="A15" i="7"/>
  <c r="M14" i="7"/>
  <c r="L14" i="7"/>
  <c r="K14" i="7"/>
  <c r="J14" i="7"/>
  <c r="I14" i="7"/>
  <c r="H14" i="7"/>
  <c r="G14" i="7"/>
  <c r="F14" i="7"/>
  <c r="E14" i="7"/>
  <c r="D14" i="7"/>
  <c r="C14" i="7"/>
  <c r="B14" i="7"/>
  <c r="A14" i="7"/>
  <c r="M13" i="7"/>
  <c r="L13" i="7"/>
  <c r="K13" i="7"/>
  <c r="J13" i="7"/>
  <c r="I13" i="7"/>
  <c r="H13" i="7"/>
  <c r="G13" i="7"/>
  <c r="F13" i="7"/>
  <c r="E13" i="7"/>
  <c r="D13" i="7"/>
  <c r="C13" i="7"/>
  <c r="B13" i="7"/>
  <c r="A13" i="7"/>
  <c r="M12" i="7"/>
  <c r="L12" i="7"/>
  <c r="K12" i="7"/>
  <c r="J12" i="7"/>
  <c r="I12" i="7"/>
  <c r="H12" i="7"/>
  <c r="G12" i="7"/>
  <c r="F12" i="7"/>
  <c r="E12" i="7"/>
  <c r="D12" i="7"/>
  <c r="C12" i="7"/>
  <c r="B12" i="7"/>
  <c r="A12" i="7"/>
  <c r="M11" i="7"/>
  <c r="L11" i="7"/>
  <c r="K11" i="7"/>
  <c r="J11" i="7"/>
  <c r="I11" i="7"/>
  <c r="H11" i="7"/>
  <c r="G11" i="7"/>
  <c r="F11" i="7"/>
  <c r="E11" i="7"/>
  <c r="D11" i="7"/>
  <c r="C11" i="7"/>
  <c r="B11" i="7"/>
  <c r="A11" i="7"/>
  <c r="M10" i="7"/>
  <c r="L10" i="7"/>
  <c r="K10" i="7"/>
  <c r="J10" i="7"/>
  <c r="I10" i="7"/>
  <c r="H10" i="7"/>
  <c r="G10" i="7"/>
  <c r="F10" i="7"/>
  <c r="E10" i="7"/>
  <c r="D10" i="7"/>
  <c r="C10" i="7"/>
  <c r="B10" i="7"/>
  <c r="A10" i="7"/>
  <c r="M9" i="7"/>
  <c r="L9" i="7"/>
  <c r="K9" i="7"/>
  <c r="J9" i="7"/>
  <c r="I9" i="7"/>
  <c r="H9" i="7"/>
  <c r="G9" i="7"/>
  <c r="F9" i="7"/>
  <c r="E9" i="7"/>
  <c r="D9" i="7"/>
  <c r="C9" i="7"/>
  <c r="B9" i="7"/>
  <c r="A9" i="7"/>
  <c r="M8" i="7"/>
  <c r="L8" i="7"/>
  <c r="K8" i="7"/>
  <c r="J8" i="7"/>
  <c r="I8" i="7"/>
  <c r="H8" i="7"/>
  <c r="G8" i="7"/>
  <c r="F8" i="7"/>
  <c r="E8" i="7"/>
  <c r="D8" i="7"/>
  <c r="C8" i="7"/>
  <c r="B8" i="7"/>
  <c r="A8" i="7"/>
  <c r="M7" i="7"/>
  <c r="L7" i="7"/>
  <c r="K7" i="7"/>
  <c r="J7" i="7"/>
  <c r="I7" i="7"/>
  <c r="H7" i="7"/>
  <c r="G7" i="7"/>
  <c r="F7" i="7"/>
  <c r="E7" i="7"/>
  <c r="D7" i="7"/>
  <c r="C7" i="7"/>
  <c r="B7" i="7"/>
  <c r="A7" i="7"/>
  <c r="M6" i="7"/>
  <c r="L6" i="7"/>
  <c r="K6" i="7"/>
  <c r="J6" i="7"/>
  <c r="I6" i="7"/>
  <c r="H6" i="7"/>
  <c r="G6" i="7"/>
  <c r="F6" i="7"/>
  <c r="E6" i="7"/>
  <c r="D6" i="7"/>
  <c r="C6" i="7"/>
  <c r="B6" i="7"/>
  <c r="A6" i="7"/>
  <c r="M5" i="7"/>
  <c r="L5" i="7"/>
  <c r="K5" i="7"/>
  <c r="J5" i="7"/>
  <c r="I5" i="7"/>
  <c r="H5" i="7"/>
  <c r="G5" i="7"/>
  <c r="F5" i="7"/>
  <c r="E5" i="7"/>
  <c r="D5" i="7"/>
  <c r="C5" i="7"/>
  <c r="B5" i="7"/>
  <c r="A5" i="7"/>
  <c r="M4" i="7"/>
  <c r="L4" i="7"/>
  <c r="K4" i="7"/>
  <c r="J4" i="7"/>
  <c r="I4" i="7"/>
  <c r="H4" i="7"/>
  <c r="G4" i="7"/>
  <c r="F4" i="7"/>
  <c r="E4" i="7"/>
  <c r="D4" i="7"/>
  <c r="C4" i="7"/>
  <c r="B4" i="7"/>
  <c r="A1363" i="6"/>
  <c r="A1362" i="6"/>
  <c r="A1361" i="6"/>
  <c r="A1360" i="6"/>
  <c r="B1359" i="6"/>
  <c r="A1359" i="6"/>
  <c r="A1358" i="6"/>
  <c r="A1357" i="6"/>
  <c r="A1356" i="6"/>
  <c r="A1355" i="6"/>
  <c r="A1354" i="6"/>
  <c r="A1353" i="6"/>
  <c r="A1352" i="6"/>
  <c r="A1351" i="6"/>
  <c r="A1350" i="6"/>
  <c r="A1349" i="6"/>
  <c r="A1348" i="6"/>
  <c r="A1347" i="6"/>
  <c r="A1346" i="6"/>
  <c r="A1345" i="6"/>
  <c r="A1344" i="6"/>
  <c r="A1343" i="6"/>
  <c r="A1342" i="6"/>
  <c r="A1341" i="6"/>
  <c r="A1340" i="6"/>
  <c r="A1339" i="6"/>
  <c r="A1338" i="6"/>
  <c r="A1337" i="6"/>
  <c r="A1336" i="6"/>
  <c r="A1335" i="6"/>
  <c r="A1334" i="6"/>
  <c r="A1333" i="6"/>
  <c r="A1332" i="6"/>
  <c r="A1331" i="6"/>
  <c r="A1330" i="6"/>
  <c r="G1329" i="6"/>
  <c r="H1329" i="6" s="1"/>
  <c r="A1329" i="6"/>
  <c r="A1328" i="6"/>
  <c r="A1327" i="6"/>
  <c r="A1326" i="6"/>
  <c r="A1325" i="6"/>
  <c r="A1324" i="6"/>
  <c r="A1323" i="6"/>
  <c r="A1322" i="6"/>
  <c r="A1321" i="6"/>
  <c r="A1320" i="6"/>
  <c r="A1319" i="6"/>
  <c r="A1318" i="6"/>
  <c r="A1317" i="6"/>
  <c r="A1316" i="6"/>
  <c r="A1315" i="6"/>
  <c r="A1314" i="6"/>
  <c r="A1313" i="6"/>
  <c r="A1312" i="6"/>
  <c r="A1311" i="6"/>
  <c r="A1310" i="6"/>
  <c r="B1309" i="6"/>
  <c r="A1309" i="6"/>
  <c r="A1308" i="6"/>
  <c r="A1307" i="6"/>
  <c r="B1306" i="6"/>
  <c r="A1306" i="6"/>
  <c r="A1305" i="6"/>
  <c r="A1304" i="6"/>
  <c r="A1303" i="6"/>
  <c r="A1302" i="6"/>
  <c r="A1301" i="6"/>
  <c r="B1300" i="6"/>
  <c r="A1300" i="6"/>
  <c r="A1299" i="6"/>
  <c r="A1298" i="6"/>
  <c r="A1297" i="6"/>
  <c r="A1296" i="6"/>
  <c r="A1295" i="6"/>
  <c r="A1294" i="6"/>
  <c r="A1293" i="6"/>
  <c r="A1292" i="6"/>
  <c r="A1291" i="6"/>
  <c r="A1290" i="6"/>
  <c r="A1289" i="6"/>
  <c r="A1288" i="6"/>
  <c r="A1287" i="6"/>
  <c r="A1286" i="6"/>
  <c r="A1285" i="6"/>
  <c r="D1284" i="6"/>
  <c r="E1284" i="6" s="1"/>
  <c r="A1284" i="6"/>
  <c r="B1283" i="6"/>
  <c r="A1283" i="6"/>
  <c r="A1282" i="6"/>
  <c r="A1281" i="6"/>
  <c r="A1280" i="6"/>
  <c r="A1279" i="6"/>
  <c r="A1278" i="6"/>
  <c r="A1277" i="6"/>
  <c r="A1276" i="6"/>
  <c r="A1275" i="6"/>
  <c r="A1274" i="6"/>
  <c r="A1273" i="6"/>
  <c r="B1272" i="6"/>
  <c r="A1272" i="6"/>
  <c r="A1271" i="6"/>
  <c r="A1270" i="6"/>
  <c r="A1269" i="6"/>
  <c r="A1268" i="6"/>
  <c r="A1267" i="6"/>
  <c r="A1266" i="6"/>
  <c r="A1265" i="6"/>
  <c r="A1264" i="6"/>
  <c r="A1263" i="6"/>
  <c r="A1262" i="6"/>
  <c r="A1261" i="6"/>
  <c r="A1260" i="6"/>
  <c r="A1259" i="6"/>
  <c r="A1258" i="6"/>
  <c r="A1257" i="6"/>
  <c r="A1256" i="6"/>
  <c r="A1255" i="6"/>
  <c r="A1254" i="6"/>
  <c r="B1253" i="6"/>
  <c r="A1253" i="6"/>
  <c r="A1252" i="6"/>
  <c r="B1251" i="6"/>
  <c r="A1251" i="6"/>
  <c r="A1250" i="6"/>
  <c r="A1249" i="6"/>
  <c r="A1248" i="6"/>
  <c r="A1247" i="6"/>
  <c r="A1246" i="6"/>
  <c r="A1245" i="6"/>
  <c r="A1244" i="6"/>
  <c r="A1243" i="6"/>
  <c r="A1242" i="6"/>
  <c r="B1241" i="6"/>
  <c r="A1241" i="6"/>
  <c r="A1240" i="6"/>
  <c r="A1239" i="6"/>
  <c r="A1238" i="6"/>
  <c r="A1237" i="6"/>
  <c r="A1236" i="6"/>
  <c r="A1235" i="6"/>
  <c r="A1234" i="6"/>
  <c r="A1233" i="6"/>
  <c r="A1232" i="6"/>
  <c r="A1231" i="6"/>
  <c r="A1230" i="6"/>
  <c r="A1229" i="6"/>
  <c r="B1228" i="6"/>
  <c r="A1228" i="6"/>
  <c r="A1227" i="6"/>
  <c r="A1226" i="6"/>
  <c r="B1225" i="6"/>
  <c r="A1225" i="6"/>
  <c r="A1224" i="6"/>
  <c r="A1223" i="6"/>
  <c r="A1222" i="6"/>
  <c r="A1221" i="6"/>
  <c r="A1220" i="6"/>
  <c r="A1219" i="6"/>
  <c r="B1218" i="6"/>
  <c r="A1218" i="6"/>
  <c r="A1217" i="6"/>
  <c r="A1216" i="6"/>
  <c r="A1215" i="6"/>
  <c r="A1214" i="6"/>
  <c r="A1213" i="6"/>
  <c r="A1212" i="6"/>
  <c r="A1211" i="6"/>
  <c r="A1210" i="6"/>
  <c r="A1209" i="6"/>
  <c r="A1208" i="6"/>
  <c r="A1207" i="6"/>
  <c r="A1206" i="6"/>
  <c r="A1205" i="6"/>
  <c r="A1204" i="6"/>
  <c r="A1203" i="6"/>
  <c r="A1202" i="6"/>
  <c r="A1201" i="6"/>
  <c r="A1200" i="6"/>
  <c r="A1199" i="6"/>
  <c r="A1198" i="6"/>
  <c r="A1197" i="6"/>
  <c r="A1196" i="6"/>
  <c r="A1195" i="6"/>
  <c r="A1194" i="6"/>
  <c r="A1193" i="6"/>
  <c r="A1192" i="6"/>
  <c r="A1191" i="6"/>
  <c r="A1190" i="6"/>
  <c r="A1189" i="6"/>
  <c r="A1188" i="6"/>
  <c r="A1187" i="6"/>
  <c r="A1186" i="6"/>
  <c r="A1185" i="6"/>
  <c r="A1184" i="6"/>
  <c r="A1183" i="6"/>
  <c r="A1182" i="6"/>
  <c r="A1181" i="6"/>
  <c r="A1180" i="6"/>
  <c r="A1179" i="6"/>
  <c r="A1178" i="6"/>
  <c r="A1177" i="6"/>
  <c r="A1176" i="6"/>
  <c r="A1175" i="6"/>
  <c r="A1174" i="6"/>
  <c r="A1173" i="6"/>
  <c r="A1172" i="6"/>
  <c r="A1171" i="6"/>
  <c r="A1170" i="6"/>
  <c r="A1169" i="6"/>
  <c r="A1168" i="6"/>
  <c r="A1167" i="6"/>
  <c r="A1166" i="6"/>
  <c r="A1165" i="6"/>
  <c r="A1164" i="6"/>
  <c r="A1163" i="6"/>
  <c r="A1162" i="6"/>
  <c r="A1161" i="6"/>
  <c r="A1160" i="6"/>
  <c r="A1159" i="6"/>
  <c r="A1158" i="6"/>
  <c r="A1157" i="6"/>
  <c r="A1156" i="6"/>
  <c r="A1155" i="6"/>
  <c r="A1154" i="6"/>
  <c r="A1153" i="6"/>
  <c r="A1152" i="6"/>
  <c r="A1151" i="6"/>
  <c r="A1150" i="6"/>
  <c r="A1149" i="6"/>
  <c r="A1148" i="6"/>
  <c r="A1147" i="6"/>
  <c r="A1146" i="6"/>
  <c r="A1145" i="6"/>
  <c r="A1144" i="6"/>
  <c r="A1143" i="6"/>
  <c r="A1142" i="6"/>
  <c r="A1141" i="6"/>
  <c r="A1140" i="6"/>
  <c r="A1139" i="6"/>
  <c r="A1138" i="6"/>
  <c r="A1137" i="6"/>
  <c r="A1136" i="6"/>
  <c r="A1135" i="6"/>
  <c r="A1134" i="6"/>
  <c r="A1133" i="6"/>
  <c r="A1132" i="6"/>
  <c r="A1131" i="6"/>
  <c r="A1130" i="6"/>
  <c r="A1129" i="6"/>
  <c r="A1128" i="6"/>
  <c r="A1127" i="6"/>
  <c r="A1126" i="6"/>
  <c r="A1125" i="6"/>
  <c r="A1124" i="6"/>
  <c r="A1123" i="6"/>
  <c r="A1122" i="6"/>
  <c r="A1121" i="6"/>
  <c r="A1120" i="6"/>
  <c r="A1119" i="6"/>
  <c r="A1118" i="6"/>
  <c r="A1117" i="6"/>
  <c r="A1116" i="6"/>
  <c r="A1115" i="6"/>
  <c r="A1114" i="6"/>
  <c r="A1113" i="6"/>
  <c r="A1112" i="6"/>
  <c r="A1111" i="6"/>
  <c r="A1110" i="6"/>
  <c r="A1109" i="6"/>
  <c r="A1108" i="6"/>
  <c r="A1107" i="6"/>
  <c r="A1106" i="6"/>
  <c r="A1105" i="6"/>
  <c r="A1104" i="6"/>
  <c r="A1103" i="6"/>
  <c r="A1102" i="6"/>
  <c r="A1101" i="6"/>
  <c r="A1100" i="6"/>
  <c r="A1099" i="6"/>
  <c r="A1098" i="6"/>
  <c r="A1097" i="6"/>
  <c r="A1096" i="6"/>
  <c r="A1095" i="6"/>
  <c r="A1094" i="6"/>
  <c r="A1093" i="6"/>
  <c r="A1092" i="6"/>
  <c r="A1091" i="6"/>
  <c r="A1090" i="6"/>
  <c r="A1089" i="6"/>
  <c r="A1088" i="6"/>
  <c r="A1087" i="6"/>
  <c r="A1086" i="6"/>
  <c r="A1085" i="6"/>
  <c r="A1084" i="6"/>
  <c r="A1083" i="6"/>
  <c r="A1082" i="6"/>
  <c r="A1081" i="6"/>
  <c r="A1080" i="6"/>
  <c r="A1079" i="6"/>
  <c r="A1078" i="6"/>
  <c r="A1077" i="6"/>
  <c r="A1076" i="6"/>
  <c r="A1075" i="6"/>
  <c r="A1074" i="6"/>
  <c r="A1073" i="6"/>
  <c r="A1072" i="6"/>
  <c r="A1071" i="6"/>
  <c r="A1070" i="6"/>
  <c r="A1069" i="6"/>
  <c r="A1068" i="6"/>
  <c r="A1067" i="6"/>
  <c r="A1066" i="6"/>
  <c r="A1065" i="6"/>
  <c r="A1064" i="6"/>
  <c r="A1063" i="6"/>
  <c r="A1062" i="6"/>
  <c r="A1061" i="6"/>
  <c r="A1060" i="6"/>
  <c r="A1059" i="6"/>
  <c r="A1058" i="6"/>
  <c r="A1057" i="6"/>
  <c r="A1056" i="6"/>
  <c r="A1055" i="6"/>
  <c r="A1054" i="6"/>
  <c r="A1053" i="6"/>
  <c r="A1052" i="6"/>
  <c r="A1051" i="6"/>
  <c r="A1050" i="6"/>
  <c r="A1049" i="6"/>
  <c r="A1048" i="6"/>
  <c r="A1047" i="6"/>
  <c r="A1046" i="6"/>
  <c r="A1045" i="6"/>
  <c r="A1044" i="6"/>
  <c r="A1043" i="6"/>
  <c r="A1042" i="6"/>
  <c r="A1041" i="6"/>
  <c r="A1040" i="6"/>
  <c r="A1039" i="6"/>
  <c r="A1038" i="6"/>
  <c r="A1037" i="6"/>
  <c r="A1036" i="6"/>
  <c r="A1035" i="6"/>
  <c r="A1034" i="6"/>
  <c r="A1033" i="6"/>
  <c r="A1032" i="6"/>
  <c r="A1031" i="6"/>
  <c r="A1030" i="6"/>
  <c r="A1029" i="6"/>
  <c r="A1028" i="6"/>
  <c r="A1027" i="6"/>
  <c r="A1026" i="6"/>
  <c r="A1025" i="6"/>
  <c r="A1024" i="6"/>
  <c r="A1023" i="6"/>
  <c r="A1022" i="6"/>
  <c r="A1021" i="6"/>
  <c r="A1020" i="6"/>
  <c r="A1019" i="6"/>
  <c r="A1018" i="6"/>
  <c r="A1017" i="6"/>
  <c r="A1016" i="6"/>
  <c r="A1015" i="6"/>
  <c r="A1014" i="6"/>
  <c r="A1013" i="6"/>
  <c r="A1012" i="6"/>
  <c r="A1011" i="6"/>
  <c r="A1010" i="6"/>
  <c r="A1009" i="6"/>
  <c r="A1008" i="6"/>
  <c r="A1007" i="6"/>
  <c r="A1006" i="6"/>
  <c r="A1005" i="6"/>
  <c r="A1004" i="6"/>
  <c r="A1003" i="6"/>
  <c r="A1002" i="6"/>
  <c r="A1001" i="6"/>
  <c r="A1000" i="6"/>
  <c r="A999" i="6"/>
  <c r="A998" i="6"/>
  <c r="A997" i="6"/>
  <c r="A996" i="6"/>
  <c r="A995" i="6"/>
  <c r="A994" i="6"/>
  <c r="A993" i="6"/>
  <c r="A992" i="6"/>
  <c r="A991" i="6"/>
  <c r="A990" i="6"/>
  <c r="A989" i="6"/>
  <c r="A988" i="6"/>
  <c r="A987" i="6"/>
  <c r="A986" i="6"/>
  <c r="A985" i="6"/>
  <c r="A984" i="6"/>
  <c r="A983" i="6"/>
  <c r="A982" i="6"/>
  <c r="A981" i="6"/>
  <c r="A980" i="6"/>
  <c r="A979" i="6"/>
  <c r="A978" i="6"/>
  <c r="A977" i="6"/>
  <c r="A976" i="6"/>
  <c r="A975" i="6"/>
  <c r="A974" i="6"/>
  <c r="A973" i="6"/>
  <c r="A972" i="6"/>
  <c r="A971" i="6"/>
  <c r="A970" i="6"/>
  <c r="A969" i="6"/>
  <c r="A968" i="6"/>
  <c r="A967" i="6"/>
  <c r="A966" i="6"/>
  <c r="A965" i="6"/>
  <c r="A964" i="6"/>
  <c r="A963" i="6"/>
  <c r="A962" i="6"/>
  <c r="A961" i="6"/>
  <c r="A960" i="6"/>
  <c r="A959" i="6"/>
  <c r="A958" i="6"/>
  <c r="A957" i="6"/>
  <c r="A956" i="6"/>
  <c r="A955" i="6"/>
  <c r="A954" i="6"/>
  <c r="A953" i="6"/>
  <c r="A952" i="6"/>
  <c r="A951" i="6"/>
  <c r="A950" i="6"/>
  <c r="A949" i="6"/>
  <c r="A948" i="6"/>
  <c r="A947" i="6"/>
  <c r="A946" i="6"/>
  <c r="A945" i="6"/>
  <c r="A944" i="6"/>
  <c r="A943" i="6"/>
  <c r="A942" i="6"/>
  <c r="A941" i="6"/>
  <c r="A940" i="6"/>
  <c r="A939" i="6"/>
  <c r="A938" i="6"/>
  <c r="A937" i="6"/>
  <c r="A936" i="6"/>
  <c r="A935" i="6"/>
  <c r="A934" i="6"/>
  <c r="A933" i="6"/>
  <c r="A932" i="6"/>
  <c r="A931" i="6"/>
  <c r="A930" i="6"/>
  <c r="A929" i="6"/>
  <c r="A928" i="6"/>
  <c r="A927" i="6"/>
  <c r="A926" i="6"/>
  <c r="A925" i="6"/>
  <c r="A924" i="6"/>
  <c r="A923" i="6"/>
  <c r="A922" i="6"/>
  <c r="A921" i="6"/>
  <c r="A920" i="6"/>
  <c r="A919" i="6"/>
  <c r="A918" i="6"/>
  <c r="A917" i="6"/>
  <c r="A916" i="6"/>
  <c r="A915" i="6"/>
  <c r="A914" i="6"/>
  <c r="A913" i="6"/>
  <c r="A912" i="6"/>
  <c r="A911" i="6"/>
  <c r="A910" i="6"/>
  <c r="A909" i="6"/>
  <c r="A908" i="6"/>
  <c r="A907" i="6"/>
  <c r="A906" i="6"/>
  <c r="A905" i="6"/>
  <c r="A904" i="6"/>
  <c r="A903" i="6"/>
  <c r="A902" i="6"/>
  <c r="A901" i="6"/>
  <c r="A900" i="6"/>
  <c r="A899" i="6"/>
  <c r="A898" i="6"/>
  <c r="A897" i="6"/>
  <c r="A896" i="6"/>
  <c r="A895" i="6"/>
  <c r="A894" i="6"/>
  <c r="A893" i="6"/>
  <c r="A892" i="6"/>
  <c r="A891" i="6"/>
  <c r="A890" i="6"/>
  <c r="A889" i="6"/>
  <c r="A888" i="6"/>
  <c r="A887" i="6"/>
  <c r="A886" i="6"/>
  <c r="A885" i="6"/>
  <c r="A884" i="6"/>
  <c r="A883" i="6"/>
  <c r="A882" i="6"/>
  <c r="A881" i="6"/>
  <c r="A880" i="6"/>
  <c r="A879" i="6"/>
  <c r="A878" i="6"/>
  <c r="A877" i="6"/>
  <c r="A876" i="6"/>
  <c r="A875" i="6"/>
  <c r="A874" i="6"/>
  <c r="A873" i="6"/>
  <c r="A872" i="6"/>
  <c r="A871" i="6"/>
  <c r="A870" i="6"/>
  <c r="A869" i="6"/>
  <c r="A868" i="6"/>
  <c r="A867" i="6"/>
  <c r="A866" i="6"/>
  <c r="A865" i="6"/>
  <c r="A864" i="6"/>
  <c r="A863" i="6"/>
  <c r="A862" i="6"/>
  <c r="A861" i="6"/>
  <c r="A860" i="6"/>
  <c r="A859" i="6"/>
  <c r="A858" i="6"/>
  <c r="A857" i="6"/>
  <c r="A856" i="6"/>
  <c r="A855" i="6"/>
  <c r="A854" i="6"/>
  <c r="A853" i="6"/>
  <c r="A852" i="6"/>
  <c r="A851" i="6"/>
  <c r="A850" i="6"/>
  <c r="A849" i="6"/>
  <c r="A848" i="6"/>
  <c r="A847" i="6"/>
  <c r="A846" i="6"/>
  <c r="A845" i="6"/>
  <c r="A844" i="6"/>
  <c r="A843" i="6"/>
  <c r="A842" i="6"/>
  <c r="A841" i="6"/>
  <c r="A840" i="6"/>
  <c r="A839" i="6"/>
  <c r="A838" i="6"/>
  <c r="A837" i="6"/>
  <c r="A836" i="6"/>
  <c r="A835" i="6"/>
  <c r="A834" i="6"/>
  <c r="A833" i="6"/>
  <c r="A832" i="6"/>
  <c r="A831" i="6"/>
  <c r="A830" i="6"/>
  <c r="A829" i="6"/>
  <c r="A828" i="6"/>
  <c r="A827" i="6"/>
  <c r="A826" i="6"/>
  <c r="A825" i="6"/>
  <c r="A824" i="6"/>
  <c r="A823" i="6"/>
  <c r="A822" i="6"/>
  <c r="A821" i="6"/>
  <c r="A820" i="6"/>
  <c r="A819" i="6"/>
  <c r="A818" i="6"/>
  <c r="A817" i="6"/>
  <c r="A816" i="6"/>
  <c r="A815" i="6"/>
  <c r="A814" i="6"/>
  <c r="A813" i="6"/>
  <c r="A812" i="6"/>
  <c r="A811" i="6"/>
  <c r="A810" i="6"/>
  <c r="A809" i="6"/>
  <c r="A808" i="6"/>
  <c r="A807" i="6"/>
  <c r="A806" i="6"/>
  <c r="A805" i="6"/>
  <c r="A804" i="6"/>
  <c r="A803" i="6"/>
  <c r="A802" i="6"/>
  <c r="A801" i="6"/>
  <c r="A800" i="6"/>
  <c r="A799" i="6"/>
  <c r="A798" i="6"/>
  <c r="A797" i="6"/>
  <c r="A796" i="6"/>
  <c r="A795" i="6"/>
  <c r="A794" i="6"/>
  <c r="A793" i="6"/>
  <c r="A792" i="6"/>
  <c r="A791" i="6"/>
  <c r="A790" i="6"/>
  <c r="A789" i="6"/>
  <c r="A788" i="6"/>
  <c r="A787" i="6"/>
  <c r="A786" i="6"/>
  <c r="A785" i="6"/>
  <c r="A784" i="6"/>
  <c r="A783" i="6"/>
  <c r="A782" i="6"/>
  <c r="A781" i="6"/>
  <c r="A780" i="6"/>
  <c r="A779" i="6"/>
  <c r="A778" i="6"/>
  <c r="A777" i="6"/>
  <c r="A776" i="6"/>
  <c r="A775" i="6"/>
  <c r="A774" i="6"/>
  <c r="A773" i="6"/>
  <c r="A772" i="6"/>
  <c r="A771" i="6"/>
  <c r="A770" i="6"/>
  <c r="A769" i="6"/>
  <c r="A768" i="6"/>
  <c r="A767" i="6"/>
  <c r="A766" i="6"/>
  <c r="A765" i="6"/>
  <c r="A764" i="6"/>
  <c r="A763" i="6"/>
  <c r="A762" i="6"/>
  <c r="A761" i="6"/>
  <c r="A760" i="6"/>
  <c r="A759" i="6"/>
  <c r="A758" i="6"/>
  <c r="A757" i="6"/>
  <c r="A756" i="6"/>
  <c r="A755" i="6"/>
  <c r="A754" i="6"/>
  <c r="A753" i="6"/>
  <c r="A752" i="6"/>
  <c r="A751" i="6"/>
  <c r="A750" i="6"/>
  <c r="A749" i="6"/>
  <c r="A748" i="6"/>
  <c r="A747" i="6"/>
  <c r="A746" i="6"/>
  <c r="A745" i="6"/>
  <c r="A744" i="6"/>
  <c r="A743" i="6"/>
  <c r="A742" i="6"/>
  <c r="A741" i="6"/>
  <c r="A740" i="6"/>
  <c r="A739" i="6"/>
  <c r="A738" i="6"/>
  <c r="A737" i="6"/>
  <c r="A736" i="6"/>
  <c r="A735" i="6"/>
  <c r="A734" i="6"/>
  <c r="A733" i="6"/>
  <c r="A732" i="6"/>
  <c r="A731" i="6"/>
  <c r="A730" i="6"/>
  <c r="A729" i="6"/>
  <c r="A728" i="6"/>
  <c r="A727" i="6"/>
  <c r="A726" i="6"/>
  <c r="A725" i="6"/>
  <c r="A724" i="6"/>
  <c r="A723" i="6"/>
  <c r="A722" i="6"/>
  <c r="A721" i="6"/>
  <c r="A720" i="6"/>
  <c r="A719" i="6"/>
  <c r="A718" i="6"/>
  <c r="A717" i="6"/>
  <c r="A716" i="6"/>
  <c r="A715" i="6"/>
  <c r="A714" i="6"/>
  <c r="A713" i="6"/>
  <c r="A712" i="6"/>
  <c r="A711" i="6"/>
  <c r="A710" i="6"/>
  <c r="A709" i="6"/>
  <c r="A708" i="6"/>
  <c r="A707" i="6"/>
  <c r="A706" i="6"/>
  <c r="A705" i="6"/>
  <c r="A704" i="6"/>
  <c r="A703" i="6"/>
  <c r="A702" i="6"/>
  <c r="A701" i="6"/>
  <c r="A700" i="6"/>
  <c r="A699" i="6"/>
  <c r="A698" i="6"/>
  <c r="A697" i="6"/>
  <c r="A696" i="6"/>
  <c r="A695" i="6"/>
  <c r="A694" i="6"/>
  <c r="A693" i="6"/>
  <c r="A692" i="6"/>
  <c r="A691" i="6"/>
  <c r="A690" i="6"/>
  <c r="A689" i="6"/>
  <c r="A688" i="6"/>
  <c r="A687" i="6"/>
  <c r="A686" i="6"/>
  <c r="A685" i="6"/>
  <c r="A684" i="6"/>
  <c r="A683" i="6"/>
  <c r="A682" i="6"/>
  <c r="A681" i="6"/>
  <c r="A680" i="6"/>
  <c r="A679" i="6"/>
  <c r="A678" i="6"/>
  <c r="A677" i="6"/>
  <c r="G676" i="6"/>
  <c r="H676" i="6" s="1"/>
  <c r="A676" i="6"/>
  <c r="A675" i="6"/>
  <c r="A674" i="6"/>
  <c r="A673" i="6"/>
  <c r="A672" i="6"/>
  <c r="A671" i="6"/>
  <c r="A670" i="6"/>
  <c r="A669" i="6"/>
  <c r="A668" i="6"/>
  <c r="A667" i="6"/>
  <c r="A666" i="6"/>
  <c r="A665" i="6"/>
  <c r="A664" i="6"/>
  <c r="A663" i="6"/>
  <c r="A662" i="6"/>
  <c r="A661" i="6"/>
  <c r="A660" i="6"/>
  <c r="A659" i="6"/>
  <c r="A658" i="6"/>
  <c r="A657" i="6"/>
  <c r="A656" i="6"/>
  <c r="A655" i="6"/>
  <c r="A654" i="6"/>
  <c r="A653" i="6"/>
  <c r="A652" i="6"/>
  <c r="A651" i="6"/>
  <c r="A650" i="6"/>
  <c r="A649" i="6"/>
  <c r="A648" i="6"/>
  <c r="A647" i="6"/>
  <c r="A646" i="6"/>
  <c r="A645" i="6"/>
  <c r="A644" i="6"/>
  <c r="A643" i="6"/>
  <c r="A642" i="6"/>
  <c r="A641" i="6"/>
  <c r="A640" i="6"/>
  <c r="A639" i="6"/>
  <c r="A638" i="6"/>
  <c r="A637" i="6"/>
  <c r="A636" i="6"/>
  <c r="A635" i="6"/>
  <c r="A634" i="6"/>
  <c r="A633" i="6"/>
  <c r="A632" i="6"/>
  <c r="A631" i="6"/>
  <c r="A630" i="6"/>
  <c r="A629" i="6"/>
  <c r="A628" i="6"/>
  <c r="A627" i="6"/>
  <c r="A626" i="6"/>
  <c r="A625" i="6"/>
  <c r="A624" i="6"/>
  <c r="A623" i="6"/>
  <c r="A622" i="6"/>
  <c r="A621" i="6"/>
  <c r="A620" i="6"/>
  <c r="A619" i="6"/>
  <c r="A618" i="6"/>
  <c r="A617" i="6"/>
  <c r="A616" i="6"/>
  <c r="A615" i="6"/>
  <c r="A614" i="6"/>
  <c r="A613" i="6"/>
  <c r="A612" i="6"/>
  <c r="A611" i="6"/>
  <c r="A610" i="6"/>
  <c r="A609" i="6"/>
  <c r="A608" i="6"/>
  <c r="A607" i="6"/>
  <c r="A606" i="6"/>
  <c r="A605" i="6"/>
  <c r="A604" i="6"/>
  <c r="A603" i="6"/>
  <c r="A602" i="6"/>
  <c r="A601" i="6"/>
  <c r="A600" i="6"/>
  <c r="A599" i="6"/>
  <c r="A598" i="6"/>
  <c r="A597" i="6"/>
  <c r="A596" i="6"/>
  <c r="A595" i="6"/>
  <c r="A594" i="6"/>
  <c r="A593" i="6"/>
  <c r="A592" i="6"/>
  <c r="A591" i="6"/>
  <c r="A590" i="6"/>
  <c r="A589" i="6"/>
  <c r="A588" i="6"/>
  <c r="A587" i="6"/>
  <c r="A586" i="6"/>
  <c r="A585" i="6"/>
  <c r="A584" i="6"/>
  <c r="A583" i="6"/>
  <c r="A582" i="6"/>
  <c r="A581" i="6"/>
  <c r="A580" i="6"/>
  <c r="A579" i="6"/>
  <c r="A578" i="6"/>
  <c r="A577" i="6"/>
  <c r="A576" i="6"/>
  <c r="A575" i="6"/>
  <c r="A574" i="6"/>
  <c r="A573" i="6"/>
  <c r="A572" i="6"/>
  <c r="A571" i="6"/>
  <c r="A570" i="6"/>
  <c r="A569" i="6"/>
  <c r="A568" i="6"/>
  <c r="A567" i="6"/>
  <c r="A566" i="6"/>
  <c r="A565" i="6"/>
  <c r="A564" i="6"/>
  <c r="A563" i="6"/>
  <c r="A562" i="6"/>
  <c r="A561" i="6"/>
  <c r="A560" i="6"/>
  <c r="A559" i="6"/>
  <c r="A558" i="6"/>
  <c r="A557" i="6"/>
  <c r="A556" i="6"/>
  <c r="A555" i="6"/>
  <c r="A554" i="6"/>
  <c r="A553" i="6"/>
  <c r="A552" i="6"/>
  <c r="A551" i="6"/>
  <c r="A550" i="6"/>
  <c r="A549" i="6"/>
  <c r="A548" i="6"/>
  <c r="A547" i="6"/>
  <c r="A546" i="6"/>
  <c r="A545" i="6"/>
  <c r="A544" i="6"/>
  <c r="A543" i="6"/>
  <c r="A542" i="6"/>
  <c r="A541" i="6"/>
  <c r="A540" i="6"/>
  <c r="A539" i="6"/>
  <c r="A538" i="6"/>
  <c r="A537" i="6"/>
  <c r="A536" i="6"/>
  <c r="A535" i="6"/>
  <c r="A534" i="6"/>
  <c r="A533" i="6"/>
  <c r="A532" i="6"/>
  <c r="A531" i="6"/>
  <c r="A530" i="6"/>
  <c r="A529" i="6"/>
  <c r="A528" i="6"/>
  <c r="A527" i="6"/>
  <c r="A526" i="6"/>
  <c r="A525" i="6"/>
  <c r="A524" i="6"/>
  <c r="A523" i="6"/>
  <c r="A522" i="6"/>
  <c r="A521" i="6"/>
  <c r="A520" i="6"/>
  <c r="A519" i="6"/>
  <c r="A518" i="6"/>
  <c r="A517" i="6"/>
  <c r="B516" i="6"/>
  <c r="A516" i="6"/>
  <c r="A515" i="6"/>
  <c r="A514" i="6"/>
  <c r="A513" i="6"/>
  <c r="A512" i="6"/>
  <c r="A511" i="6"/>
  <c r="A510" i="6"/>
  <c r="A509" i="6"/>
  <c r="A508" i="6"/>
  <c r="A507" i="6"/>
  <c r="A506" i="6"/>
  <c r="A505" i="6"/>
  <c r="A504" i="6"/>
  <c r="A503" i="6"/>
  <c r="A502" i="6"/>
  <c r="A501" i="6"/>
  <c r="G500" i="6"/>
  <c r="H500" i="6" s="1"/>
  <c r="F500" i="6"/>
  <c r="I500" i="6" s="1"/>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G324" i="6"/>
  <c r="H324" i="6" s="1"/>
  <c r="F324" i="6"/>
  <c r="I324" i="6" s="1"/>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G148" i="6"/>
  <c r="H148" i="6" s="1"/>
  <c r="F148" i="6"/>
  <c r="I148" i="6" s="1"/>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M25" i="6"/>
  <c r="A25" i="6"/>
  <c r="M24" i="6"/>
  <c r="A24" i="6"/>
  <c r="M23" i="6"/>
  <c r="M26" i="6" s="1"/>
  <c r="B23" i="6"/>
  <c r="A23" i="6"/>
  <c r="B22" i="6"/>
  <c r="A22" i="6"/>
  <c r="A21" i="6"/>
  <c r="A20" i="6"/>
  <c r="B19" i="6"/>
  <c r="A19" i="6"/>
  <c r="A18" i="6"/>
  <c r="A17" i="6"/>
  <c r="B16" i="6"/>
  <c r="A16" i="6"/>
  <c r="B15" i="6"/>
  <c r="A15" i="6"/>
  <c r="A14" i="6"/>
  <c r="A13" i="6"/>
  <c r="A12" i="6"/>
  <c r="A11" i="6"/>
  <c r="A10" i="6"/>
  <c r="A9" i="6"/>
  <c r="A8" i="6"/>
  <c r="A7" i="6"/>
  <c r="A6" i="6"/>
  <c r="A5" i="6"/>
  <c r="A34" i="5"/>
  <c r="A33" i="5"/>
  <c r="A32" i="5"/>
  <c r="A31" i="5"/>
  <c r="A30" i="5"/>
  <c r="A29" i="5"/>
  <c r="A28" i="5"/>
  <c r="B27" i="5"/>
  <c r="A27" i="5"/>
  <c r="A26" i="5"/>
  <c r="A25" i="5"/>
  <c r="A24" i="5"/>
  <c r="B18" i="5"/>
  <c r="B17" i="5"/>
  <c r="I16" i="5"/>
  <c r="H16" i="5"/>
  <c r="G16" i="5"/>
  <c r="F16" i="5"/>
  <c r="E16" i="5"/>
  <c r="D16" i="5"/>
  <c r="H11" i="5"/>
  <c r="G11" i="5"/>
  <c r="F11" i="5"/>
  <c r="E11" i="5"/>
  <c r="D11" i="5"/>
  <c r="H10" i="5"/>
  <c r="G10" i="5"/>
  <c r="F10" i="5"/>
  <c r="E10" i="5"/>
  <c r="D10" i="5"/>
  <c r="B10" i="5"/>
  <c r="H9" i="5"/>
  <c r="G9" i="5"/>
  <c r="F9" i="5"/>
  <c r="E9" i="5"/>
  <c r="D9" i="5"/>
  <c r="B9" i="5"/>
  <c r="H8" i="5"/>
  <c r="G8" i="5"/>
  <c r="F8" i="5"/>
  <c r="E8" i="5"/>
  <c r="D8" i="5"/>
  <c r="B8" i="5"/>
  <c r="H7" i="5"/>
  <c r="G7" i="5"/>
  <c r="F7" i="5"/>
  <c r="E7" i="5"/>
  <c r="D7" i="5"/>
  <c r="B7" i="5"/>
  <c r="H6" i="5"/>
  <c r="G6" i="5"/>
  <c r="F6" i="5"/>
  <c r="E6" i="5"/>
  <c r="D6" i="5"/>
  <c r="B6" i="5"/>
  <c r="H5" i="5"/>
  <c r="G5" i="5"/>
  <c r="F5" i="5"/>
  <c r="E5" i="5"/>
  <c r="D5" i="5"/>
  <c r="B5" i="5"/>
  <c r="F27" i="3"/>
  <c r="E27" i="3"/>
  <c r="D27" i="3"/>
  <c r="C27" i="3"/>
  <c r="B27" i="3"/>
  <c r="G27" i="3" s="1"/>
  <c r="F26" i="3"/>
  <c r="E26" i="3"/>
  <c r="D26" i="3"/>
  <c r="C26" i="3"/>
  <c r="B26" i="3"/>
  <c r="G26" i="3" s="1"/>
  <c r="F25" i="3"/>
  <c r="E25" i="3"/>
  <c r="D25" i="3"/>
  <c r="C25" i="3"/>
  <c r="B25" i="3"/>
  <c r="G25" i="3" s="1"/>
  <c r="F24" i="3"/>
  <c r="E24" i="3"/>
  <c r="D24" i="3"/>
  <c r="C24" i="3"/>
  <c r="B24" i="3"/>
  <c r="G24" i="3" s="1"/>
  <c r="F23" i="3"/>
  <c r="E23" i="3"/>
  <c r="D23" i="3"/>
  <c r="C23" i="3"/>
  <c r="B23" i="3"/>
  <c r="G23" i="3" s="1"/>
  <c r="F22" i="3"/>
  <c r="E22" i="3"/>
  <c r="D22" i="3"/>
  <c r="C22" i="3"/>
  <c r="B22" i="3"/>
  <c r="G22" i="3" s="1"/>
  <c r="F21" i="3"/>
  <c r="E21" i="3"/>
  <c r="D21" i="3"/>
  <c r="C21" i="3"/>
  <c r="B21" i="3"/>
  <c r="G21" i="3" s="1"/>
  <c r="F20" i="3"/>
  <c r="E20" i="3"/>
  <c r="D20" i="3"/>
  <c r="C20" i="3"/>
  <c r="B20" i="3"/>
  <c r="G20" i="3" s="1"/>
  <c r="F19" i="3"/>
  <c r="E19" i="3"/>
  <c r="D19" i="3"/>
  <c r="C19" i="3"/>
  <c r="B19" i="3"/>
  <c r="G19" i="3" s="1"/>
  <c r="F18" i="3"/>
  <c r="E18" i="3"/>
  <c r="D18" i="3"/>
  <c r="C18" i="3"/>
  <c r="B18" i="3"/>
  <c r="G18" i="3" s="1"/>
  <c r="F17" i="3"/>
  <c r="E17" i="3"/>
  <c r="D17" i="3"/>
  <c r="C17" i="3"/>
  <c r="B17" i="3"/>
  <c r="G17" i="3" s="1"/>
  <c r="F16" i="3"/>
  <c r="E16" i="3"/>
  <c r="D16" i="3"/>
  <c r="C16" i="3"/>
  <c r="B16" i="3"/>
  <c r="G16" i="3" s="1"/>
  <c r="B11" i="3"/>
  <c r="B10" i="3"/>
  <c r="B9" i="3"/>
  <c r="B6" i="3"/>
  <c r="B5" i="3"/>
  <c r="B7" i="3" s="1"/>
  <c r="B8" i="3" s="1"/>
  <c r="B38" i="8"/>
  <c r="B37" i="8"/>
  <c r="B36" i="8"/>
  <c r="B35" i="8"/>
  <c r="B34" i="8"/>
  <c r="B33" i="8"/>
  <c r="B32" i="8"/>
  <c r="B31" i="8"/>
  <c r="B30" i="8"/>
  <c r="B29" i="8"/>
  <c r="B28" i="8"/>
  <c r="Q6" i="8"/>
  <c r="Q5" i="8"/>
  <c r="Q4" i="8"/>
  <c r="Q3" i="8"/>
  <c r="F1363" i="6" l="1"/>
  <c r="I1363" i="6" s="1"/>
  <c r="D1363" i="6"/>
  <c r="E1363" i="6" s="1"/>
  <c r="B1363" i="6"/>
  <c r="G1363" i="6"/>
  <c r="H1363" i="6" s="1"/>
  <c r="D1362" i="6"/>
  <c r="E1362" i="6" s="1"/>
  <c r="G1362" i="6"/>
  <c r="H1362" i="6" s="1"/>
  <c r="F1362" i="6"/>
  <c r="I1362" i="6" s="1"/>
  <c r="B1362" i="6"/>
  <c r="F1361" i="6"/>
  <c r="I1361" i="6" s="1"/>
  <c r="D1361" i="6"/>
  <c r="E1361" i="6" s="1"/>
  <c r="G1361" i="6"/>
  <c r="H1361" i="6" s="1"/>
  <c r="B1361" i="6"/>
  <c r="G1360" i="6"/>
  <c r="H1360" i="6" s="1"/>
  <c r="D1360" i="6"/>
  <c r="E1360" i="6" s="1"/>
  <c r="B1360" i="6"/>
  <c r="F1360" i="6"/>
  <c r="I1360" i="6" s="1"/>
  <c r="C1359" i="6"/>
  <c r="G1359" i="6"/>
  <c r="H1359" i="6" s="1"/>
  <c r="D1359" i="6"/>
  <c r="E1359" i="6" s="1"/>
  <c r="J1359" i="6" s="1"/>
  <c r="F1359" i="6"/>
  <c r="I1359" i="6" s="1"/>
  <c r="B1358" i="6"/>
  <c r="G1358" i="6"/>
  <c r="H1358" i="6" s="1"/>
  <c r="F1358" i="6"/>
  <c r="I1358" i="6" s="1"/>
  <c r="D1358" i="6"/>
  <c r="E1358" i="6" s="1"/>
  <c r="G1357" i="6"/>
  <c r="H1357" i="6" s="1"/>
  <c r="F1357" i="6"/>
  <c r="I1357" i="6" s="1"/>
  <c r="D1357" i="6"/>
  <c r="E1357" i="6" s="1"/>
  <c r="B1357" i="6"/>
  <c r="G1356" i="6"/>
  <c r="H1356" i="6" s="1"/>
  <c r="D1356" i="6"/>
  <c r="E1356" i="6" s="1"/>
  <c r="F1356" i="6"/>
  <c r="I1356" i="6" s="1"/>
  <c r="B1356" i="6"/>
  <c r="D1355" i="6"/>
  <c r="E1355" i="6" s="1"/>
  <c r="B1355" i="6"/>
  <c r="G1355" i="6"/>
  <c r="H1355" i="6" s="1"/>
  <c r="F1355" i="6"/>
  <c r="I1355" i="6" s="1"/>
  <c r="B1354" i="6"/>
  <c r="D1354" i="6"/>
  <c r="E1354" i="6" s="1"/>
  <c r="F1354" i="6"/>
  <c r="I1354" i="6" s="1"/>
  <c r="G1354" i="6"/>
  <c r="H1354" i="6" s="1"/>
  <c r="B1353" i="6"/>
  <c r="G1353" i="6"/>
  <c r="H1353" i="6" s="1"/>
  <c r="D1353" i="6"/>
  <c r="E1353" i="6" s="1"/>
  <c r="F1353" i="6"/>
  <c r="I1353" i="6" s="1"/>
  <c r="B1352" i="6"/>
  <c r="D1352" i="6"/>
  <c r="E1352" i="6" s="1"/>
  <c r="G1352" i="6"/>
  <c r="H1352" i="6" s="1"/>
  <c r="F1352" i="6"/>
  <c r="I1352" i="6" s="1"/>
  <c r="D1351" i="6"/>
  <c r="E1351" i="6" s="1"/>
  <c r="G1351" i="6"/>
  <c r="H1351" i="6" s="1"/>
  <c r="B1351" i="6"/>
  <c r="F1351" i="6"/>
  <c r="I1351" i="6" s="1"/>
  <c r="F1350" i="6"/>
  <c r="I1350" i="6" s="1"/>
  <c r="D1350" i="6"/>
  <c r="E1350" i="6" s="1"/>
  <c r="G1350" i="6"/>
  <c r="H1350" i="6" s="1"/>
  <c r="B1350" i="6"/>
  <c r="B1349" i="6"/>
  <c r="D1349" i="6"/>
  <c r="E1349" i="6" s="1"/>
  <c r="F1349" i="6"/>
  <c r="I1349" i="6" s="1"/>
  <c r="G1349" i="6"/>
  <c r="H1349" i="6" s="1"/>
  <c r="B1348" i="6"/>
  <c r="G1348" i="6"/>
  <c r="H1348" i="6" s="1"/>
  <c r="F1348" i="6"/>
  <c r="I1348" i="6" s="1"/>
  <c r="D1348" i="6"/>
  <c r="E1348" i="6" s="1"/>
  <c r="G1347" i="6"/>
  <c r="H1347" i="6" s="1"/>
  <c r="B1347" i="6"/>
  <c r="D1347" i="6"/>
  <c r="E1347" i="6" s="1"/>
  <c r="F1347" i="6"/>
  <c r="I1347" i="6" s="1"/>
  <c r="B1346" i="6"/>
  <c r="G1346" i="6"/>
  <c r="H1346" i="6" s="1"/>
  <c r="F1346" i="6"/>
  <c r="I1346" i="6" s="1"/>
  <c r="D1346" i="6"/>
  <c r="E1346" i="6" s="1"/>
  <c r="D1345" i="6"/>
  <c r="E1345" i="6" s="1"/>
  <c r="G1345" i="6"/>
  <c r="H1345" i="6" s="1"/>
  <c r="F1345" i="6"/>
  <c r="I1345" i="6" s="1"/>
  <c r="B1345" i="6"/>
  <c r="D1344" i="6"/>
  <c r="E1344" i="6" s="1"/>
  <c r="B1344" i="6"/>
  <c r="F1344" i="6"/>
  <c r="I1344" i="6" s="1"/>
  <c r="G1344" i="6"/>
  <c r="H1344" i="6" s="1"/>
  <c r="D1343" i="6"/>
  <c r="E1343" i="6" s="1"/>
  <c r="G1343" i="6"/>
  <c r="H1343" i="6" s="1"/>
  <c r="B1343" i="6"/>
  <c r="F1343" i="6"/>
  <c r="I1343" i="6" s="1"/>
  <c r="B1342" i="6"/>
  <c r="D1342" i="6"/>
  <c r="E1342" i="6" s="1"/>
  <c r="G1342" i="6"/>
  <c r="H1342" i="6" s="1"/>
  <c r="F1342" i="6"/>
  <c r="I1342" i="6" s="1"/>
  <c r="F1341" i="6"/>
  <c r="I1341" i="6" s="1"/>
  <c r="D1341" i="6"/>
  <c r="E1341" i="6" s="1"/>
  <c r="G1341" i="6"/>
  <c r="H1341" i="6" s="1"/>
  <c r="B1341" i="6"/>
  <c r="D1340" i="6"/>
  <c r="E1340" i="6" s="1"/>
  <c r="B1340" i="6"/>
  <c r="G1340" i="6"/>
  <c r="H1340" i="6" s="1"/>
  <c r="F1340" i="6"/>
  <c r="I1340" i="6" s="1"/>
  <c r="F1339" i="6"/>
  <c r="I1339" i="6" s="1"/>
  <c r="G1339" i="6"/>
  <c r="H1339" i="6" s="1"/>
  <c r="B1339" i="6"/>
  <c r="D1339" i="6"/>
  <c r="E1339" i="6" s="1"/>
  <c r="D1338" i="6"/>
  <c r="E1338" i="6" s="1"/>
  <c r="G1338" i="6"/>
  <c r="H1338" i="6" s="1"/>
  <c r="B1338" i="6"/>
  <c r="F1338" i="6"/>
  <c r="I1338" i="6" s="1"/>
  <c r="G1337" i="6"/>
  <c r="H1337" i="6" s="1"/>
  <c r="D1337" i="6"/>
  <c r="E1337" i="6" s="1"/>
  <c r="B1337" i="6"/>
  <c r="F1337" i="6"/>
  <c r="I1337" i="6" s="1"/>
  <c r="D1336" i="6"/>
  <c r="E1336" i="6" s="1"/>
  <c r="G1336" i="6"/>
  <c r="H1336" i="6" s="1"/>
  <c r="B1336" i="6"/>
  <c r="F1336" i="6"/>
  <c r="I1336" i="6" s="1"/>
  <c r="G1335" i="6"/>
  <c r="H1335" i="6" s="1"/>
  <c r="B1335" i="6"/>
  <c r="D1335" i="6"/>
  <c r="E1335" i="6" s="1"/>
  <c r="F1335" i="6"/>
  <c r="I1335" i="6" s="1"/>
  <c r="D1334" i="6"/>
  <c r="E1334" i="6" s="1"/>
  <c r="G1334" i="6"/>
  <c r="H1334" i="6" s="1"/>
  <c r="B1334" i="6"/>
  <c r="F1334" i="6"/>
  <c r="I1334" i="6" s="1"/>
  <c r="F1333" i="6"/>
  <c r="I1333" i="6" s="1"/>
  <c r="B1333" i="6"/>
  <c r="D1333" i="6"/>
  <c r="E1333" i="6" s="1"/>
  <c r="G1333" i="6"/>
  <c r="H1333" i="6" s="1"/>
  <c r="G1332" i="6"/>
  <c r="H1332" i="6" s="1"/>
  <c r="D1332" i="6"/>
  <c r="E1332" i="6" s="1"/>
  <c r="B1332" i="6"/>
  <c r="F1332" i="6"/>
  <c r="I1332" i="6" s="1"/>
  <c r="F1331" i="6"/>
  <c r="I1331" i="6" s="1"/>
  <c r="D1331" i="6"/>
  <c r="E1331" i="6" s="1"/>
  <c r="B1331" i="6"/>
  <c r="G1331" i="6"/>
  <c r="H1331" i="6" s="1"/>
  <c r="D1330" i="6"/>
  <c r="E1330" i="6" s="1"/>
  <c r="B1330" i="6"/>
  <c r="F1330" i="6"/>
  <c r="I1330" i="6" s="1"/>
  <c r="G1330" i="6"/>
  <c r="H1330" i="6" s="1"/>
  <c r="B1329" i="6"/>
  <c r="F1329" i="6"/>
  <c r="I1329" i="6" s="1"/>
  <c r="D1329" i="6"/>
  <c r="E1329" i="6" s="1"/>
  <c r="F1328" i="6"/>
  <c r="I1328" i="6" s="1"/>
  <c r="B1328" i="6"/>
  <c r="D1328" i="6"/>
  <c r="E1328" i="6" s="1"/>
  <c r="G1328" i="6"/>
  <c r="H1328" i="6" s="1"/>
  <c r="D1327" i="6"/>
  <c r="E1327" i="6" s="1"/>
  <c r="B1327" i="6"/>
  <c r="G1327" i="6"/>
  <c r="H1327" i="6" s="1"/>
  <c r="F1327" i="6"/>
  <c r="I1327" i="6" s="1"/>
  <c r="G1326" i="6"/>
  <c r="H1326" i="6" s="1"/>
  <c r="D1326" i="6"/>
  <c r="E1326" i="6" s="1"/>
  <c r="B1326" i="6"/>
  <c r="F1326" i="6"/>
  <c r="I1326" i="6" s="1"/>
  <c r="D1325" i="6"/>
  <c r="E1325" i="6" s="1"/>
  <c r="G1325" i="6"/>
  <c r="H1325" i="6" s="1"/>
  <c r="B1325" i="6"/>
  <c r="F1325" i="6"/>
  <c r="I1325" i="6" s="1"/>
  <c r="F1324" i="6"/>
  <c r="I1324" i="6" s="1"/>
  <c r="B1324" i="6"/>
  <c r="D1324" i="6"/>
  <c r="E1324" i="6" s="1"/>
  <c r="G1324" i="6"/>
  <c r="H1324" i="6" s="1"/>
  <c r="B1323" i="6"/>
  <c r="F1323" i="6"/>
  <c r="I1323" i="6" s="1"/>
  <c r="D1323" i="6"/>
  <c r="E1323" i="6" s="1"/>
  <c r="G1323" i="6"/>
  <c r="H1323" i="6" s="1"/>
  <c r="D1322" i="6"/>
  <c r="E1322" i="6" s="1"/>
  <c r="B1322" i="6"/>
  <c r="G1322" i="6"/>
  <c r="H1322" i="6" s="1"/>
  <c r="F1322" i="6"/>
  <c r="I1322" i="6" s="1"/>
  <c r="D1321" i="6"/>
  <c r="E1321" i="6" s="1"/>
  <c r="F1321" i="6"/>
  <c r="I1321" i="6" s="1"/>
  <c r="G1321" i="6"/>
  <c r="H1321" i="6" s="1"/>
  <c r="B1321" i="6"/>
  <c r="D1320" i="6"/>
  <c r="E1320" i="6" s="1"/>
  <c r="B1320" i="6"/>
  <c r="G1320" i="6"/>
  <c r="H1320" i="6" s="1"/>
  <c r="F1320" i="6"/>
  <c r="I1320" i="6" s="1"/>
  <c r="F1319" i="6"/>
  <c r="I1319" i="6" s="1"/>
  <c r="G1319" i="6"/>
  <c r="H1319" i="6" s="1"/>
  <c r="B1319" i="6"/>
  <c r="D1319" i="6"/>
  <c r="E1319" i="6" s="1"/>
  <c r="G1318" i="6"/>
  <c r="H1318" i="6" s="1"/>
  <c r="B1318" i="6"/>
  <c r="F1318" i="6"/>
  <c r="I1318" i="6" s="1"/>
  <c r="D1318" i="6"/>
  <c r="E1318" i="6" s="1"/>
  <c r="F1317" i="6"/>
  <c r="I1317" i="6" s="1"/>
  <c r="D1317" i="6"/>
  <c r="E1317" i="6" s="1"/>
  <c r="G1317" i="6"/>
  <c r="H1317" i="6" s="1"/>
  <c r="B1317" i="6"/>
  <c r="F1316" i="6"/>
  <c r="I1316" i="6" s="1"/>
  <c r="D1316" i="6"/>
  <c r="E1316" i="6" s="1"/>
  <c r="G1316" i="6"/>
  <c r="H1316" i="6" s="1"/>
  <c r="B1316" i="6"/>
  <c r="G1315" i="6"/>
  <c r="H1315" i="6" s="1"/>
  <c r="B1315" i="6"/>
  <c r="D1315" i="6"/>
  <c r="E1315" i="6" s="1"/>
  <c r="F1315" i="6"/>
  <c r="I1315" i="6" s="1"/>
  <c r="B1314" i="6"/>
  <c r="G1314" i="6"/>
  <c r="H1314" i="6" s="1"/>
  <c r="F1314" i="6"/>
  <c r="I1314" i="6" s="1"/>
  <c r="D1314" i="6"/>
  <c r="E1314" i="6" s="1"/>
  <c r="G1313" i="6"/>
  <c r="H1313" i="6" s="1"/>
  <c r="D1313" i="6"/>
  <c r="E1313" i="6" s="1"/>
  <c r="F1313" i="6"/>
  <c r="I1313" i="6" s="1"/>
  <c r="B1313" i="6"/>
  <c r="F1312" i="6"/>
  <c r="I1312" i="6" s="1"/>
  <c r="B1312" i="6"/>
  <c r="D1312" i="6"/>
  <c r="E1312" i="6" s="1"/>
  <c r="G1312" i="6"/>
  <c r="H1312" i="6" s="1"/>
  <c r="F1311" i="6"/>
  <c r="I1311" i="6" s="1"/>
  <c r="D1311" i="6"/>
  <c r="E1311" i="6" s="1"/>
  <c r="B1311" i="6"/>
  <c r="G1311" i="6"/>
  <c r="H1311" i="6" s="1"/>
  <c r="B1310" i="6"/>
  <c r="F1310" i="6"/>
  <c r="I1310" i="6" s="1"/>
  <c r="D1310" i="6"/>
  <c r="E1310" i="6" s="1"/>
  <c r="G1310" i="6"/>
  <c r="H1310" i="6" s="1"/>
  <c r="C1309" i="6"/>
  <c r="G1309" i="6"/>
  <c r="H1309" i="6" s="1"/>
  <c r="F1309" i="6"/>
  <c r="I1309" i="6" s="1"/>
  <c r="D1309" i="6"/>
  <c r="E1309" i="6" s="1"/>
  <c r="J1309" i="6" s="1"/>
  <c r="F1308" i="6"/>
  <c r="I1308" i="6" s="1"/>
  <c r="B1308" i="6"/>
  <c r="G1308" i="6"/>
  <c r="H1308" i="6" s="1"/>
  <c r="D1308" i="6"/>
  <c r="E1308" i="6" s="1"/>
  <c r="B1307" i="6"/>
  <c r="G1307" i="6"/>
  <c r="H1307" i="6" s="1"/>
  <c r="F1307" i="6"/>
  <c r="I1307" i="6" s="1"/>
  <c r="D1307" i="6"/>
  <c r="E1307" i="6" s="1"/>
  <c r="C1306" i="6"/>
  <c r="G1306" i="6"/>
  <c r="H1306" i="6" s="1"/>
  <c r="F1306" i="6"/>
  <c r="I1306" i="6" s="1"/>
  <c r="D1306" i="6"/>
  <c r="E1306" i="6" s="1"/>
  <c r="J1306" i="6" s="1"/>
  <c r="D1305" i="6"/>
  <c r="E1305" i="6" s="1"/>
  <c r="F1305" i="6"/>
  <c r="I1305" i="6" s="1"/>
  <c r="B1305" i="6"/>
  <c r="G1305" i="6"/>
  <c r="H1305" i="6" s="1"/>
  <c r="B1304" i="6"/>
  <c r="F1304" i="6"/>
  <c r="I1304" i="6" s="1"/>
  <c r="D1304" i="6"/>
  <c r="E1304" i="6" s="1"/>
  <c r="G1304" i="6"/>
  <c r="H1304" i="6" s="1"/>
  <c r="F1303" i="6"/>
  <c r="I1303" i="6" s="1"/>
  <c r="D1303" i="6"/>
  <c r="E1303" i="6" s="1"/>
  <c r="G1303" i="6"/>
  <c r="H1303" i="6" s="1"/>
  <c r="B1303" i="6"/>
  <c r="D1302" i="6"/>
  <c r="E1302" i="6" s="1"/>
  <c r="G1302" i="6"/>
  <c r="H1302" i="6" s="1"/>
  <c r="B1302" i="6"/>
  <c r="F1302" i="6"/>
  <c r="I1302" i="6" s="1"/>
  <c r="D1301" i="6"/>
  <c r="E1301" i="6" s="1"/>
  <c r="F1301" i="6"/>
  <c r="I1301" i="6" s="1"/>
  <c r="B1301" i="6"/>
  <c r="G1301" i="6"/>
  <c r="H1301" i="6" s="1"/>
  <c r="C1300" i="6"/>
  <c r="F1300" i="6"/>
  <c r="I1300" i="6" s="1"/>
  <c r="D1300" i="6"/>
  <c r="E1300" i="6" s="1"/>
  <c r="J1300" i="6" s="1"/>
  <c r="G1300" i="6"/>
  <c r="H1300" i="6" s="1"/>
  <c r="F1299" i="6"/>
  <c r="I1299" i="6" s="1"/>
  <c r="B1299" i="6"/>
  <c r="G1299" i="6"/>
  <c r="H1299" i="6" s="1"/>
  <c r="D1299" i="6"/>
  <c r="E1299" i="6" s="1"/>
  <c r="B1298" i="6"/>
  <c r="F1298" i="6"/>
  <c r="I1298" i="6" s="1"/>
  <c r="D1298" i="6"/>
  <c r="E1298" i="6" s="1"/>
  <c r="G1298" i="6"/>
  <c r="H1298" i="6" s="1"/>
  <c r="D1297" i="6"/>
  <c r="E1297" i="6" s="1"/>
  <c r="B1297" i="6"/>
  <c r="F1297" i="6"/>
  <c r="I1297" i="6" s="1"/>
  <c r="G1297" i="6"/>
  <c r="H1297" i="6" s="1"/>
  <c r="B1296" i="6"/>
  <c r="G1296" i="6"/>
  <c r="H1296" i="6" s="1"/>
  <c r="F1296" i="6"/>
  <c r="I1296" i="6" s="1"/>
  <c r="D1296" i="6"/>
  <c r="E1296" i="6" s="1"/>
  <c r="F1295" i="6"/>
  <c r="I1295" i="6" s="1"/>
  <c r="B1295" i="6"/>
  <c r="G1295" i="6"/>
  <c r="H1295" i="6" s="1"/>
  <c r="D1295" i="6"/>
  <c r="E1295" i="6" s="1"/>
  <c r="F1294" i="6"/>
  <c r="I1294" i="6" s="1"/>
  <c r="D1294" i="6"/>
  <c r="E1294" i="6" s="1"/>
  <c r="G1294" i="6"/>
  <c r="H1294" i="6" s="1"/>
  <c r="B1294" i="6"/>
  <c r="F1293" i="6"/>
  <c r="I1293" i="6" s="1"/>
  <c r="B1293" i="6"/>
  <c r="D1293" i="6"/>
  <c r="E1293" i="6" s="1"/>
  <c r="G1293" i="6"/>
  <c r="H1293" i="6" s="1"/>
  <c r="B1292" i="6"/>
  <c r="F1292" i="6"/>
  <c r="I1292" i="6" s="1"/>
  <c r="D1292" i="6"/>
  <c r="E1292" i="6" s="1"/>
  <c r="G1292" i="6"/>
  <c r="H1292" i="6" s="1"/>
  <c r="F1291" i="6"/>
  <c r="I1291" i="6" s="1"/>
  <c r="B1291" i="6"/>
  <c r="G1291" i="6"/>
  <c r="H1291" i="6" s="1"/>
  <c r="D1291" i="6"/>
  <c r="E1291" i="6" s="1"/>
  <c r="G1290" i="6"/>
  <c r="H1290" i="6" s="1"/>
  <c r="F1290" i="6"/>
  <c r="I1290" i="6" s="1"/>
  <c r="B1290" i="6"/>
  <c r="D1290" i="6"/>
  <c r="E1290" i="6" s="1"/>
  <c r="G1289" i="6"/>
  <c r="H1289" i="6" s="1"/>
  <c r="B1289" i="6"/>
  <c r="F1289" i="6"/>
  <c r="I1289" i="6" s="1"/>
  <c r="D1289" i="6"/>
  <c r="E1289" i="6" s="1"/>
  <c r="B1288" i="6"/>
  <c r="F1288" i="6"/>
  <c r="I1288" i="6" s="1"/>
  <c r="G1288" i="6"/>
  <c r="H1288" i="6" s="1"/>
  <c r="D1288" i="6"/>
  <c r="E1288" i="6" s="1"/>
  <c r="D1287" i="6"/>
  <c r="E1287" i="6" s="1"/>
  <c r="F1287" i="6"/>
  <c r="I1287" i="6" s="1"/>
  <c r="G1287" i="6"/>
  <c r="H1287" i="6" s="1"/>
  <c r="B1287" i="6"/>
  <c r="G1286" i="6"/>
  <c r="H1286" i="6" s="1"/>
  <c r="B1286" i="6"/>
  <c r="D1286" i="6"/>
  <c r="E1286" i="6" s="1"/>
  <c r="F1286" i="6"/>
  <c r="I1286" i="6" s="1"/>
  <c r="B1285" i="6"/>
  <c r="G1285" i="6"/>
  <c r="H1285" i="6" s="1"/>
  <c r="F1285" i="6"/>
  <c r="I1285" i="6" s="1"/>
  <c r="D1285" i="6"/>
  <c r="E1285" i="6" s="1"/>
  <c r="G1284" i="6"/>
  <c r="H1284" i="6" s="1"/>
  <c r="F1284" i="6"/>
  <c r="I1284" i="6" s="1"/>
  <c r="B1284" i="6"/>
  <c r="C1283" i="6"/>
  <c r="G1283" i="6"/>
  <c r="H1283" i="6" s="1"/>
  <c r="F1283" i="6"/>
  <c r="I1283" i="6" s="1"/>
  <c r="D1283" i="6"/>
  <c r="E1283" i="6" s="1"/>
  <c r="J1283" i="6" s="1"/>
  <c r="D1282" i="6"/>
  <c r="E1282" i="6" s="1"/>
  <c r="B1282" i="6"/>
  <c r="F1282" i="6"/>
  <c r="I1282" i="6" s="1"/>
  <c r="G1282" i="6"/>
  <c r="H1282" i="6" s="1"/>
  <c r="F1281" i="6"/>
  <c r="I1281" i="6" s="1"/>
  <c r="B1281" i="6"/>
  <c r="G1281" i="6"/>
  <c r="H1281" i="6" s="1"/>
  <c r="D1281" i="6"/>
  <c r="E1281" i="6" s="1"/>
  <c r="D1280" i="6"/>
  <c r="E1280" i="6" s="1"/>
  <c r="G1280" i="6"/>
  <c r="H1280" i="6" s="1"/>
  <c r="F1280" i="6"/>
  <c r="I1280" i="6" s="1"/>
  <c r="B1280" i="6"/>
  <c r="D1279" i="6"/>
  <c r="E1279" i="6" s="1"/>
  <c r="B1279" i="6"/>
  <c r="F1279" i="6"/>
  <c r="I1279" i="6" s="1"/>
  <c r="G1279" i="6"/>
  <c r="H1279" i="6" s="1"/>
  <c r="D1278" i="6"/>
  <c r="E1278" i="6" s="1"/>
  <c r="F1278" i="6"/>
  <c r="I1278" i="6" s="1"/>
  <c r="G1278" i="6"/>
  <c r="H1278" i="6" s="1"/>
  <c r="B1278" i="6"/>
  <c r="B1277" i="6"/>
  <c r="D1277" i="6"/>
  <c r="E1277" i="6" s="1"/>
  <c r="G1277" i="6"/>
  <c r="H1277" i="6" s="1"/>
  <c r="F1277" i="6"/>
  <c r="I1277" i="6" s="1"/>
  <c r="F1276" i="6"/>
  <c r="I1276" i="6" s="1"/>
  <c r="G1276" i="6"/>
  <c r="H1276" i="6" s="1"/>
  <c r="D1276" i="6"/>
  <c r="E1276" i="6" s="1"/>
  <c r="B1276" i="6"/>
  <c r="G1275" i="6"/>
  <c r="H1275" i="6" s="1"/>
  <c r="D1275" i="6"/>
  <c r="E1275" i="6" s="1"/>
  <c r="B1275" i="6"/>
  <c r="F1275" i="6"/>
  <c r="I1275" i="6" s="1"/>
  <c r="B1274" i="6"/>
  <c r="G1274" i="6"/>
  <c r="H1274" i="6" s="1"/>
  <c r="F1274" i="6"/>
  <c r="I1274" i="6" s="1"/>
  <c r="D1274" i="6"/>
  <c r="E1274" i="6" s="1"/>
  <c r="F1273" i="6"/>
  <c r="I1273" i="6" s="1"/>
  <c r="B1273" i="6"/>
  <c r="G1273" i="6"/>
  <c r="H1273" i="6" s="1"/>
  <c r="D1273" i="6"/>
  <c r="E1273" i="6" s="1"/>
  <c r="C1272" i="6"/>
  <c r="F1272" i="6"/>
  <c r="I1272" i="6" s="1"/>
  <c r="G1272" i="6"/>
  <c r="H1272" i="6" s="1"/>
  <c r="D1272" i="6"/>
  <c r="E1272" i="6" s="1"/>
  <c r="J1272" i="6" s="1"/>
  <c r="G1271" i="6"/>
  <c r="H1271" i="6" s="1"/>
  <c r="B1271" i="6"/>
  <c r="F1271" i="6"/>
  <c r="I1271" i="6" s="1"/>
  <c r="D1271" i="6"/>
  <c r="E1271" i="6" s="1"/>
  <c r="B1270" i="6"/>
  <c r="D1270" i="6"/>
  <c r="E1270" i="6" s="1"/>
  <c r="F1270" i="6"/>
  <c r="I1270" i="6" s="1"/>
  <c r="G1270" i="6"/>
  <c r="H1270" i="6" s="1"/>
  <c r="D1269" i="6"/>
  <c r="E1269" i="6" s="1"/>
  <c r="G1269" i="6"/>
  <c r="H1269" i="6" s="1"/>
  <c r="F1269" i="6"/>
  <c r="I1269" i="6" s="1"/>
  <c r="B1269" i="6"/>
  <c r="D1268" i="6"/>
  <c r="E1268" i="6" s="1"/>
  <c r="G1268" i="6"/>
  <c r="H1268" i="6" s="1"/>
  <c r="B1268" i="6"/>
  <c r="F1268" i="6"/>
  <c r="I1268" i="6" s="1"/>
  <c r="B1267" i="6"/>
  <c r="G1267" i="6"/>
  <c r="H1267" i="6" s="1"/>
  <c r="F1267" i="6"/>
  <c r="I1267" i="6" s="1"/>
  <c r="D1267" i="6"/>
  <c r="E1267" i="6" s="1"/>
  <c r="B1266" i="6"/>
  <c r="F1266" i="6"/>
  <c r="I1266" i="6" s="1"/>
  <c r="D1266" i="6"/>
  <c r="E1266" i="6" s="1"/>
  <c r="G1266" i="6"/>
  <c r="H1266" i="6" s="1"/>
  <c r="D1265" i="6"/>
  <c r="E1265" i="6" s="1"/>
  <c r="F1265" i="6"/>
  <c r="I1265" i="6" s="1"/>
  <c r="B1265" i="6"/>
  <c r="G1265" i="6"/>
  <c r="H1265" i="6" s="1"/>
  <c r="B1264" i="6"/>
  <c r="G1264" i="6"/>
  <c r="H1264" i="6" s="1"/>
  <c r="F1264" i="6"/>
  <c r="I1264" i="6" s="1"/>
  <c r="D1264" i="6"/>
  <c r="E1264" i="6" s="1"/>
  <c r="D1263" i="6"/>
  <c r="E1263" i="6" s="1"/>
  <c r="F1263" i="6"/>
  <c r="I1263" i="6" s="1"/>
  <c r="G1263" i="6"/>
  <c r="H1263" i="6" s="1"/>
  <c r="B1263" i="6"/>
  <c r="B1262" i="6"/>
  <c r="G1262" i="6"/>
  <c r="H1262" i="6" s="1"/>
  <c r="D1262" i="6"/>
  <c r="E1262" i="6" s="1"/>
  <c r="F1262" i="6"/>
  <c r="I1262" i="6" s="1"/>
  <c r="B1261" i="6"/>
  <c r="D1261" i="6"/>
  <c r="E1261" i="6" s="1"/>
  <c r="G1261" i="6"/>
  <c r="H1261" i="6" s="1"/>
  <c r="F1261" i="6"/>
  <c r="I1261" i="6" s="1"/>
  <c r="G1260" i="6"/>
  <c r="H1260" i="6" s="1"/>
  <c r="F1260" i="6"/>
  <c r="I1260" i="6" s="1"/>
  <c r="B1260" i="6"/>
  <c r="D1260" i="6"/>
  <c r="E1260" i="6" s="1"/>
  <c r="G1259" i="6"/>
  <c r="H1259" i="6" s="1"/>
  <c r="D1259" i="6"/>
  <c r="E1259" i="6" s="1"/>
  <c r="F1259" i="6"/>
  <c r="I1259" i="6" s="1"/>
  <c r="B1259" i="6"/>
  <c r="B1258" i="6"/>
  <c r="F1258" i="6"/>
  <c r="I1258" i="6" s="1"/>
  <c r="D1258" i="6"/>
  <c r="E1258" i="6" s="1"/>
  <c r="G1258" i="6"/>
  <c r="H1258" i="6" s="1"/>
  <c r="F1257" i="6"/>
  <c r="I1257" i="6" s="1"/>
  <c r="B1257" i="6"/>
  <c r="D1257" i="6"/>
  <c r="E1257" i="6" s="1"/>
  <c r="G1257" i="6"/>
  <c r="H1257" i="6" s="1"/>
  <c r="G1256" i="6"/>
  <c r="H1256" i="6" s="1"/>
  <c r="D1256" i="6"/>
  <c r="E1256" i="6" s="1"/>
  <c r="F1256" i="6"/>
  <c r="I1256" i="6" s="1"/>
  <c r="B1256" i="6"/>
  <c r="B1255" i="6"/>
  <c r="G1255" i="6"/>
  <c r="H1255" i="6" s="1"/>
  <c r="F1255" i="6"/>
  <c r="I1255" i="6" s="1"/>
  <c r="D1255" i="6"/>
  <c r="E1255" i="6" s="1"/>
  <c r="B1254" i="6"/>
  <c r="D1254" i="6"/>
  <c r="E1254" i="6" s="1"/>
  <c r="G1254" i="6"/>
  <c r="H1254" i="6" s="1"/>
  <c r="F1254" i="6"/>
  <c r="I1254" i="6" s="1"/>
  <c r="C1253" i="6"/>
  <c r="G1253" i="6"/>
  <c r="H1253" i="6" s="1"/>
  <c r="D1253" i="6"/>
  <c r="E1253" i="6" s="1"/>
  <c r="J1253" i="6" s="1"/>
  <c r="F1253" i="6"/>
  <c r="I1253" i="6" s="1"/>
  <c r="F1252" i="6"/>
  <c r="I1252" i="6" s="1"/>
  <c r="D1252" i="6"/>
  <c r="E1252" i="6" s="1"/>
  <c r="B1252" i="6"/>
  <c r="G1252" i="6"/>
  <c r="H1252" i="6" s="1"/>
  <c r="C1251" i="6"/>
  <c r="F1251" i="6"/>
  <c r="I1251" i="6" s="1"/>
  <c r="D1251" i="6"/>
  <c r="E1251" i="6" s="1"/>
  <c r="J1251" i="6" s="1"/>
  <c r="G1251" i="6"/>
  <c r="H1251" i="6" s="1"/>
  <c r="G1250" i="6"/>
  <c r="H1250" i="6" s="1"/>
  <c r="F1250" i="6"/>
  <c r="I1250" i="6" s="1"/>
  <c r="B1250" i="6"/>
  <c r="D1250" i="6"/>
  <c r="E1250" i="6" s="1"/>
  <c r="F1249" i="6"/>
  <c r="I1249" i="6" s="1"/>
  <c r="B1249" i="6"/>
  <c r="D1249" i="6"/>
  <c r="E1249" i="6" s="1"/>
  <c r="G1249" i="6"/>
  <c r="H1249" i="6" s="1"/>
  <c r="G1248" i="6"/>
  <c r="H1248" i="6" s="1"/>
  <c r="D1248" i="6"/>
  <c r="E1248" i="6" s="1"/>
  <c r="F1248" i="6"/>
  <c r="I1248" i="6" s="1"/>
  <c r="B1248" i="6"/>
  <c r="F1247" i="6"/>
  <c r="I1247" i="6" s="1"/>
  <c r="D1247" i="6"/>
  <c r="E1247" i="6" s="1"/>
  <c r="B1247" i="6"/>
  <c r="G1247" i="6"/>
  <c r="H1247" i="6" s="1"/>
  <c r="B1246" i="6"/>
  <c r="F1246" i="6"/>
  <c r="I1246" i="6" s="1"/>
  <c r="G1246" i="6"/>
  <c r="H1246" i="6" s="1"/>
  <c r="D1246" i="6"/>
  <c r="E1246" i="6" s="1"/>
  <c r="G1245" i="6"/>
  <c r="H1245" i="6" s="1"/>
  <c r="D1245" i="6"/>
  <c r="E1245" i="6" s="1"/>
  <c r="F1245" i="6"/>
  <c r="I1245" i="6" s="1"/>
  <c r="B1245" i="6"/>
  <c r="F1244" i="6"/>
  <c r="I1244" i="6" s="1"/>
  <c r="B1244" i="6"/>
  <c r="D1244" i="6"/>
  <c r="E1244" i="6" s="1"/>
  <c r="G1244" i="6"/>
  <c r="H1244" i="6" s="1"/>
  <c r="F1243" i="6"/>
  <c r="I1243" i="6" s="1"/>
  <c r="D1243" i="6"/>
  <c r="E1243" i="6" s="1"/>
  <c r="B1243" i="6"/>
  <c r="G1243" i="6"/>
  <c r="H1243" i="6" s="1"/>
  <c r="F1242" i="6"/>
  <c r="I1242" i="6" s="1"/>
  <c r="B1242" i="6"/>
  <c r="G1242" i="6"/>
  <c r="H1242" i="6" s="1"/>
  <c r="D1242" i="6"/>
  <c r="E1242" i="6" s="1"/>
  <c r="C1241" i="6"/>
  <c r="F1241" i="6"/>
  <c r="I1241" i="6" s="1"/>
  <c r="G1241" i="6"/>
  <c r="H1241" i="6" s="1"/>
  <c r="D1241" i="6"/>
  <c r="E1241" i="6" s="1"/>
  <c r="J1241" i="6" s="1"/>
  <c r="B1240" i="6"/>
  <c r="F1240" i="6"/>
  <c r="I1240" i="6" s="1"/>
  <c r="G1240" i="6"/>
  <c r="H1240" i="6" s="1"/>
  <c r="D1240" i="6"/>
  <c r="E1240" i="6" s="1"/>
  <c r="B1239" i="6"/>
  <c r="F1239" i="6"/>
  <c r="I1239" i="6" s="1"/>
  <c r="G1239" i="6"/>
  <c r="H1239" i="6" s="1"/>
  <c r="D1239" i="6"/>
  <c r="E1239" i="6" s="1"/>
  <c r="G1238" i="6"/>
  <c r="H1238" i="6" s="1"/>
  <c r="D1238" i="6"/>
  <c r="E1238" i="6" s="1"/>
  <c r="F1238" i="6"/>
  <c r="I1238" i="6" s="1"/>
  <c r="B1238" i="6"/>
  <c r="D1237" i="6"/>
  <c r="E1237" i="6" s="1"/>
  <c r="G1237" i="6"/>
  <c r="H1237" i="6" s="1"/>
  <c r="B1237" i="6"/>
  <c r="F1237" i="6"/>
  <c r="I1237" i="6" s="1"/>
  <c r="G1236" i="6"/>
  <c r="H1236" i="6" s="1"/>
  <c r="B1236" i="6"/>
  <c r="F1236" i="6"/>
  <c r="I1236" i="6" s="1"/>
  <c r="D1236" i="6"/>
  <c r="E1236" i="6" s="1"/>
  <c r="F1235" i="6"/>
  <c r="I1235" i="6" s="1"/>
  <c r="B1235" i="6"/>
  <c r="G1235" i="6"/>
  <c r="H1235" i="6" s="1"/>
  <c r="D1235" i="6"/>
  <c r="E1235" i="6" s="1"/>
  <c r="D1234" i="6"/>
  <c r="E1234" i="6" s="1"/>
  <c r="F1234" i="6"/>
  <c r="I1234" i="6" s="1"/>
  <c r="B1234" i="6"/>
  <c r="G1234" i="6"/>
  <c r="H1234" i="6" s="1"/>
  <c r="D1233" i="6"/>
  <c r="E1233" i="6" s="1"/>
  <c r="F1233" i="6"/>
  <c r="I1233" i="6" s="1"/>
  <c r="G1233" i="6"/>
  <c r="H1233" i="6" s="1"/>
  <c r="B1233" i="6"/>
  <c r="D1232" i="6"/>
  <c r="E1232" i="6" s="1"/>
  <c r="F1232" i="6"/>
  <c r="I1232" i="6" s="1"/>
  <c r="B1232" i="6"/>
  <c r="G1232" i="6"/>
  <c r="H1232" i="6" s="1"/>
  <c r="G1231" i="6"/>
  <c r="H1231" i="6" s="1"/>
  <c r="F1231" i="6"/>
  <c r="I1231" i="6" s="1"/>
  <c r="B1231" i="6"/>
  <c r="D1231" i="6"/>
  <c r="E1231" i="6" s="1"/>
  <c r="D1230" i="6"/>
  <c r="E1230" i="6" s="1"/>
  <c r="B1230" i="6"/>
  <c r="G1230" i="6"/>
  <c r="H1230" i="6" s="1"/>
  <c r="F1230" i="6"/>
  <c r="I1230" i="6" s="1"/>
  <c r="G1229" i="6"/>
  <c r="H1229" i="6" s="1"/>
  <c r="F1229" i="6"/>
  <c r="I1229" i="6" s="1"/>
  <c r="B1229" i="6"/>
  <c r="D1229" i="6"/>
  <c r="E1229" i="6" s="1"/>
  <c r="C1228" i="6"/>
  <c r="G1228" i="6"/>
  <c r="H1228" i="6" s="1"/>
  <c r="F1228" i="6"/>
  <c r="I1228" i="6" s="1"/>
  <c r="D1228" i="6"/>
  <c r="E1228" i="6" s="1"/>
  <c r="J1228" i="6" s="1"/>
  <c r="D1227" i="6"/>
  <c r="E1227" i="6" s="1"/>
  <c r="B1227" i="6"/>
  <c r="G1227" i="6"/>
  <c r="H1227" i="6" s="1"/>
  <c r="F1227" i="6"/>
  <c r="I1227" i="6" s="1"/>
  <c r="G1226" i="6"/>
  <c r="H1226" i="6" s="1"/>
  <c r="B1226" i="6"/>
  <c r="F1226" i="6"/>
  <c r="I1226" i="6" s="1"/>
  <c r="D1226" i="6"/>
  <c r="E1226" i="6" s="1"/>
  <c r="C1225" i="6"/>
  <c r="G1225" i="6"/>
  <c r="H1225" i="6" s="1"/>
  <c r="F1225" i="6"/>
  <c r="I1225" i="6" s="1"/>
  <c r="D1225" i="6"/>
  <c r="E1225" i="6" s="1"/>
  <c r="J1225" i="6" s="1"/>
  <c r="D1224" i="6"/>
  <c r="E1224" i="6" s="1"/>
  <c r="B1224" i="6"/>
  <c r="F1224" i="6"/>
  <c r="I1224" i="6" s="1"/>
  <c r="G1224" i="6"/>
  <c r="H1224" i="6" s="1"/>
  <c r="D1223" i="6"/>
  <c r="E1223" i="6" s="1"/>
  <c r="G1223" i="6"/>
  <c r="H1223" i="6" s="1"/>
  <c r="F1223" i="6"/>
  <c r="I1223" i="6" s="1"/>
  <c r="B1223" i="6"/>
  <c r="G1222" i="6"/>
  <c r="H1222" i="6" s="1"/>
  <c r="F1222" i="6"/>
  <c r="I1222" i="6" s="1"/>
  <c r="D1222" i="6"/>
  <c r="E1222" i="6" s="1"/>
  <c r="B1222" i="6"/>
  <c r="B1221" i="6"/>
  <c r="F1221" i="6"/>
  <c r="I1221" i="6" s="1"/>
  <c r="D1221" i="6"/>
  <c r="E1221" i="6" s="1"/>
  <c r="G1221" i="6"/>
  <c r="H1221" i="6" s="1"/>
  <c r="F1220" i="6"/>
  <c r="I1220" i="6" s="1"/>
  <c r="D1220" i="6"/>
  <c r="E1220" i="6" s="1"/>
  <c r="G1220" i="6"/>
  <c r="H1220" i="6" s="1"/>
  <c r="B1220" i="6"/>
  <c r="F1219" i="6"/>
  <c r="I1219" i="6" s="1"/>
  <c r="D1219" i="6"/>
  <c r="E1219" i="6" s="1"/>
  <c r="G1219" i="6"/>
  <c r="H1219" i="6" s="1"/>
  <c r="B1219" i="6"/>
  <c r="C1218" i="6"/>
  <c r="D1218" i="6"/>
  <c r="E1218" i="6" s="1"/>
  <c r="J1218" i="6" s="1"/>
  <c r="F1218" i="6"/>
  <c r="I1218" i="6" s="1"/>
  <c r="G1218" i="6"/>
  <c r="H1218" i="6" s="1"/>
  <c r="B1217" i="6"/>
  <c r="F1217" i="6"/>
  <c r="I1217" i="6" s="1"/>
  <c r="D1217" i="6"/>
  <c r="E1217" i="6" s="1"/>
  <c r="G1217" i="6"/>
  <c r="H1217" i="6" s="1"/>
  <c r="F1216" i="6"/>
  <c r="I1216" i="6" s="1"/>
  <c r="B1216" i="6"/>
  <c r="D1216" i="6"/>
  <c r="E1216" i="6" s="1"/>
  <c r="G1216" i="6"/>
  <c r="H1216" i="6" s="1"/>
  <c r="F1215" i="6"/>
  <c r="I1215" i="6" s="1"/>
  <c r="B1215" i="6"/>
  <c r="D1215" i="6"/>
  <c r="E1215" i="6" s="1"/>
  <c r="G1215" i="6"/>
  <c r="H1215" i="6" s="1"/>
  <c r="D1214" i="6"/>
  <c r="E1214" i="6" s="1"/>
  <c r="B1214" i="6"/>
  <c r="G1214" i="6"/>
  <c r="H1214" i="6" s="1"/>
  <c r="F1214" i="6"/>
  <c r="I1214" i="6" s="1"/>
  <c r="B1213" i="6"/>
  <c r="D1213" i="6"/>
  <c r="E1213" i="6" s="1"/>
  <c r="F1213" i="6"/>
  <c r="I1213" i="6" s="1"/>
  <c r="G1213" i="6"/>
  <c r="H1213" i="6" s="1"/>
  <c r="B1212" i="6"/>
  <c r="F1212" i="6"/>
  <c r="I1212" i="6" s="1"/>
  <c r="D1212" i="6"/>
  <c r="E1212" i="6" s="1"/>
  <c r="G1212" i="6"/>
  <c r="H1212" i="6" s="1"/>
  <c r="D1211" i="6"/>
  <c r="E1211" i="6" s="1"/>
  <c r="B1211" i="6"/>
  <c r="G1211" i="6"/>
  <c r="H1211" i="6" s="1"/>
  <c r="F1211" i="6"/>
  <c r="I1211" i="6" s="1"/>
  <c r="G1210" i="6"/>
  <c r="H1210" i="6" s="1"/>
  <c r="F1210" i="6"/>
  <c r="I1210" i="6" s="1"/>
  <c r="B1210" i="6"/>
  <c r="D1210" i="6"/>
  <c r="E1210" i="6" s="1"/>
  <c r="B1209" i="6"/>
  <c r="F1209" i="6"/>
  <c r="I1209" i="6" s="1"/>
  <c r="G1209" i="6"/>
  <c r="H1209" i="6" s="1"/>
  <c r="D1209" i="6"/>
  <c r="E1209" i="6" s="1"/>
  <c r="B1208" i="6"/>
  <c r="F1208" i="6"/>
  <c r="I1208" i="6" s="1"/>
  <c r="G1208" i="6"/>
  <c r="H1208" i="6" s="1"/>
  <c r="D1208" i="6"/>
  <c r="E1208" i="6" s="1"/>
  <c r="D1207" i="6"/>
  <c r="E1207" i="6" s="1"/>
  <c r="B1207" i="6"/>
  <c r="F1207" i="6"/>
  <c r="I1207" i="6" s="1"/>
  <c r="G1207" i="6"/>
  <c r="H1207" i="6" s="1"/>
  <c r="F1206" i="6"/>
  <c r="I1206" i="6" s="1"/>
  <c r="B1206" i="6"/>
  <c r="D1206" i="6"/>
  <c r="E1206" i="6" s="1"/>
  <c r="G1206" i="6"/>
  <c r="H1206" i="6" s="1"/>
  <c r="F1205" i="6"/>
  <c r="I1205" i="6" s="1"/>
  <c r="D1205" i="6"/>
  <c r="E1205" i="6" s="1"/>
  <c r="G1205" i="6"/>
  <c r="H1205" i="6" s="1"/>
  <c r="B1205" i="6"/>
  <c r="G1204" i="6"/>
  <c r="H1204" i="6" s="1"/>
  <c r="F1204" i="6"/>
  <c r="I1204" i="6" s="1"/>
  <c r="B1204" i="6"/>
  <c r="D1204" i="6"/>
  <c r="E1204" i="6" s="1"/>
  <c r="G1203" i="6"/>
  <c r="H1203" i="6" s="1"/>
  <c r="B1203" i="6"/>
  <c r="D1203" i="6"/>
  <c r="E1203" i="6" s="1"/>
  <c r="F1203" i="6"/>
  <c r="I1203" i="6" s="1"/>
  <c r="F1202" i="6"/>
  <c r="I1202" i="6" s="1"/>
  <c r="D1202" i="6"/>
  <c r="E1202" i="6" s="1"/>
  <c r="G1202" i="6"/>
  <c r="H1202" i="6" s="1"/>
  <c r="B1202" i="6"/>
  <c r="D1201" i="6"/>
  <c r="E1201" i="6" s="1"/>
  <c r="B1201" i="6"/>
  <c r="F1201" i="6"/>
  <c r="I1201" i="6" s="1"/>
  <c r="G1201" i="6"/>
  <c r="H1201" i="6" s="1"/>
  <c r="B1200" i="6"/>
  <c r="D1200" i="6"/>
  <c r="E1200" i="6" s="1"/>
  <c r="F1200" i="6"/>
  <c r="I1200" i="6" s="1"/>
  <c r="G1200" i="6"/>
  <c r="H1200" i="6" s="1"/>
  <c r="B1199" i="6"/>
  <c r="D1199" i="6"/>
  <c r="E1199" i="6" s="1"/>
  <c r="F1199" i="6"/>
  <c r="I1199" i="6" s="1"/>
  <c r="G1199" i="6"/>
  <c r="H1199" i="6" s="1"/>
  <c r="G1198" i="6"/>
  <c r="H1198" i="6" s="1"/>
  <c r="F1198" i="6"/>
  <c r="I1198" i="6" s="1"/>
  <c r="B1198" i="6"/>
  <c r="D1198" i="6"/>
  <c r="E1198" i="6" s="1"/>
  <c r="B1197" i="6"/>
  <c r="D1197" i="6"/>
  <c r="E1197" i="6" s="1"/>
  <c r="F1197" i="6"/>
  <c r="I1197" i="6" s="1"/>
  <c r="G1197" i="6"/>
  <c r="H1197" i="6" s="1"/>
  <c r="B1196" i="6"/>
  <c r="D1196" i="6"/>
  <c r="E1196" i="6" s="1"/>
  <c r="G1196" i="6"/>
  <c r="H1196" i="6" s="1"/>
  <c r="F1196" i="6"/>
  <c r="I1196" i="6" s="1"/>
  <c r="F1195" i="6"/>
  <c r="I1195" i="6" s="1"/>
  <c r="G1195" i="6"/>
  <c r="H1195" i="6" s="1"/>
  <c r="B1195" i="6"/>
  <c r="D1195" i="6"/>
  <c r="E1195" i="6" s="1"/>
  <c r="G1194" i="6"/>
  <c r="H1194" i="6" s="1"/>
  <c r="F1194" i="6"/>
  <c r="I1194" i="6" s="1"/>
  <c r="D1194" i="6"/>
  <c r="E1194" i="6" s="1"/>
  <c r="B1194" i="6"/>
  <c r="F1193" i="6"/>
  <c r="I1193" i="6" s="1"/>
  <c r="B1193" i="6"/>
  <c r="D1193" i="6"/>
  <c r="E1193" i="6" s="1"/>
  <c r="G1193" i="6"/>
  <c r="H1193" i="6" s="1"/>
  <c r="B1192" i="6"/>
  <c r="D1192" i="6"/>
  <c r="E1192" i="6" s="1"/>
  <c r="G1192" i="6"/>
  <c r="H1192" i="6" s="1"/>
  <c r="F1192" i="6"/>
  <c r="I1192" i="6" s="1"/>
  <c r="D1191" i="6"/>
  <c r="E1191" i="6" s="1"/>
  <c r="B1191" i="6"/>
  <c r="F1191" i="6"/>
  <c r="I1191" i="6" s="1"/>
  <c r="G1191" i="6"/>
  <c r="H1191" i="6" s="1"/>
  <c r="F1190" i="6"/>
  <c r="I1190" i="6" s="1"/>
  <c r="D1190" i="6"/>
  <c r="E1190" i="6" s="1"/>
  <c r="G1190" i="6"/>
  <c r="H1190" i="6" s="1"/>
  <c r="B1190" i="6"/>
  <c r="G1189" i="6"/>
  <c r="H1189" i="6" s="1"/>
  <c r="F1189" i="6"/>
  <c r="I1189" i="6" s="1"/>
  <c r="D1189" i="6"/>
  <c r="E1189" i="6" s="1"/>
  <c r="B1189" i="6"/>
  <c r="B1188" i="6"/>
  <c r="D1188" i="6"/>
  <c r="E1188" i="6" s="1"/>
  <c r="F1188" i="6"/>
  <c r="I1188" i="6" s="1"/>
  <c r="G1188" i="6"/>
  <c r="H1188" i="6" s="1"/>
  <c r="G1187" i="6"/>
  <c r="H1187" i="6" s="1"/>
  <c r="F1187" i="6"/>
  <c r="I1187" i="6" s="1"/>
  <c r="D1187" i="6"/>
  <c r="E1187" i="6" s="1"/>
  <c r="B1187" i="6"/>
  <c r="F1186" i="6"/>
  <c r="I1186" i="6" s="1"/>
  <c r="G1186" i="6"/>
  <c r="H1186" i="6" s="1"/>
  <c r="D1186" i="6"/>
  <c r="E1186" i="6" s="1"/>
  <c r="B1186" i="6"/>
  <c r="F1185" i="6"/>
  <c r="I1185" i="6" s="1"/>
  <c r="D1185" i="6"/>
  <c r="E1185" i="6" s="1"/>
  <c r="B1185" i="6"/>
  <c r="G1185" i="6"/>
  <c r="H1185" i="6" s="1"/>
  <c r="G1184" i="6"/>
  <c r="H1184" i="6" s="1"/>
  <c r="F1184" i="6"/>
  <c r="I1184" i="6" s="1"/>
  <c r="D1184" i="6"/>
  <c r="E1184" i="6" s="1"/>
  <c r="B1184" i="6"/>
  <c r="G1183" i="6"/>
  <c r="H1183" i="6" s="1"/>
  <c r="F1183" i="6"/>
  <c r="I1183" i="6" s="1"/>
  <c r="D1183" i="6"/>
  <c r="E1183" i="6" s="1"/>
  <c r="B1183" i="6"/>
  <c r="G1182" i="6"/>
  <c r="H1182" i="6" s="1"/>
  <c r="F1182" i="6"/>
  <c r="I1182" i="6" s="1"/>
  <c r="B1182" i="6"/>
  <c r="D1182" i="6"/>
  <c r="E1182" i="6" s="1"/>
  <c r="D1181" i="6"/>
  <c r="E1181" i="6" s="1"/>
  <c r="G1181" i="6"/>
  <c r="H1181" i="6" s="1"/>
  <c r="F1181" i="6"/>
  <c r="I1181" i="6" s="1"/>
  <c r="B1181" i="6"/>
  <c r="D1180" i="6"/>
  <c r="E1180" i="6" s="1"/>
  <c r="F1180" i="6"/>
  <c r="I1180" i="6" s="1"/>
  <c r="G1180" i="6"/>
  <c r="H1180" i="6" s="1"/>
  <c r="B1180" i="6"/>
  <c r="F1179" i="6"/>
  <c r="I1179" i="6" s="1"/>
  <c r="D1179" i="6"/>
  <c r="E1179" i="6" s="1"/>
  <c r="B1179" i="6"/>
  <c r="G1179" i="6"/>
  <c r="H1179" i="6" s="1"/>
  <c r="G1178" i="6"/>
  <c r="H1178" i="6" s="1"/>
  <c r="F1178" i="6"/>
  <c r="I1178" i="6" s="1"/>
  <c r="D1178" i="6"/>
  <c r="E1178" i="6" s="1"/>
  <c r="B1178" i="6"/>
  <c r="D1177" i="6"/>
  <c r="E1177" i="6" s="1"/>
  <c r="G1177" i="6"/>
  <c r="H1177" i="6" s="1"/>
  <c r="F1177" i="6"/>
  <c r="I1177" i="6" s="1"/>
  <c r="B1177" i="6"/>
  <c r="G1176" i="6"/>
  <c r="H1176" i="6" s="1"/>
  <c r="F1176" i="6"/>
  <c r="I1176" i="6" s="1"/>
  <c r="D1176" i="6"/>
  <c r="E1176" i="6" s="1"/>
  <c r="B1176" i="6"/>
  <c r="G1175" i="6"/>
  <c r="H1175" i="6" s="1"/>
  <c r="B1175" i="6"/>
  <c r="F1175" i="6"/>
  <c r="I1175" i="6" s="1"/>
  <c r="D1175" i="6"/>
  <c r="E1175" i="6" s="1"/>
  <c r="B1174" i="6"/>
  <c r="D1174" i="6"/>
  <c r="E1174" i="6" s="1"/>
  <c r="F1174" i="6"/>
  <c r="I1174" i="6" s="1"/>
  <c r="G1174" i="6"/>
  <c r="H1174" i="6" s="1"/>
  <c r="G1173" i="6"/>
  <c r="H1173" i="6" s="1"/>
  <c r="F1173" i="6"/>
  <c r="I1173" i="6" s="1"/>
  <c r="D1173" i="6"/>
  <c r="E1173" i="6" s="1"/>
  <c r="B1173" i="6"/>
  <c r="G1172" i="6"/>
  <c r="H1172" i="6" s="1"/>
  <c r="F1172" i="6"/>
  <c r="I1172" i="6" s="1"/>
  <c r="D1172" i="6"/>
  <c r="E1172" i="6" s="1"/>
  <c r="B1172" i="6"/>
  <c r="F1171" i="6"/>
  <c r="I1171" i="6" s="1"/>
  <c r="D1171" i="6"/>
  <c r="E1171" i="6" s="1"/>
  <c r="B1171" i="6"/>
  <c r="G1171" i="6"/>
  <c r="H1171" i="6" s="1"/>
  <c r="G1170" i="6"/>
  <c r="H1170" i="6" s="1"/>
  <c r="F1170" i="6"/>
  <c r="I1170" i="6" s="1"/>
  <c r="D1170" i="6"/>
  <c r="E1170" i="6" s="1"/>
  <c r="B1170" i="6"/>
  <c r="G1169" i="6"/>
  <c r="H1169" i="6" s="1"/>
  <c r="F1169" i="6"/>
  <c r="I1169" i="6" s="1"/>
  <c r="D1169" i="6"/>
  <c r="E1169" i="6" s="1"/>
  <c r="B1169" i="6"/>
  <c r="G1168" i="6"/>
  <c r="H1168" i="6" s="1"/>
  <c r="F1168" i="6"/>
  <c r="I1168" i="6" s="1"/>
  <c r="D1168" i="6"/>
  <c r="E1168" i="6" s="1"/>
  <c r="B1168" i="6"/>
  <c r="F1167" i="6"/>
  <c r="I1167" i="6" s="1"/>
  <c r="D1167" i="6"/>
  <c r="E1167" i="6" s="1"/>
  <c r="B1167" i="6"/>
  <c r="G1167" i="6"/>
  <c r="H1167" i="6" s="1"/>
  <c r="G1166" i="6"/>
  <c r="H1166" i="6" s="1"/>
  <c r="F1166" i="6"/>
  <c r="I1166" i="6" s="1"/>
  <c r="D1166" i="6"/>
  <c r="E1166" i="6" s="1"/>
  <c r="B1166" i="6"/>
  <c r="G1165" i="6"/>
  <c r="H1165" i="6" s="1"/>
  <c r="F1165" i="6"/>
  <c r="I1165" i="6" s="1"/>
  <c r="D1165" i="6"/>
  <c r="E1165" i="6" s="1"/>
  <c r="B1165" i="6"/>
  <c r="G1164" i="6"/>
  <c r="H1164" i="6" s="1"/>
  <c r="F1164" i="6"/>
  <c r="I1164" i="6" s="1"/>
  <c r="D1164" i="6"/>
  <c r="E1164" i="6" s="1"/>
  <c r="B1164" i="6"/>
  <c r="G1163" i="6"/>
  <c r="H1163" i="6" s="1"/>
  <c r="F1163" i="6"/>
  <c r="I1163" i="6" s="1"/>
  <c r="D1163" i="6"/>
  <c r="E1163" i="6" s="1"/>
  <c r="B1163" i="6"/>
  <c r="G1162" i="6"/>
  <c r="H1162" i="6" s="1"/>
  <c r="F1162" i="6"/>
  <c r="I1162" i="6" s="1"/>
  <c r="D1162" i="6"/>
  <c r="E1162" i="6" s="1"/>
  <c r="B1162" i="6"/>
  <c r="B1161" i="6"/>
  <c r="G1161" i="6"/>
  <c r="H1161" i="6" s="1"/>
  <c r="F1161" i="6"/>
  <c r="I1161" i="6" s="1"/>
  <c r="D1161" i="6"/>
  <c r="E1161" i="6" s="1"/>
  <c r="B1160" i="6"/>
  <c r="F1160" i="6"/>
  <c r="I1160" i="6" s="1"/>
  <c r="G1160" i="6"/>
  <c r="H1160" i="6" s="1"/>
  <c r="D1160" i="6"/>
  <c r="E1160" i="6" s="1"/>
  <c r="D1159" i="6"/>
  <c r="E1159" i="6" s="1"/>
  <c r="G1159" i="6"/>
  <c r="H1159" i="6" s="1"/>
  <c r="F1159" i="6"/>
  <c r="I1159" i="6" s="1"/>
  <c r="B1159" i="6"/>
  <c r="B1158" i="6"/>
  <c r="D1158" i="6"/>
  <c r="E1158" i="6" s="1"/>
  <c r="F1158" i="6"/>
  <c r="I1158" i="6" s="1"/>
  <c r="G1158" i="6"/>
  <c r="H1158" i="6" s="1"/>
  <c r="B1157" i="6"/>
  <c r="D1157" i="6"/>
  <c r="E1157" i="6" s="1"/>
  <c r="G1157" i="6"/>
  <c r="H1157" i="6" s="1"/>
  <c r="F1157" i="6"/>
  <c r="I1157" i="6" s="1"/>
  <c r="F1156" i="6"/>
  <c r="I1156" i="6" s="1"/>
  <c r="G1156" i="6"/>
  <c r="H1156" i="6" s="1"/>
  <c r="D1156" i="6"/>
  <c r="E1156" i="6" s="1"/>
  <c r="B1156" i="6"/>
  <c r="G1155" i="6"/>
  <c r="H1155" i="6" s="1"/>
  <c r="B1155" i="6"/>
  <c r="D1155" i="6"/>
  <c r="E1155" i="6" s="1"/>
  <c r="F1155" i="6"/>
  <c r="I1155" i="6" s="1"/>
  <c r="B1154" i="6"/>
  <c r="G1154" i="6"/>
  <c r="H1154" i="6" s="1"/>
  <c r="F1154" i="6"/>
  <c r="I1154" i="6" s="1"/>
  <c r="D1154" i="6"/>
  <c r="E1154" i="6" s="1"/>
  <c r="D1153" i="6"/>
  <c r="E1153" i="6" s="1"/>
  <c r="F1153" i="6"/>
  <c r="I1153" i="6" s="1"/>
  <c r="G1153" i="6"/>
  <c r="H1153" i="6" s="1"/>
  <c r="B1153" i="6"/>
  <c r="B1152" i="6"/>
  <c r="D1152" i="6"/>
  <c r="E1152" i="6" s="1"/>
  <c r="F1152" i="6"/>
  <c r="I1152" i="6" s="1"/>
  <c r="G1152" i="6"/>
  <c r="H1152" i="6" s="1"/>
  <c r="B1151" i="6"/>
  <c r="D1151" i="6"/>
  <c r="E1151" i="6" s="1"/>
  <c r="F1151" i="6"/>
  <c r="I1151" i="6" s="1"/>
  <c r="G1151" i="6"/>
  <c r="H1151" i="6" s="1"/>
  <c r="G1150" i="6"/>
  <c r="H1150" i="6" s="1"/>
  <c r="D1150" i="6"/>
  <c r="E1150" i="6" s="1"/>
  <c r="F1150" i="6"/>
  <c r="I1150" i="6" s="1"/>
  <c r="B1150" i="6"/>
  <c r="F1149" i="6"/>
  <c r="I1149" i="6" s="1"/>
  <c r="D1149" i="6"/>
  <c r="E1149" i="6" s="1"/>
  <c r="B1149" i="6"/>
  <c r="G1149" i="6"/>
  <c r="H1149" i="6" s="1"/>
  <c r="G1148" i="6"/>
  <c r="H1148" i="6" s="1"/>
  <c r="F1148" i="6"/>
  <c r="I1148" i="6" s="1"/>
  <c r="D1148" i="6"/>
  <c r="E1148" i="6" s="1"/>
  <c r="B1148" i="6"/>
  <c r="G1147" i="6"/>
  <c r="H1147" i="6" s="1"/>
  <c r="F1147" i="6"/>
  <c r="I1147" i="6" s="1"/>
  <c r="B1147" i="6"/>
  <c r="D1147" i="6"/>
  <c r="E1147" i="6" s="1"/>
  <c r="G1146" i="6"/>
  <c r="H1146" i="6" s="1"/>
  <c r="F1146" i="6"/>
  <c r="I1146" i="6" s="1"/>
  <c r="D1146" i="6"/>
  <c r="E1146" i="6" s="1"/>
  <c r="B1146" i="6"/>
  <c r="F1145" i="6"/>
  <c r="I1145" i="6" s="1"/>
  <c r="G1145" i="6"/>
  <c r="H1145" i="6" s="1"/>
  <c r="D1145" i="6"/>
  <c r="E1145" i="6" s="1"/>
  <c r="B1145" i="6"/>
  <c r="D1144" i="6"/>
  <c r="E1144" i="6" s="1"/>
  <c r="G1144" i="6"/>
  <c r="H1144" i="6" s="1"/>
  <c r="B1144" i="6"/>
  <c r="F1144" i="6"/>
  <c r="I1144" i="6" s="1"/>
  <c r="D1143" i="6"/>
  <c r="E1143" i="6" s="1"/>
  <c r="F1143" i="6"/>
  <c r="I1143" i="6" s="1"/>
  <c r="B1143" i="6"/>
  <c r="G1143" i="6"/>
  <c r="H1143" i="6" s="1"/>
  <c r="F1142" i="6"/>
  <c r="I1142" i="6" s="1"/>
  <c r="G1142" i="6"/>
  <c r="H1142" i="6" s="1"/>
  <c r="B1142" i="6"/>
  <c r="D1142" i="6"/>
  <c r="E1142" i="6" s="1"/>
  <c r="D1141" i="6"/>
  <c r="E1141" i="6" s="1"/>
  <c r="B1141" i="6"/>
  <c r="G1141" i="6"/>
  <c r="H1141" i="6" s="1"/>
  <c r="F1141" i="6"/>
  <c r="I1141" i="6" s="1"/>
  <c r="D1140" i="6"/>
  <c r="E1140" i="6" s="1"/>
  <c r="G1140" i="6"/>
  <c r="H1140" i="6" s="1"/>
  <c r="F1140" i="6"/>
  <c r="I1140" i="6" s="1"/>
  <c r="B1140" i="6"/>
  <c r="G1139" i="6"/>
  <c r="H1139" i="6" s="1"/>
  <c r="F1139" i="6"/>
  <c r="I1139" i="6" s="1"/>
  <c r="D1139" i="6"/>
  <c r="E1139" i="6" s="1"/>
  <c r="B1139" i="6"/>
  <c r="G1138" i="6"/>
  <c r="H1138" i="6" s="1"/>
  <c r="F1138" i="6"/>
  <c r="I1138" i="6" s="1"/>
  <c r="D1138" i="6"/>
  <c r="E1138" i="6" s="1"/>
  <c r="B1138" i="6"/>
  <c r="B1137" i="6"/>
  <c r="G1137" i="6"/>
  <c r="H1137" i="6" s="1"/>
  <c r="F1137" i="6"/>
  <c r="I1137" i="6" s="1"/>
  <c r="D1137" i="6"/>
  <c r="E1137" i="6" s="1"/>
  <c r="G1136" i="6"/>
  <c r="H1136" i="6" s="1"/>
  <c r="F1136" i="6"/>
  <c r="I1136" i="6" s="1"/>
  <c r="D1136" i="6"/>
  <c r="E1136" i="6" s="1"/>
  <c r="B1136" i="6"/>
  <c r="D1135" i="6"/>
  <c r="E1135" i="6" s="1"/>
  <c r="G1135" i="6"/>
  <c r="H1135" i="6" s="1"/>
  <c r="F1135" i="6"/>
  <c r="I1135" i="6" s="1"/>
  <c r="B1135" i="6"/>
  <c r="G1134" i="6"/>
  <c r="H1134" i="6" s="1"/>
  <c r="F1134" i="6"/>
  <c r="I1134" i="6" s="1"/>
  <c r="D1134" i="6"/>
  <c r="E1134" i="6" s="1"/>
  <c r="B1134" i="6"/>
  <c r="G1133" i="6"/>
  <c r="H1133" i="6" s="1"/>
  <c r="F1133" i="6"/>
  <c r="I1133" i="6" s="1"/>
  <c r="D1133" i="6"/>
  <c r="E1133" i="6" s="1"/>
  <c r="B1133" i="6"/>
  <c r="F1132" i="6"/>
  <c r="I1132" i="6" s="1"/>
  <c r="B1132" i="6"/>
  <c r="D1132" i="6"/>
  <c r="E1132" i="6" s="1"/>
  <c r="G1132" i="6"/>
  <c r="H1132" i="6" s="1"/>
  <c r="B1131" i="6"/>
  <c r="D1131" i="6"/>
  <c r="E1131" i="6" s="1"/>
  <c r="F1131" i="6"/>
  <c r="I1131" i="6" s="1"/>
  <c r="G1131" i="6"/>
  <c r="H1131" i="6" s="1"/>
  <c r="B1130" i="6"/>
  <c r="D1130" i="6"/>
  <c r="E1130" i="6" s="1"/>
  <c r="F1130" i="6"/>
  <c r="I1130" i="6" s="1"/>
  <c r="G1130" i="6"/>
  <c r="H1130" i="6" s="1"/>
  <c r="F1129" i="6"/>
  <c r="I1129" i="6" s="1"/>
  <c r="B1129" i="6"/>
  <c r="D1129" i="6"/>
  <c r="E1129" i="6" s="1"/>
  <c r="G1129" i="6"/>
  <c r="H1129" i="6" s="1"/>
  <c r="F1128" i="6"/>
  <c r="I1128" i="6" s="1"/>
  <c r="G1128" i="6"/>
  <c r="H1128" i="6" s="1"/>
  <c r="D1128" i="6"/>
  <c r="E1128" i="6" s="1"/>
  <c r="B1128" i="6"/>
  <c r="F1127" i="6"/>
  <c r="I1127" i="6" s="1"/>
  <c r="D1127" i="6"/>
  <c r="E1127" i="6" s="1"/>
  <c r="G1127" i="6"/>
  <c r="H1127" i="6" s="1"/>
  <c r="B1127" i="6"/>
  <c r="D1126" i="6"/>
  <c r="E1126" i="6" s="1"/>
  <c r="G1126" i="6"/>
  <c r="H1126" i="6" s="1"/>
  <c r="B1126" i="6"/>
  <c r="F1126" i="6"/>
  <c r="I1126" i="6" s="1"/>
  <c r="F1125" i="6"/>
  <c r="I1125" i="6" s="1"/>
  <c r="G1125" i="6"/>
  <c r="H1125" i="6" s="1"/>
  <c r="B1125" i="6"/>
  <c r="D1125" i="6"/>
  <c r="E1125" i="6" s="1"/>
  <c r="B1124" i="6"/>
  <c r="G1124" i="6"/>
  <c r="H1124" i="6" s="1"/>
  <c r="F1124" i="6"/>
  <c r="I1124" i="6" s="1"/>
  <c r="D1124" i="6"/>
  <c r="E1124" i="6" s="1"/>
  <c r="B1123" i="6"/>
  <c r="D1123" i="6"/>
  <c r="E1123" i="6" s="1"/>
  <c r="G1123" i="6"/>
  <c r="H1123" i="6" s="1"/>
  <c r="F1123" i="6"/>
  <c r="I1123" i="6" s="1"/>
  <c r="B1122" i="6"/>
  <c r="D1122" i="6"/>
  <c r="E1122" i="6" s="1"/>
  <c r="F1122" i="6"/>
  <c r="I1122" i="6" s="1"/>
  <c r="G1122" i="6"/>
  <c r="H1122" i="6" s="1"/>
  <c r="G1121" i="6"/>
  <c r="H1121" i="6" s="1"/>
  <c r="F1121" i="6"/>
  <c r="I1121" i="6" s="1"/>
  <c r="D1121" i="6"/>
  <c r="E1121" i="6" s="1"/>
  <c r="B1121" i="6"/>
  <c r="G1120" i="6"/>
  <c r="H1120" i="6" s="1"/>
  <c r="F1120" i="6"/>
  <c r="I1120" i="6" s="1"/>
  <c r="B1120" i="6"/>
  <c r="D1120" i="6"/>
  <c r="E1120" i="6" s="1"/>
  <c r="G1119" i="6"/>
  <c r="H1119" i="6" s="1"/>
  <c r="B1119" i="6"/>
  <c r="D1119" i="6"/>
  <c r="E1119" i="6" s="1"/>
  <c r="F1119" i="6"/>
  <c r="I1119" i="6" s="1"/>
  <c r="B1118" i="6"/>
  <c r="F1118" i="6"/>
  <c r="I1118" i="6" s="1"/>
  <c r="G1118" i="6"/>
  <c r="H1118" i="6" s="1"/>
  <c r="D1118" i="6"/>
  <c r="E1118" i="6" s="1"/>
  <c r="D1117" i="6"/>
  <c r="E1117" i="6" s="1"/>
  <c r="F1117" i="6"/>
  <c r="I1117" i="6" s="1"/>
  <c r="G1117" i="6"/>
  <c r="H1117" i="6" s="1"/>
  <c r="B1117" i="6"/>
  <c r="F1116" i="6"/>
  <c r="I1116" i="6" s="1"/>
  <c r="G1116" i="6"/>
  <c r="H1116" i="6" s="1"/>
  <c r="B1116" i="6"/>
  <c r="D1116" i="6"/>
  <c r="E1116" i="6" s="1"/>
  <c r="D1115" i="6"/>
  <c r="E1115" i="6" s="1"/>
  <c r="G1115" i="6"/>
  <c r="H1115" i="6" s="1"/>
  <c r="F1115" i="6"/>
  <c r="I1115" i="6" s="1"/>
  <c r="B1115" i="6"/>
  <c r="B1114" i="6"/>
  <c r="G1114" i="6"/>
  <c r="H1114" i="6" s="1"/>
  <c r="F1114" i="6"/>
  <c r="I1114" i="6" s="1"/>
  <c r="D1114" i="6"/>
  <c r="E1114" i="6" s="1"/>
  <c r="F1113" i="6"/>
  <c r="I1113" i="6" s="1"/>
  <c r="B1113" i="6"/>
  <c r="D1113" i="6"/>
  <c r="E1113" i="6" s="1"/>
  <c r="G1113" i="6"/>
  <c r="H1113" i="6" s="1"/>
  <c r="F1112" i="6"/>
  <c r="I1112" i="6" s="1"/>
  <c r="D1112" i="6"/>
  <c r="E1112" i="6" s="1"/>
  <c r="B1112" i="6"/>
  <c r="G1112" i="6"/>
  <c r="H1112" i="6" s="1"/>
  <c r="B1111" i="6"/>
  <c r="D1111" i="6"/>
  <c r="E1111" i="6" s="1"/>
  <c r="F1111" i="6"/>
  <c r="I1111" i="6" s="1"/>
  <c r="G1111" i="6"/>
  <c r="H1111" i="6" s="1"/>
  <c r="B1110" i="6"/>
  <c r="D1110" i="6"/>
  <c r="E1110" i="6" s="1"/>
  <c r="G1110" i="6"/>
  <c r="H1110" i="6" s="1"/>
  <c r="F1110" i="6"/>
  <c r="I1110" i="6" s="1"/>
  <c r="B1109" i="6"/>
  <c r="D1109" i="6"/>
  <c r="E1109" i="6" s="1"/>
  <c r="F1109" i="6"/>
  <c r="I1109" i="6" s="1"/>
  <c r="G1109" i="6"/>
  <c r="H1109" i="6" s="1"/>
  <c r="G1108" i="6"/>
  <c r="H1108" i="6" s="1"/>
  <c r="B1108" i="6"/>
  <c r="D1108" i="6"/>
  <c r="E1108" i="6" s="1"/>
  <c r="F1108" i="6"/>
  <c r="I1108" i="6" s="1"/>
  <c r="G1107" i="6"/>
  <c r="H1107" i="6" s="1"/>
  <c r="F1107" i="6"/>
  <c r="I1107" i="6" s="1"/>
  <c r="D1107" i="6"/>
  <c r="E1107" i="6" s="1"/>
  <c r="B1107" i="6"/>
  <c r="G1106" i="6"/>
  <c r="H1106" i="6" s="1"/>
  <c r="F1106" i="6"/>
  <c r="I1106" i="6" s="1"/>
  <c r="D1106" i="6"/>
  <c r="E1106" i="6" s="1"/>
  <c r="B1106" i="6"/>
  <c r="G1105" i="6"/>
  <c r="H1105" i="6" s="1"/>
  <c r="D1105" i="6"/>
  <c r="E1105" i="6" s="1"/>
  <c r="B1105" i="6"/>
  <c r="F1105" i="6"/>
  <c r="I1105" i="6" s="1"/>
  <c r="G1104" i="6"/>
  <c r="H1104" i="6" s="1"/>
  <c r="F1104" i="6"/>
  <c r="I1104" i="6" s="1"/>
  <c r="D1104" i="6"/>
  <c r="E1104" i="6" s="1"/>
  <c r="B1104" i="6"/>
  <c r="G1103" i="6"/>
  <c r="H1103" i="6" s="1"/>
  <c r="F1103" i="6"/>
  <c r="I1103" i="6" s="1"/>
  <c r="B1103" i="6"/>
  <c r="D1103" i="6"/>
  <c r="E1103" i="6" s="1"/>
  <c r="B1102" i="6"/>
  <c r="F1102" i="6"/>
  <c r="I1102" i="6" s="1"/>
  <c r="G1102" i="6"/>
  <c r="H1102" i="6" s="1"/>
  <c r="D1102" i="6"/>
  <c r="E1102" i="6" s="1"/>
  <c r="B1101" i="6"/>
  <c r="D1101" i="6"/>
  <c r="E1101" i="6" s="1"/>
  <c r="F1101" i="6"/>
  <c r="I1101" i="6" s="1"/>
  <c r="G1101" i="6"/>
  <c r="H1101" i="6" s="1"/>
  <c r="F1100" i="6"/>
  <c r="I1100" i="6" s="1"/>
  <c r="D1100" i="6"/>
  <c r="E1100" i="6" s="1"/>
  <c r="G1100" i="6"/>
  <c r="H1100" i="6" s="1"/>
  <c r="B1100" i="6"/>
  <c r="B1099" i="6"/>
  <c r="D1099" i="6"/>
  <c r="E1099" i="6" s="1"/>
  <c r="F1099" i="6"/>
  <c r="I1099" i="6" s="1"/>
  <c r="G1099" i="6"/>
  <c r="H1099" i="6" s="1"/>
  <c r="F1098" i="6"/>
  <c r="I1098" i="6" s="1"/>
  <c r="D1098" i="6"/>
  <c r="E1098" i="6" s="1"/>
  <c r="B1098" i="6"/>
  <c r="G1098" i="6"/>
  <c r="H1098" i="6" s="1"/>
  <c r="G1097" i="6"/>
  <c r="H1097" i="6" s="1"/>
  <c r="D1097" i="6"/>
  <c r="E1097" i="6" s="1"/>
  <c r="B1097" i="6"/>
  <c r="F1097" i="6"/>
  <c r="I1097" i="6" s="1"/>
  <c r="D1096" i="6"/>
  <c r="E1096" i="6" s="1"/>
  <c r="F1096" i="6"/>
  <c r="I1096" i="6" s="1"/>
  <c r="B1096" i="6"/>
  <c r="G1096" i="6"/>
  <c r="H1096" i="6" s="1"/>
  <c r="G1095" i="6"/>
  <c r="H1095" i="6" s="1"/>
  <c r="D1095" i="6"/>
  <c r="E1095" i="6" s="1"/>
  <c r="B1095" i="6"/>
  <c r="F1095" i="6"/>
  <c r="I1095" i="6" s="1"/>
  <c r="G1094" i="6"/>
  <c r="H1094" i="6" s="1"/>
  <c r="D1094" i="6"/>
  <c r="E1094" i="6" s="1"/>
  <c r="F1094" i="6"/>
  <c r="I1094" i="6" s="1"/>
  <c r="B1094" i="6"/>
  <c r="F1093" i="6"/>
  <c r="I1093" i="6" s="1"/>
  <c r="G1093" i="6"/>
  <c r="H1093" i="6" s="1"/>
  <c r="D1093" i="6"/>
  <c r="E1093" i="6" s="1"/>
  <c r="B1093" i="6"/>
  <c r="B1092" i="6"/>
  <c r="G1092" i="6"/>
  <c r="H1092" i="6" s="1"/>
  <c r="F1092" i="6"/>
  <c r="I1092" i="6" s="1"/>
  <c r="D1092" i="6"/>
  <c r="E1092" i="6" s="1"/>
  <c r="F1091" i="6"/>
  <c r="I1091" i="6" s="1"/>
  <c r="G1091" i="6"/>
  <c r="H1091" i="6" s="1"/>
  <c r="D1091" i="6"/>
  <c r="E1091" i="6" s="1"/>
  <c r="B1091" i="6"/>
  <c r="F1090" i="6"/>
  <c r="I1090" i="6" s="1"/>
  <c r="D1090" i="6"/>
  <c r="E1090" i="6" s="1"/>
  <c r="B1090" i="6"/>
  <c r="G1090" i="6"/>
  <c r="H1090" i="6" s="1"/>
  <c r="G1089" i="6"/>
  <c r="H1089" i="6" s="1"/>
  <c r="F1089" i="6"/>
  <c r="I1089" i="6" s="1"/>
  <c r="D1089" i="6"/>
  <c r="E1089" i="6" s="1"/>
  <c r="B1089" i="6"/>
  <c r="G1088" i="6"/>
  <c r="H1088" i="6" s="1"/>
  <c r="F1088" i="6"/>
  <c r="I1088" i="6" s="1"/>
  <c r="D1088" i="6"/>
  <c r="E1088" i="6" s="1"/>
  <c r="B1088" i="6"/>
  <c r="G1087" i="6"/>
  <c r="H1087" i="6" s="1"/>
  <c r="B1087" i="6"/>
  <c r="F1087" i="6"/>
  <c r="I1087" i="6" s="1"/>
  <c r="D1087" i="6"/>
  <c r="E1087" i="6" s="1"/>
  <c r="F1086" i="6"/>
  <c r="I1086" i="6" s="1"/>
  <c r="D1086" i="6"/>
  <c r="E1086" i="6" s="1"/>
  <c r="B1086" i="6"/>
  <c r="G1086" i="6"/>
  <c r="H1086" i="6" s="1"/>
  <c r="G1085" i="6"/>
  <c r="H1085" i="6" s="1"/>
  <c r="F1085" i="6"/>
  <c r="I1085" i="6" s="1"/>
  <c r="D1085" i="6"/>
  <c r="E1085" i="6" s="1"/>
  <c r="B1085" i="6"/>
  <c r="G1084" i="6"/>
  <c r="H1084" i="6" s="1"/>
  <c r="F1084" i="6"/>
  <c r="I1084" i="6" s="1"/>
  <c r="D1084" i="6"/>
  <c r="E1084" i="6" s="1"/>
  <c r="B1084" i="6"/>
  <c r="G1083" i="6"/>
  <c r="H1083" i="6" s="1"/>
  <c r="F1083" i="6"/>
  <c r="I1083" i="6" s="1"/>
  <c r="D1083" i="6"/>
  <c r="E1083" i="6" s="1"/>
  <c r="B1083" i="6"/>
  <c r="B1082" i="6"/>
  <c r="D1082" i="6"/>
  <c r="E1082" i="6" s="1"/>
  <c r="F1082" i="6"/>
  <c r="I1082" i="6" s="1"/>
  <c r="G1082" i="6"/>
  <c r="H1082" i="6" s="1"/>
  <c r="D1081" i="6"/>
  <c r="E1081" i="6" s="1"/>
  <c r="F1081" i="6"/>
  <c r="I1081" i="6" s="1"/>
  <c r="G1081" i="6"/>
  <c r="H1081" i="6" s="1"/>
  <c r="B1081" i="6"/>
  <c r="G1080" i="6"/>
  <c r="H1080" i="6" s="1"/>
  <c r="F1080" i="6"/>
  <c r="I1080" i="6" s="1"/>
  <c r="D1080" i="6"/>
  <c r="E1080" i="6" s="1"/>
  <c r="B1080" i="6"/>
  <c r="F1079" i="6"/>
  <c r="I1079" i="6" s="1"/>
  <c r="D1079" i="6"/>
  <c r="E1079" i="6" s="1"/>
  <c r="B1079" i="6"/>
  <c r="G1079" i="6"/>
  <c r="H1079" i="6" s="1"/>
  <c r="F1078" i="6"/>
  <c r="I1078" i="6" s="1"/>
  <c r="D1078" i="6"/>
  <c r="E1078" i="6" s="1"/>
  <c r="B1078" i="6"/>
  <c r="G1078" i="6"/>
  <c r="H1078" i="6" s="1"/>
  <c r="F1077" i="6"/>
  <c r="I1077" i="6" s="1"/>
  <c r="G1077" i="6"/>
  <c r="H1077" i="6" s="1"/>
  <c r="D1077" i="6"/>
  <c r="E1077" i="6" s="1"/>
  <c r="B1077" i="6"/>
  <c r="F1076" i="6"/>
  <c r="I1076" i="6" s="1"/>
  <c r="G1076" i="6"/>
  <c r="H1076" i="6" s="1"/>
  <c r="B1076" i="6"/>
  <c r="D1076" i="6"/>
  <c r="E1076" i="6" s="1"/>
  <c r="B1075" i="6"/>
  <c r="D1075" i="6"/>
  <c r="E1075" i="6" s="1"/>
  <c r="F1075" i="6"/>
  <c r="I1075" i="6" s="1"/>
  <c r="G1075" i="6"/>
  <c r="H1075" i="6" s="1"/>
  <c r="G1074" i="6"/>
  <c r="H1074" i="6" s="1"/>
  <c r="F1074" i="6"/>
  <c r="I1074" i="6" s="1"/>
  <c r="D1074" i="6"/>
  <c r="E1074" i="6" s="1"/>
  <c r="B1074" i="6"/>
  <c r="G1073" i="6"/>
  <c r="H1073" i="6" s="1"/>
  <c r="F1073" i="6"/>
  <c r="I1073" i="6" s="1"/>
  <c r="D1073" i="6"/>
  <c r="E1073" i="6" s="1"/>
  <c r="B1073" i="6"/>
  <c r="D1072" i="6"/>
  <c r="E1072" i="6" s="1"/>
  <c r="B1072" i="6"/>
  <c r="G1072" i="6"/>
  <c r="H1072" i="6" s="1"/>
  <c r="F1072" i="6"/>
  <c r="I1072" i="6" s="1"/>
  <c r="F1071" i="6"/>
  <c r="I1071" i="6" s="1"/>
  <c r="D1071" i="6"/>
  <c r="E1071" i="6" s="1"/>
  <c r="B1071" i="6"/>
  <c r="G1071" i="6"/>
  <c r="H1071" i="6" s="1"/>
  <c r="D1070" i="6"/>
  <c r="E1070" i="6" s="1"/>
  <c r="B1070" i="6"/>
  <c r="F1070" i="6"/>
  <c r="I1070" i="6" s="1"/>
  <c r="G1070" i="6"/>
  <c r="H1070" i="6" s="1"/>
  <c r="G1069" i="6"/>
  <c r="H1069" i="6" s="1"/>
  <c r="F1069" i="6"/>
  <c r="I1069" i="6" s="1"/>
  <c r="D1069" i="6"/>
  <c r="E1069" i="6" s="1"/>
  <c r="B1069" i="6"/>
  <c r="G1068" i="6"/>
  <c r="H1068" i="6" s="1"/>
  <c r="F1068" i="6"/>
  <c r="I1068" i="6" s="1"/>
  <c r="D1068" i="6"/>
  <c r="E1068" i="6" s="1"/>
  <c r="B1068" i="6"/>
  <c r="G1067" i="6"/>
  <c r="H1067" i="6" s="1"/>
  <c r="F1067" i="6"/>
  <c r="I1067" i="6" s="1"/>
  <c r="D1067" i="6"/>
  <c r="E1067" i="6" s="1"/>
  <c r="B1067" i="6"/>
  <c r="B1066" i="6"/>
  <c r="D1066" i="6"/>
  <c r="E1066" i="6" s="1"/>
  <c r="F1066" i="6"/>
  <c r="I1066" i="6" s="1"/>
  <c r="G1066" i="6"/>
  <c r="H1066" i="6" s="1"/>
  <c r="D1065" i="6"/>
  <c r="E1065" i="6" s="1"/>
  <c r="B1065" i="6"/>
  <c r="F1065" i="6"/>
  <c r="I1065" i="6" s="1"/>
  <c r="G1065" i="6"/>
  <c r="H1065" i="6" s="1"/>
  <c r="G1064" i="6"/>
  <c r="H1064" i="6" s="1"/>
  <c r="F1064" i="6"/>
  <c r="I1064" i="6" s="1"/>
  <c r="D1064" i="6"/>
  <c r="E1064" i="6" s="1"/>
  <c r="B1064" i="6"/>
  <c r="G1063" i="6"/>
  <c r="H1063" i="6" s="1"/>
  <c r="D1063" i="6"/>
  <c r="E1063" i="6" s="1"/>
  <c r="B1063" i="6"/>
  <c r="F1063" i="6"/>
  <c r="I1063" i="6" s="1"/>
  <c r="D1062" i="6"/>
  <c r="E1062" i="6" s="1"/>
  <c r="B1062" i="6"/>
  <c r="G1062" i="6"/>
  <c r="H1062" i="6" s="1"/>
  <c r="F1062" i="6"/>
  <c r="I1062" i="6" s="1"/>
  <c r="G1061" i="6"/>
  <c r="H1061" i="6" s="1"/>
  <c r="F1061" i="6"/>
  <c r="I1061" i="6" s="1"/>
  <c r="D1061" i="6"/>
  <c r="E1061" i="6" s="1"/>
  <c r="B1061" i="6"/>
  <c r="D1060" i="6"/>
  <c r="E1060" i="6" s="1"/>
  <c r="B1060" i="6"/>
  <c r="G1060" i="6"/>
  <c r="H1060" i="6" s="1"/>
  <c r="F1060" i="6"/>
  <c r="I1060" i="6" s="1"/>
  <c r="G1059" i="6"/>
  <c r="H1059" i="6" s="1"/>
  <c r="F1059" i="6"/>
  <c r="I1059" i="6" s="1"/>
  <c r="D1059" i="6"/>
  <c r="E1059" i="6" s="1"/>
  <c r="B1059" i="6"/>
  <c r="G1058" i="6"/>
  <c r="H1058" i="6" s="1"/>
  <c r="D1058" i="6"/>
  <c r="E1058" i="6" s="1"/>
  <c r="B1058" i="6"/>
  <c r="F1058" i="6"/>
  <c r="I1058" i="6" s="1"/>
  <c r="G1057" i="6"/>
  <c r="H1057" i="6" s="1"/>
  <c r="F1057" i="6"/>
  <c r="I1057" i="6" s="1"/>
  <c r="D1057" i="6"/>
  <c r="E1057" i="6" s="1"/>
  <c r="B1057" i="6"/>
  <c r="G1056" i="6"/>
  <c r="H1056" i="6" s="1"/>
  <c r="D1056" i="6"/>
  <c r="E1056" i="6" s="1"/>
  <c r="B1056" i="6"/>
  <c r="F1056" i="6"/>
  <c r="I1056" i="6" s="1"/>
  <c r="G1055" i="6"/>
  <c r="H1055" i="6" s="1"/>
  <c r="F1055" i="6"/>
  <c r="I1055" i="6" s="1"/>
  <c r="B1055" i="6"/>
  <c r="D1055" i="6"/>
  <c r="E1055" i="6" s="1"/>
  <c r="G1054" i="6"/>
  <c r="H1054" i="6" s="1"/>
  <c r="F1054" i="6"/>
  <c r="I1054" i="6" s="1"/>
  <c r="D1054" i="6"/>
  <c r="E1054" i="6" s="1"/>
  <c r="B1054" i="6"/>
  <c r="G1053" i="6"/>
  <c r="H1053" i="6" s="1"/>
  <c r="F1053" i="6"/>
  <c r="I1053" i="6" s="1"/>
  <c r="D1053" i="6"/>
  <c r="E1053" i="6" s="1"/>
  <c r="B1053" i="6"/>
  <c r="G1052" i="6"/>
  <c r="H1052" i="6" s="1"/>
  <c r="F1052" i="6"/>
  <c r="I1052" i="6" s="1"/>
  <c r="D1052" i="6"/>
  <c r="E1052" i="6" s="1"/>
  <c r="B1052" i="6"/>
  <c r="G1051" i="6"/>
  <c r="H1051" i="6" s="1"/>
  <c r="F1051" i="6"/>
  <c r="I1051" i="6" s="1"/>
  <c r="D1051" i="6"/>
  <c r="E1051" i="6" s="1"/>
  <c r="B1051" i="6"/>
  <c r="G1050" i="6"/>
  <c r="H1050" i="6" s="1"/>
  <c r="F1050" i="6"/>
  <c r="I1050" i="6" s="1"/>
  <c r="D1050" i="6"/>
  <c r="E1050" i="6" s="1"/>
  <c r="B1050" i="6"/>
  <c r="G1049" i="6"/>
  <c r="H1049" i="6" s="1"/>
  <c r="F1049" i="6"/>
  <c r="I1049" i="6" s="1"/>
  <c r="D1049" i="6"/>
  <c r="E1049" i="6" s="1"/>
  <c r="B1049" i="6"/>
  <c r="G1048" i="6"/>
  <c r="H1048" i="6" s="1"/>
  <c r="F1048" i="6"/>
  <c r="I1048" i="6" s="1"/>
  <c r="D1048" i="6"/>
  <c r="E1048" i="6" s="1"/>
  <c r="B1048" i="6"/>
  <c r="G1047" i="6"/>
  <c r="H1047" i="6" s="1"/>
  <c r="F1047" i="6"/>
  <c r="I1047" i="6" s="1"/>
  <c r="D1047" i="6"/>
  <c r="E1047" i="6" s="1"/>
  <c r="B1047" i="6"/>
  <c r="G1046" i="6"/>
  <c r="H1046" i="6" s="1"/>
  <c r="F1046" i="6"/>
  <c r="I1046" i="6" s="1"/>
  <c r="D1046" i="6"/>
  <c r="E1046" i="6" s="1"/>
  <c r="B1046" i="6"/>
  <c r="G1045" i="6"/>
  <c r="H1045" i="6" s="1"/>
  <c r="F1045" i="6"/>
  <c r="I1045" i="6" s="1"/>
  <c r="D1045" i="6"/>
  <c r="E1045" i="6" s="1"/>
  <c r="B1045" i="6"/>
  <c r="G1044" i="6"/>
  <c r="H1044" i="6" s="1"/>
  <c r="F1044" i="6"/>
  <c r="I1044" i="6" s="1"/>
  <c r="D1044" i="6"/>
  <c r="E1044" i="6" s="1"/>
  <c r="B1044" i="6"/>
  <c r="G1043" i="6"/>
  <c r="H1043" i="6" s="1"/>
  <c r="F1043" i="6"/>
  <c r="I1043" i="6" s="1"/>
  <c r="D1043" i="6"/>
  <c r="E1043" i="6" s="1"/>
  <c r="B1043" i="6"/>
  <c r="G1042" i="6"/>
  <c r="H1042" i="6" s="1"/>
  <c r="F1042" i="6"/>
  <c r="I1042" i="6" s="1"/>
  <c r="D1042" i="6"/>
  <c r="E1042" i="6" s="1"/>
  <c r="B1042" i="6"/>
  <c r="G1041" i="6"/>
  <c r="H1041" i="6" s="1"/>
  <c r="F1041" i="6"/>
  <c r="I1041" i="6" s="1"/>
  <c r="D1041" i="6"/>
  <c r="E1041" i="6" s="1"/>
  <c r="B1041" i="6"/>
  <c r="G1040" i="6"/>
  <c r="H1040" i="6" s="1"/>
  <c r="F1040" i="6"/>
  <c r="I1040" i="6" s="1"/>
  <c r="D1040" i="6"/>
  <c r="E1040" i="6" s="1"/>
  <c r="B1040" i="6"/>
  <c r="G1039" i="6"/>
  <c r="H1039" i="6" s="1"/>
  <c r="F1039" i="6"/>
  <c r="I1039" i="6" s="1"/>
  <c r="D1039" i="6"/>
  <c r="E1039" i="6" s="1"/>
  <c r="B1039" i="6"/>
  <c r="G1038" i="6"/>
  <c r="H1038" i="6" s="1"/>
  <c r="F1038" i="6"/>
  <c r="I1038" i="6" s="1"/>
  <c r="D1038" i="6"/>
  <c r="E1038" i="6" s="1"/>
  <c r="B1038" i="6"/>
  <c r="G1037" i="6"/>
  <c r="H1037" i="6" s="1"/>
  <c r="F1037" i="6"/>
  <c r="I1037" i="6" s="1"/>
  <c r="D1037" i="6"/>
  <c r="E1037" i="6" s="1"/>
  <c r="B1037" i="6"/>
  <c r="G1036" i="6"/>
  <c r="H1036" i="6" s="1"/>
  <c r="F1036" i="6"/>
  <c r="I1036" i="6" s="1"/>
  <c r="D1036" i="6"/>
  <c r="E1036" i="6" s="1"/>
  <c r="B1036" i="6"/>
  <c r="G1035" i="6"/>
  <c r="H1035" i="6" s="1"/>
  <c r="F1035" i="6"/>
  <c r="I1035" i="6" s="1"/>
  <c r="D1035" i="6"/>
  <c r="E1035" i="6" s="1"/>
  <c r="B1035" i="6"/>
  <c r="G1034" i="6"/>
  <c r="H1034" i="6" s="1"/>
  <c r="F1034" i="6"/>
  <c r="I1034" i="6" s="1"/>
  <c r="D1034" i="6"/>
  <c r="E1034" i="6" s="1"/>
  <c r="B1034" i="6"/>
  <c r="G1033" i="6"/>
  <c r="H1033" i="6" s="1"/>
  <c r="F1033" i="6"/>
  <c r="I1033" i="6" s="1"/>
  <c r="D1033" i="6"/>
  <c r="E1033" i="6" s="1"/>
  <c r="B1033" i="6"/>
  <c r="G1032" i="6"/>
  <c r="H1032" i="6" s="1"/>
  <c r="F1032" i="6"/>
  <c r="I1032" i="6" s="1"/>
  <c r="D1032" i="6"/>
  <c r="E1032" i="6" s="1"/>
  <c r="B1032" i="6"/>
  <c r="G1031" i="6"/>
  <c r="H1031" i="6" s="1"/>
  <c r="F1031" i="6"/>
  <c r="I1031" i="6" s="1"/>
  <c r="D1031" i="6"/>
  <c r="E1031" i="6" s="1"/>
  <c r="B1031" i="6"/>
  <c r="G1030" i="6"/>
  <c r="H1030" i="6" s="1"/>
  <c r="F1030" i="6"/>
  <c r="I1030" i="6" s="1"/>
  <c r="D1030" i="6"/>
  <c r="E1030" i="6" s="1"/>
  <c r="B1030" i="6"/>
  <c r="G1029" i="6"/>
  <c r="H1029" i="6" s="1"/>
  <c r="F1029" i="6"/>
  <c r="I1029" i="6" s="1"/>
  <c r="D1029" i="6"/>
  <c r="E1029" i="6" s="1"/>
  <c r="B1029" i="6"/>
  <c r="B1028" i="6"/>
  <c r="G1028" i="6"/>
  <c r="H1028" i="6" s="1"/>
  <c r="D1028" i="6"/>
  <c r="E1028" i="6" s="1"/>
  <c r="F1028" i="6"/>
  <c r="I1028" i="6" s="1"/>
  <c r="B1027" i="6"/>
  <c r="G1027" i="6"/>
  <c r="H1027" i="6" s="1"/>
  <c r="F1027" i="6"/>
  <c r="I1027" i="6" s="1"/>
  <c r="D1027" i="6"/>
  <c r="E1027" i="6" s="1"/>
  <c r="D1026" i="6"/>
  <c r="E1026" i="6" s="1"/>
  <c r="F1026" i="6"/>
  <c r="I1026" i="6" s="1"/>
  <c r="G1026" i="6"/>
  <c r="H1026" i="6" s="1"/>
  <c r="B1026" i="6"/>
  <c r="D1025" i="6"/>
  <c r="E1025" i="6" s="1"/>
  <c r="F1025" i="6"/>
  <c r="I1025" i="6" s="1"/>
  <c r="G1025" i="6"/>
  <c r="H1025" i="6" s="1"/>
  <c r="B1025" i="6"/>
  <c r="G1024" i="6"/>
  <c r="H1024" i="6" s="1"/>
  <c r="D1024" i="6"/>
  <c r="E1024" i="6" s="1"/>
  <c r="B1024" i="6"/>
  <c r="F1024" i="6"/>
  <c r="I1024" i="6" s="1"/>
  <c r="G1023" i="6"/>
  <c r="H1023" i="6" s="1"/>
  <c r="F1023" i="6"/>
  <c r="I1023" i="6" s="1"/>
  <c r="D1023" i="6"/>
  <c r="E1023" i="6" s="1"/>
  <c r="B1023" i="6"/>
  <c r="G1022" i="6"/>
  <c r="H1022" i="6" s="1"/>
  <c r="B1022" i="6"/>
  <c r="D1022" i="6"/>
  <c r="E1022" i="6" s="1"/>
  <c r="F1022" i="6"/>
  <c r="I1022" i="6" s="1"/>
  <c r="G1021" i="6"/>
  <c r="H1021" i="6" s="1"/>
  <c r="F1021" i="6"/>
  <c r="I1021" i="6" s="1"/>
  <c r="D1021" i="6"/>
  <c r="E1021" i="6" s="1"/>
  <c r="B1021" i="6"/>
  <c r="D1020" i="6"/>
  <c r="E1020" i="6" s="1"/>
  <c r="B1020" i="6"/>
  <c r="G1020" i="6"/>
  <c r="H1020" i="6" s="1"/>
  <c r="F1020" i="6"/>
  <c r="I1020" i="6" s="1"/>
  <c r="G1019" i="6"/>
  <c r="H1019" i="6" s="1"/>
  <c r="F1019" i="6"/>
  <c r="I1019" i="6" s="1"/>
  <c r="D1019" i="6"/>
  <c r="E1019" i="6" s="1"/>
  <c r="B1019" i="6"/>
  <c r="G1018" i="6"/>
  <c r="H1018" i="6" s="1"/>
  <c r="F1018" i="6"/>
  <c r="I1018" i="6" s="1"/>
  <c r="D1018" i="6"/>
  <c r="E1018" i="6" s="1"/>
  <c r="B1018" i="6"/>
  <c r="G1017" i="6"/>
  <c r="H1017" i="6" s="1"/>
  <c r="F1017" i="6"/>
  <c r="I1017" i="6" s="1"/>
  <c r="D1017" i="6"/>
  <c r="E1017" i="6" s="1"/>
  <c r="B1017" i="6"/>
  <c r="G1016" i="6"/>
  <c r="H1016" i="6" s="1"/>
  <c r="F1016" i="6"/>
  <c r="I1016" i="6" s="1"/>
  <c r="D1016" i="6"/>
  <c r="E1016" i="6" s="1"/>
  <c r="B1016" i="6"/>
  <c r="G1015" i="6"/>
  <c r="H1015" i="6" s="1"/>
  <c r="F1015" i="6"/>
  <c r="I1015" i="6" s="1"/>
  <c r="D1015" i="6"/>
  <c r="E1015" i="6" s="1"/>
  <c r="B1015" i="6"/>
  <c r="G1014" i="6"/>
  <c r="H1014" i="6" s="1"/>
  <c r="F1014" i="6"/>
  <c r="I1014" i="6" s="1"/>
  <c r="D1014" i="6"/>
  <c r="E1014" i="6" s="1"/>
  <c r="B1014" i="6"/>
  <c r="D1013" i="6"/>
  <c r="E1013" i="6" s="1"/>
  <c r="G1013" i="6"/>
  <c r="H1013" i="6" s="1"/>
  <c r="F1013" i="6"/>
  <c r="I1013" i="6" s="1"/>
  <c r="B1013" i="6"/>
  <c r="B1012" i="6"/>
  <c r="D1012" i="6"/>
  <c r="E1012" i="6" s="1"/>
  <c r="F1012" i="6"/>
  <c r="I1012" i="6" s="1"/>
  <c r="G1012" i="6"/>
  <c r="H1012" i="6" s="1"/>
  <c r="F1011" i="6"/>
  <c r="I1011" i="6" s="1"/>
  <c r="G1011" i="6"/>
  <c r="H1011" i="6" s="1"/>
  <c r="B1011" i="6"/>
  <c r="D1011" i="6"/>
  <c r="E1011" i="6" s="1"/>
  <c r="D1010" i="6"/>
  <c r="E1010" i="6" s="1"/>
  <c r="B1010" i="6"/>
  <c r="F1010" i="6"/>
  <c r="I1010" i="6" s="1"/>
  <c r="G1010" i="6"/>
  <c r="H1010" i="6" s="1"/>
  <c r="D1009" i="6"/>
  <c r="E1009" i="6" s="1"/>
  <c r="B1009" i="6"/>
  <c r="F1009" i="6"/>
  <c r="I1009" i="6" s="1"/>
  <c r="G1009" i="6"/>
  <c r="H1009" i="6" s="1"/>
  <c r="F1008" i="6"/>
  <c r="I1008" i="6" s="1"/>
  <c r="D1008" i="6"/>
  <c r="E1008" i="6" s="1"/>
  <c r="B1008" i="6"/>
  <c r="G1008" i="6"/>
  <c r="H1008" i="6" s="1"/>
  <c r="B1007" i="6"/>
  <c r="F1007" i="6"/>
  <c r="I1007" i="6" s="1"/>
  <c r="D1007" i="6"/>
  <c r="E1007" i="6" s="1"/>
  <c r="G1007" i="6"/>
  <c r="H1007" i="6" s="1"/>
  <c r="D1006" i="6"/>
  <c r="E1006" i="6" s="1"/>
  <c r="B1006" i="6"/>
  <c r="G1006" i="6"/>
  <c r="H1006" i="6" s="1"/>
  <c r="F1006" i="6"/>
  <c r="I1006" i="6" s="1"/>
  <c r="G1005" i="6"/>
  <c r="H1005" i="6" s="1"/>
  <c r="F1005" i="6"/>
  <c r="I1005" i="6" s="1"/>
  <c r="D1005" i="6"/>
  <c r="E1005" i="6" s="1"/>
  <c r="B1005" i="6"/>
  <c r="G1004" i="6"/>
  <c r="H1004" i="6" s="1"/>
  <c r="D1004" i="6"/>
  <c r="E1004" i="6" s="1"/>
  <c r="F1004" i="6"/>
  <c r="I1004" i="6" s="1"/>
  <c r="B1004" i="6"/>
  <c r="B1003" i="6"/>
  <c r="F1003" i="6"/>
  <c r="I1003" i="6" s="1"/>
  <c r="G1003" i="6"/>
  <c r="H1003" i="6" s="1"/>
  <c r="D1003" i="6"/>
  <c r="E1003" i="6" s="1"/>
  <c r="D1002" i="6"/>
  <c r="E1002" i="6" s="1"/>
  <c r="F1002" i="6"/>
  <c r="I1002" i="6" s="1"/>
  <c r="G1002" i="6"/>
  <c r="H1002" i="6" s="1"/>
  <c r="B1002" i="6"/>
  <c r="D1001" i="6"/>
  <c r="E1001" i="6" s="1"/>
  <c r="F1001" i="6"/>
  <c r="I1001" i="6" s="1"/>
  <c r="B1001" i="6"/>
  <c r="G1001" i="6"/>
  <c r="H1001" i="6" s="1"/>
  <c r="G1000" i="6"/>
  <c r="H1000" i="6" s="1"/>
  <c r="F1000" i="6"/>
  <c r="I1000" i="6" s="1"/>
  <c r="D1000" i="6"/>
  <c r="E1000" i="6" s="1"/>
  <c r="B1000" i="6"/>
  <c r="G999" i="6"/>
  <c r="H999" i="6" s="1"/>
  <c r="F999" i="6"/>
  <c r="I999" i="6" s="1"/>
  <c r="D999" i="6"/>
  <c r="E999" i="6" s="1"/>
  <c r="B999" i="6"/>
  <c r="G998" i="6"/>
  <c r="H998" i="6" s="1"/>
  <c r="D998" i="6"/>
  <c r="E998" i="6" s="1"/>
  <c r="B998" i="6"/>
  <c r="F998" i="6"/>
  <c r="I998" i="6" s="1"/>
  <c r="G997" i="6"/>
  <c r="H997" i="6" s="1"/>
  <c r="F997" i="6"/>
  <c r="I997" i="6" s="1"/>
  <c r="D997" i="6"/>
  <c r="E997" i="6" s="1"/>
  <c r="B997" i="6"/>
  <c r="G996" i="6"/>
  <c r="H996" i="6" s="1"/>
  <c r="F996" i="6"/>
  <c r="I996" i="6" s="1"/>
  <c r="D996" i="6"/>
  <c r="E996" i="6" s="1"/>
  <c r="B996" i="6"/>
  <c r="G995" i="6"/>
  <c r="H995" i="6" s="1"/>
  <c r="F995" i="6"/>
  <c r="I995" i="6" s="1"/>
  <c r="D995" i="6"/>
  <c r="E995" i="6" s="1"/>
  <c r="B995" i="6"/>
  <c r="G994" i="6"/>
  <c r="H994" i="6" s="1"/>
  <c r="F994" i="6"/>
  <c r="I994" i="6" s="1"/>
  <c r="D994" i="6"/>
  <c r="E994" i="6" s="1"/>
  <c r="B994" i="6"/>
  <c r="G993" i="6"/>
  <c r="H993" i="6" s="1"/>
  <c r="F993" i="6"/>
  <c r="I993" i="6" s="1"/>
  <c r="D993" i="6"/>
  <c r="E993" i="6" s="1"/>
  <c r="B993" i="6"/>
  <c r="G992" i="6"/>
  <c r="H992" i="6" s="1"/>
  <c r="F992" i="6"/>
  <c r="I992" i="6" s="1"/>
  <c r="D992" i="6"/>
  <c r="E992" i="6" s="1"/>
  <c r="B992" i="6"/>
  <c r="G991" i="6"/>
  <c r="H991" i="6" s="1"/>
  <c r="F991" i="6"/>
  <c r="I991" i="6" s="1"/>
  <c r="D991" i="6"/>
  <c r="E991" i="6" s="1"/>
  <c r="B991" i="6"/>
  <c r="G990" i="6"/>
  <c r="H990" i="6" s="1"/>
  <c r="F990" i="6"/>
  <c r="I990" i="6" s="1"/>
  <c r="D990" i="6"/>
  <c r="E990" i="6" s="1"/>
  <c r="B990" i="6"/>
  <c r="D989" i="6"/>
  <c r="E989" i="6" s="1"/>
  <c r="G989" i="6"/>
  <c r="H989" i="6" s="1"/>
  <c r="F989" i="6"/>
  <c r="I989" i="6" s="1"/>
  <c r="B989" i="6"/>
  <c r="B988" i="6"/>
  <c r="D988" i="6"/>
  <c r="E988" i="6" s="1"/>
  <c r="F988" i="6"/>
  <c r="I988" i="6" s="1"/>
  <c r="G988" i="6"/>
  <c r="H988" i="6" s="1"/>
  <c r="B987" i="6"/>
  <c r="D987" i="6"/>
  <c r="E987" i="6" s="1"/>
  <c r="F987" i="6"/>
  <c r="I987" i="6" s="1"/>
  <c r="G987" i="6"/>
  <c r="H987" i="6" s="1"/>
  <c r="D986" i="6"/>
  <c r="E986" i="6" s="1"/>
  <c r="F986" i="6"/>
  <c r="I986" i="6" s="1"/>
  <c r="G986" i="6"/>
  <c r="H986" i="6" s="1"/>
  <c r="B986" i="6"/>
  <c r="B985" i="6"/>
  <c r="G985" i="6"/>
  <c r="H985" i="6" s="1"/>
  <c r="F985" i="6"/>
  <c r="I985" i="6" s="1"/>
  <c r="D985" i="6"/>
  <c r="E985" i="6" s="1"/>
  <c r="G984" i="6"/>
  <c r="H984" i="6" s="1"/>
  <c r="F984" i="6"/>
  <c r="I984" i="6" s="1"/>
  <c r="D984" i="6"/>
  <c r="E984" i="6" s="1"/>
  <c r="B984" i="6"/>
  <c r="G983" i="6"/>
  <c r="H983" i="6" s="1"/>
  <c r="F983" i="6"/>
  <c r="I983" i="6" s="1"/>
  <c r="D983" i="6"/>
  <c r="E983" i="6" s="1"/>
  <c r="B983" i="6"/>
  <c r="D982" i="6"/>
  <c r="E982" i="6" s="1"/>
  <c r="F982" i="6"/>
  <c r="I982" i="6" s="1"/>
  <c r="B982" i="6"/>
  <c r="G982" i="6"/>
  <c r="H982" i="6" s="1"/>
  <c r="B981" i="6"/>
  <c r="F981" i="6"/>
  <c r="I981" i="6" s="1"/>
  <c r="G981" i="6"/>
  <c r="H981" i="6" s="1"/>
  <c r="D981" i="6"/>
  <c r="E981" i="6" s="1"/>
  <c r="B980" i="6"/>
  <c r="D980" i="6"/>
  <c r="E980" i="6" s="1"/>
  <c r="F980" i="6"/>
  <c r="I980" i="6" s="1"/>
  <c r="G980" i="6"/>
  <c r="H980" i="6" s="1"/>
  <c r="B979" i="6"/>
  <c r="D979" i="6"/>
  <c r="E979" i="6" s="1"/>
  <c r="F979" i="6"/>
  <c r="I979" i="6" s="1"/>
  <c r="G979" i="6"/>
  <c r="H979" i="6" s="1"/>
  <c r="G978" i="6"/>
  <c r="H978" i="6" s="1"/>
  <c r="F978" i="6"/>
  <c r="I978" i="6" s="1"/>
  <c r="D978" i="6"/>
  <c r="E978" i="6" s="1"/>
  <c r="B978" i="6"/>
  <c r="G977" i="6"/>
  <c r="H977" i="6" s="1"/>
  <c r="B977" i="6"/>
  <c r="D977" i="6"/>
  <c r="E977" i="6" s="1"/>
  <c r="F977" i="6"/>
  <c r="I977" i="6" s="1"/>
  <c r="B976" i="6"/>
  <c r="F976" i="6"/>
  <c r="I976" i="6" s="1"/>
  <c r="G976" i="6"/>
  <c r="H976" i="6" s="1"/>
  <c r="D976" i="6"/>
  <c r="E976" i="6" s="1"/>
  <c r="G975" i="6"/>
  <c r="H975" i="6" s="1"/>
  <c r="B975" i="6"/>
  <c r="D975" i="6"/>
  <c r="E975" i="6" s="1"/>
  <c r="F975" i="6"/>
  <c r="I975" i="6" s="1"/>
  <c r="G974" i="6"/>
  <c r="H974" i="6" s="1"/>
  <c r="B974" i="6"/>
  <c r="D974" i="6"/>
  <c r="E974" i="6" s="1"/>
  <c r="F974" i="6"/>
  <c r="I974" i="6" s="1"/>
  <c r="F973" i="6"/>
  <c r="I973" i="6" s="1"/>
  <c r="B973" i="6"/>
  <c r="G973" i="6"/>
  <c r="H973" i="6" s="1"/>
  <c r="D973" i="6"/>
  <c r="E973" i="6" s="1"/>
  <c r="G972" i="6"/>
  <c r="H972" i="6" s="1"/>
  <c r="F972" i="6"/>
  <c r="I972" i="6" s="1"/>
  <c r="D972" i="6"/>
  <c r="E972" i="6" s="1"/>
  <c r="B972" i="6"/>
  <c r="G971" i="6"/>
  <c r="H971" i="6" s="1"/>
  <c r="F971" i="6"/>
  <c r="I971" i="6" s="1"/>
  <c r="D971" i="6"/>
  <c r="E971" i="6" s="1"/>
  <c r="B971" i="6"/>
  <c r="G970" i="6"/>
  <c r="H970" i="6" s="1"/>
  <c r="D970" i="6"/>
  <c r="E970" i="6" s="1"/>
  <c r="B970" i="6"/>
  <c r="F970" i="6"/>
  <c r="I970" i="6" s="1"/>
  <c r="G969" i="6"/>
  <c r="H969" i="6" s="1"/>
  <c r="B969" i="6"/>
  <c r="D969" i="6"/>
  <c r="E969" i="6" s="1"/>
  <c r="F969" i="6"/>
  <c r="I969" i="6" s="1"/>
  <c r="B968" i="6"/>
  <c r="D968" i="6"/>
  <c r="E968" i="6" s="1"/>
  <c r="F968" i="6"/>
  <c r="I968" i="6" s="1"/>
  <c r="G968" i="6"/>
  <c r="H968" i="6" s="1"/>
  <c r="D967" i="6"/>
  <c r="E967" i="6" s="1"/>
  <c r="F967" i="6"/>
  <c r="I967" i="6" s="1"/>
  <c r="G967" i="6"/>
  <c r="H967" i="6" s="1"/>
  <c r="B967" i="6"/>
  <c r="F966" i="6"/>
  <c r="I966" i="6" s="1"/>
  <c r="D966" i="6"/>
  <c r="E966" i="6" s="1"/>
  <c r="G966" i="6"/>
  <c r="H966" i="6" s="1"/>
  <c r="B966" i="6"/>
  <c r="G965" i="6"/>
  <c r="H965" i="6" s="1"/>
  <c r="F965" i="6"/>
  <c r="I965" i="6" s="1"/>
  <c r="D965" i="6"/>
  <c r="E965" i="6" s="1"/>
  <c r="B965" i="6"/>
  <c r="G964" i="6"/>
  <c r="H964" i="6" s="1"/>
  <c r="F964" i="6"/>
  <c r="I964" i="6" s="1"/>
  <c r="D964" i="6"/>
  <c r="E964" i="6" s="1"/>
  <c r="B964" i="6"/>
  <c r="B963" i="6"/>
  <c r="D963" i="6"/>
  <c r="E963" i="6" s="1"/>
  <c r="F963" i="6"/>
  <c r="I963" i="6" s="1"/>
  <c r="G963" i="6"/>
  <c r="H963" i="6" s="1"/>
  <c r="B962" i="6"/>
  <c r="F962" i="6"/>
  <c r="I962" i="6" s="1"/>
  <c r="G962" i="6"/>
  <c r="H962" i="6" s="1"/>
  <c r="D962" i="6"/>
  <c r="E962" i="6" s="1"/>
  <c r="B961" i="6"/>
  <c r="D961" i="6"/>
  <c r="E961" i="6" s="1"/>
  <c r="F961" i="6"/>
  <c r="I961" i="6" s="1"/>
  <c r="G961" i="6"/>
  <c r="H961" i="6" s="1"/>
  <c r="G960" i="6"/>
  <c r="H960" i="6" s="1"/>
  <c r="F960" i="6"/>
  <c r="I960" i="6" s="1"/>
  <c r="D960" i="6"/>
  <c r="E960" i="6" s="1"/>
  <c r="B960" i="6"/>
  <c r="G959" i="6"/>
  <c r="H959" i="6" s="1"/>
  <c r="F959" i="6"/>
  <c r="I959" i="6" s="1"/>
  <c r="D959" i="6"/>
  <c r="E959" i="6" s="1"/>
  <c r="B959" i="6"/>
  <c r="F958" i="6"/>
  <c r="I958" i="6" s="1"/>
  <c r="G958" i="6"/>
  <c r="H958" i="6" s="1"/>
  <c r="B958" i="6"/>
  <c r="D958" i="6"/>
  <c r="E958" i="6" s="1"/>
  <c r="G957" i="6"/>
  <c r="H957" i="6" s="1"/>
  <c r="B957" i="6"/>
  <c r="D957" i="6"/>
  <c r="E957" i="6" s="1"/>
  <c r="F957" i="6"/>
  <c r="I957" i="6" s="1"/>
  <c r="B956" i="6"/>
  <c r="D956" i="6"/>
  <c r="E956" i="6" s="1"/>
  <c r="F956" i="6"/>
  <c r="I956" i="6" s="1"/>
  <c r="G956" i="6"/>
  <c r="H956" i="6" s="1"/>
  <c r="G955" i="6"/>
  <c r="H955" i="6" s="1"/>
  <c r="F955" i="6"/>
  <c r="I955" i="6" s="1"/>
  <c r="D955" i="6"/>
  <c r="E955" i="6" s="1"/>
  <c r="B955" i="6"/>
  <c r="B954" i="6"/>
  <c r="F954" i="6"/>
  <c r="I954" i="6" s="1"/>
  <c r="G954" i="6"/>
  <c r="H954" i="6" s="1"/>
  <c r="D954" i="6"/>
  <c r="E954" i="6" s="1"/>
  <c r="G953" i="6"/>
  <c r="H953" i="6" s="1"/>
  <c r="F953" i="6"/>
  <c r="I953" i="6" s="1"/>
  <c r="D953" i="6"/>
  <c r="E953" i="6" s="1"/>
  <c r="B953" i="6"/>
  <c r="G952" i="6"/>
  <c r="H952" i="6" s="1"/>
  <c r="F952" i="6"/>
  <c r="I952" i="6" s="1"/>
  <c r="D952" i="6"/>
  <c r="E952" i="6" s="1"/>
  <c r="B952" i="6"/>
  <c r="G951" i="6"/>
  <c r="H951" i="6" s="1"/>
  <c r="F951" i="6"/>
  <c r="I951" i="6" s="1"/>
  <c r="D951" i="6"/>
  <c r="E951" i="6" s="1"/>
  <c r="B951" i="6"/>
  <c r="B950" i="6"/>
  <c r="G950" i="6"/>
  <c r="H950" i="6" s="1"/>
  <c r="F950" i="6"/>
  <c r="I950" i="6" s="1"/>
  <c r="D950" i="6"/>
  <c r="E950" i="6" s="1"/>
  <c r="B949" i="6"/>
  <c r="D949" i="6"/>
  <c r="E949" i="6" s="1"/>
  <c r="F949" i="6"/>
  <c r="I949" i="6" s="1"/>
  <c r="G949" i="6"/>
  <c r="H949" i="6" s="1"/>
  <c r="G948" i="6"/>
  <c r="H948" i="6" s="1"/>
  <c r="F948" i="6"/>
  <c r="I948" i="6" s="1"/>
  <c r="D948" i="6"/>
  <c r="E948" i="6" s="1"/>
  <c r="B948" i="6"/>
  <c r="B947" i="6"/>
  <c r="G947" i="6"/>
  <c r="H947" i="6" s="1"/>
  <c r="F947" i="6"/>
  <c r="I947" i="6" s="1"/>
  <c r="D947" i="6"/>
  <c r="E947" i="6" s="1"/>
  <c r="B946" i="6"/>
  <c r="D946" i="6"/>
  <c r="E946" i="6" s="1"/>
  <c r="F946" i="6"/>
  <c r="I946" i="6" s="1"/>
  <c r="G946" i="6"/>
  <c r="H946" i="6" s="1"/>
  <c r="B945" i="6"/>
  <c r="D945" i="6"/>
  <c r="E945" i="6" s="1"/>
  <c r="F945" i="6"/>
  <c r="I945" i="6" s="1"/>
  <c r="G945" i="6"/>
  <c r="H945" i="6" s="1"/>
  <c r="B944" i="6"/>
  <c r="D944" i="6"/>
  <c r="E944" i="6" s="1"/>
  <c r="F944" i="6"/>
  <c r="I944" i="6" s="1"/>
  <c r="G944" i="6"/>
  <c r="H944" i="6" s="1"/>
  <c r="D943" i="6"/>
  <c r="E943" i="6" s="1"/>
  <c r="G943" i="6"/>
  <c r="H943" i="6" s="1"/>
  <c r="F943" i="6"/>
  <c r="I943" i="6" s="1"/>
  <c r="B943" i="6"/>
  <c r="D942" i="6"/>
  <c r="E942" i="6" s="1"/>
  <c r="G942" i="6"/>
  <c r="H942" i="6" s="1"/>
  <c r="F942" i="6"/>
  <c r="I942" i="6" s="1"/>
  <c r="B942" i="6"/>
  <c r="G941" i="6"/>
  <c r="H941" i="6" s="1"/>
  <c r="F941" i="6"/>
  <c r="I941" i="6" s="1"/>
  <c r="D941" i="6"/>
  <c r="E941" i="6" s="1"/>
  <c r="B941" i="6"/>
  <c r="G940" i="6"/>
  <c r="H940" i="6" s="1"/>
  <c r="F940" i="6"/>
  <c r="I940" i="6" s="1"/>
  <c r="D940" i="6"/>
  <c r="E940" i="6" s="1"/>
  <c r="B940" i="6"/>
  <c r="G939" i="6"/>
  <c r="H939" i="6" s="1"/>
  <c r="B939" i="6"/>
  <c r="D939" i="6"/>
  <c r="E939" i="6" s="1"/>
  <c r="F939" i="6"/>
  <c r="I939" i="6" s="1"/>
  <c r="B938" i="6"/>
  <c r="D938" i="6"/>
  <c r="E938" i="6" s="1"/>
  <c r="F938" i="6"/>
  <c r="I938" i="6" s="1"/>
  <c r="G938" i="6"/>
  <c r="H938" i="6" s="1"/>
  <c r="F937" i="6"/>
  <c r="I937" i="6" s="1"/>
  <c r="D937" i="6"/>
  <c r="E937" i="6" s="1"/>
  <c r="B937" i="6"/>
  <c r="G937" i="6"/>
  <c r="H937" i="6" s="1"/>
  <c r="G936" i="6"/>
  <c r="H936" i="6" s="1"/>
  <c r="D936" i="6"/>
  <c r="E936" i="6" s="1"/>
  <c r="F936" i="6"/>
  <c r="I936" i="6" s="1"/>
  <c r="B936" i="6"/>
  <c r="B935" i="6"/>
  <c r="F935" i="6"/>
  <c r="I935" i="6" s="1"/>
  <c r="G935" i="6"/>
  <c r="H935" i="6" s="1"/>
  <c r="D935" i="6"/>
  <c r="E935" i="6" s="1"/>
  <c r="G934" i="6"/>
  <c r="H934" i="6" s="1"/>
  <c r="F934" i="6"/>
  <c r="I934" i="6" s="1"/>
  <c r="D934" i="6"/>
  <c r="E934" i="6" s="1"/>
  <c r="B934" i="6"/>
  <c r="B933" i="6"/>
  <c r="G933" i="6"/>
  <c r="H933" i="6" s="1"/>
  <c r="F933" i="6"/>
  <c r="I933" i="6" s="1"/>
  <c r="D933" i="6"/>
  <c r="E933" i="6" s="1"/>
  <c r="B932" i="6"/>
  <c r="D932" i="6"/>
  <c r="E932" i="6" s="1"/>
  <c r="F932" i="6"/>
  <c r="I932" i="6" s="1"/>
  <c r="G932" i="6"/>
  <c r="H932" i="6" s="1"/>
  <c r="B931" i="6"/>
  <c r="D931" i="6"/>
  <c r="E931" i="6" s="1"/>
  <c r="F931" i="6"/>
  <c r="I931" i="6" s="1"/>
  <c r="G931" i="6"/>
  <c r="H931" i="6" s="1"/>
  <c r="D930" i="6"/>
  <c r="E930" i="6" s="1"/>
  <c r="G930" i="6"/>
  <c r="H930" i="6" s="1"/>
  <c r="F930" i="6"/>
  <c r="I930" i="6" s="1"/>
  <c r="B930" i="6"/>
  <c r="G929" i="6"/>
  <c r="H929" i="6" s="1"/>
  <c r="F929" i="6"/>
  <c r="I929" i="6" s="1"/>
  <c r="D929" i="6"/>
  <c r="E929" i="6" s="1"/>
  <c r="B929" i="6"/>
  <c r="G928" i="6"/>
  <c r="H928" i="6" s="1"/>
  <c r="F928" i="6"/>
  <c r="I928" i="6" s="1"/>
  <c r="D928" i="6"/>
  <c r="E928" i="6" s="1"/>
  <c r="B928" i="6"/>
  <c r="B927" i="6"/>
  <c r="D927" i="6"/>
  <c r="E927" i="6" s="1"/>
  <c r="F927" i="6"/>
  <c r="I927" i="6" s="1"/>
  <c r="G927" i="6"/>
  <c r="H927" i="6" s="1"/>
  <c r="B926" i="6"/>
  <c r="D926" i="6"/>
  <c r="E926" i="6" s="1"/>
  <c r="F926" i="6"/>
  <c r="I926" i="6" s="1"/>
  <c r="G926" i="6"/>
  <c r="H926" i="6" s="1"/>
  <c r="B925" i="6"/>
  <c r="D925" i="6"/>
  <c r="E925" i="6" s="1"/>
  <c r="F925" i="6"/>
  <c r="I925" i="6" s="1"/>
  <c r="G925" i="6"/>
  <c r="H925" i="6" s="1"/>
  <c r="B924" i="6"/>
  <c r="D924" i="6"/>
  <c r="E924" i="6" s="1"/>
  <c r="F924" i="6"/>
  <c r="I924" i="6" s="1"/>
  <c r="G924" i="6"/>
  <c r="H924" i="6" s="1"/>
  <c r="B923" i="6"/>
  <c r="D923" i="6"/>
  <c r="E923" i="6" s="1"/>
  <c r="F923" i="6"/>
  <c r="I923" i="6" s="1"/>
  <c r="G923" i="6"/>
  <c r="H923" i="6" s="1"/>
  <c r="B922" i="6"/>
  <c r="D922" i="6"/>
  <c r="E922" i="6" s="1"/>
  <c r="F922" i="6"/>
  <c r="I922" i="6" s="1"/>
  <c r="G922" i="6"/>
  <c r="H922" i="6" s="1"/>
  <c r="G921" i="6"/>
  <c r="H921" i="6" s="1"/>
  <c r="F921" i="6"/>
  <c r="I921" i="6" s="1"/>
  <c r="D921" i="6"/>
  <c r="E921" i="6" s="1"/>
  <c r="B921" i="6"/>
  <c r="B920" i="6"/>
  <c r="D920" i="6"/>
  <c r="E920" i="6" s="1"/>
  <c r="F920" i="6"/>
  <c r="I920" i="6" s="1"/>
  <c r="G920" i="6"/>
  <c r="H920" i="6" s="1"/>
  <c r="D919" i="6"/>
  <c r="E919" i="6" s="1"/>
  <c r="B919" i="6"/>
  <c r="F919" i="6"/>
  <c r="I919" i="6" s="1"/>
  <c r="G919" i="6"/>
  <c r="H919" i="6" s="1"/>
  <c r="B918" i="6"/>
  <c r="D918" i="6"/>
  <c r="E918" i="6" s="1"/>
  <c r="F918" i="6"/>
  <c r="I918" i="6" s="1"/>
  <c r="G918" i="6"/>
  <c r="H918" i="6" s="1"/>
  <c r="F917" i="6"/>
  <c r="I917" i="6" s="1"/>
  <c r="D917" i="6"/>
  <c r="E917" i="6" s="1"/>
  <c r="G917" i="6"/>
  <c r="H917" i="6" s="1"/>
  <c r="B917" i="6"/>
  <c r="F916" i="6"/>
  <c r="I916" i="6" s="1"/>
  <c r="G916" i="6"/>
  <c r="H916" i="6" s="1"/>
  <c r="B916" i="6"/>
  <c r="D916" i="6"/>
  <c r="E916" i="6" s="1"/>
  <c r="G915" i="6"/>
  <c r="H915" i="6" s="1"/>
  <c r="F915" i="6"/>
  <c r="I915" i="6" s="1"/>
  <c r="D915" i="6"/>
  <c r="E915" i="6" s="1"/>
  <c r="B915" i="6"/>
  <c r="D914" i="6"/>
  <c r="E914" i="6" s="1"/>
  <c r="G914" i="6"/>
  <c r="H914" i="6" s="1"/>
  <c r="F914" i="6"/>
  <c r="I914" i="6" s="1"/>
  <c r="B914" i="6"/>
  <c r="B913" i="6"/>
  <c r="G913" i="6"/>
  <c r="H913" i="6" s="1"/>
  <c r="F913" i="6"/>
  <c r="I913" i="6" s="1"/>
  <c r="D913" i="6"/>
  <c r="E913" i="6" s="1"/>
  <c r="G912" i="6"/>
  <c r="H912" i="6" s="1"/>
  <c r="F912" i="6"/>
  <c r="I912" i="6" s="1"/>
  <c r="D912" i="6"/>
  <c r="E912" i="6" s="1"/>
  <c r="B912" i="6"/>
  <c r="B911" i="6"/>
  <c r="D911" i="6"/>
  <c r="E911" i="6" s="1"/>
  <c r="G911" i="6"/>
  <c r="H911" i="6" s="1"/>
  <c r="F911" i="6"/>
  <c r="I911" i="6" s="1"/>
  <c r="F910" i="6"/>
  <c r="I910" i="6" s="1"/>
  <c r="B910" i="6"/>
  <c r="D910" i="6"/>
  <c r="E910" i="6" s="1"/>
  <c r="G910" i="6"/>
  <c r="H910" i="6" s="1"/>
  <c r="D909" i="6"/>
  <c r="E909" i="6" s="1"/>
  <c r="B909" i="6"/>
  <c r="G909" i="6"/>
  <c r="H909" i="6" s="1"/>
  <c r="F909" i="6"/>
  <c r="I909" i="6" s="1"/>
  <c r="G908" i="6"/>
  <c r="H908" i="6" s="1"/>
  <c r="F908" i="6"/>
  <c r="I908" i="6" s="1"/>
  <c r="B908" i="6"/>
  <c r="D908" i="6"/>
  <c r="E908" i="6" s="1"/>
  <c r="G907" i="6"/>
  <c r="H907" i="6" s="1"/>
  <c r="F907" i="6"/>
  <c r="I907" i="6" s="1"/>
  <c r="D907" i="6"/>
  <c r="E907" i="6" s="1"/>
  <c r="B907" i="6"/>
  <c r="G906" i="6"/>
  <c r="H906" i="6" s="1"/>
  <c r="F906" i="6"/>
  <c r="I906" i="6" s="1"/>
  <c r="D906" i="6"/>
  <c r="E906" i="6" s="1"/>
  <c r="B906" i="6"/>
  <c r="G905" i="6"/>
  <c r="H905" i="6" s="1"/>
  <c r="F905" i="6"/>
  <c r="I905" i="6" s="1"/>
  <c r="D905" i="6"/>
  <c r="E905" i="6" s="1"/>
  <c r="B905" i="6"/>
  <c r="G904" i="6"/>
  <c r="H904" i="6" s="1"/>
  <c r="F904" i="6"/>
  <c r="I904" i="6" s="1"/>
  <c r="D904" i="6"/>
  <c r="E904" i="6" s="1"/>
  <c r="B904" i="6"/>
  <c r="G903" i="6"/>
  <c r="H903" i="6" s="1"/>
  <c r="F903" i="6"/>
  <c r="I903" i="6" s="1"/>
  <c r="D903" i="6"/>
  <c r="E903" i="6" s="1"/>
  <c r="B903" i="6"/>
  <c r="G902" i="6"/>
  <c r="H902" i="6" s="1"/>
  <c r="F902" i="6"/>
  <c r="I902" i="6" s="1"/>
  <c r="D902" i="6"/>
  <c r="E902" i="6" s="1"/>
  <c r="B902" i="6"/>
  <c r="G901" i="6"/>
  <c r="H901" i="6" s="1"/>
  <c r="F901" i="6"/>
  <c r="I901" i="6" s="1"/>
  <c r="D901" i="6"/>
  <c r="E901" i="6" s="1"/>
  <c r="B901" i="6"/>
  <c r="G900" i="6"/>
  <c r="H900" i="6" s="1"/>
  <c r="F900" i="6"/>
  <c r="I900" i="6" s="1"/>
  <c r="D900" i="6"/>
  <c r="E900" i="6" s="1"/>
  <c r="B900" i="6"/>
  <c r="B899" i="6"/>
  <c r="D899" i="6"/>
  <c r="E899" i="6" s="1"/>
  <c r="F899" i="6"/>
  <c r="I899" i="6" s="1"/>
  <c r="G899" i="6"/>
  <c r="H899" i="6" s="1"/>
  <c r="B898" i="6"/>
  <c r="D898" i="6"/>
  <c r="E898" i="6" s="1"/>
  <c r="F898" i="6"/>
  <c r="I898" i="6" s="1"/>
  <c r="G898" i="6"/>
  <c r="H898" i="6" s="1"/>
  <c r="B897" i="6"/>
  <c r="D897" i="6"/>
  <c r="E897" i="6" s="1"/>
  <c r="F897" i="6"/>
  <c r="I897" i="6" s="1"/>
  <c r="G897" i="6"/>
  <c r="H897" i="6" s="1"/>
  <c r="F896" i="6"/>
  <c r="I896" i="6" s="1"/>
  <c r="G896" i="6"/>
  <c r="H896" i="6" s="1"/>
  <c r="B896" i="6"/>
  <c r="D896" i="6"/>
  <c r="E896" i="6" s="1"/>
  <c r="F895" i="6"/>
  <c r="I895" i="6" s="1"/>
  <c r="G895" i="6"/>
  <c r="H895" i="6" s="1"/>
  <c r="B895" i="6"/>
  <c r="D895" i="6"/>
  <c r="E895" i="6" s="1"/>
  <c r="G894" i="6"/>
  <c r="H894" i="6" s="1"/>
  <c r="F894" i="6"/>
  <c r="I894" i="6" s="1"/>
  <c r="D894" i="6"/>
  <c r="E894" i="6" s="1"/>
  <c r="B894" i="6"/>
  <c r="G893" i="6"/>
  <c r="H893" i="6" s="1"/>
  <c r="F893" i="6"/>
  <c r="I893" i="6" s="1"/>
  <c r="D893" i="6"/>
  <c r="E893" i="6" s="1"/>
  <c r="B893" i="6"/>
  <c r="G892" i="6"/>
  <c r="H892" i="6" s="1"/>
  <c r="D892" i="6"/>
  <c r="E892" i="6" s="1"/>
  <c r="B892" i="6"/>
  <c r="F892" i="6"/>
  <c r="I892" i="6" s="1"/>
  <c r="B891" i="6"/>
  <c r="D891" i="6"/>
  <c r="E891" i="6" s="1"/>
  <c r="G891" i="6"/>
  <c r="H891" i="6" s="1"/>
  <c r="F891" i="6"/>
  <c r="I891" i="6" s="1"/>
  <c r="G890" i="6"/>
  <c r="H890" i="6" s="1"/>
  <c r="F890" i="6"/>
  <c r="I890" i="6" s="1"/>
  <c r="D890" i="6"/>
  <c r="E890" i="6" s="1"/>
  <c r="B890" i="6"/>
  <c r="D889" i="6"/>
  <c r="E889" i="6" s="1"/>
  <c r="F889" i="6"/>
  <c r="I889" i="6" s="1"/>
  <c r="G889" i="6"/>
  <c r="H889" i="6" s="1"/>
  <c r="B889" i="6"/>
  <c r="D888" i="6"/>
  <c r="E888" i="6" s="1"/>
  <c r="B888" i="6"/>
  <c r="F888" i="6"/>
  <c r="I888" i="6" s="1"/>
  <c r="G888" i="6"/>
  <c r="H888" i="6" s="1"/>
  <c r="F887" i="6"/>
  <c r="I887" i="6" s="1"/>
  <c r="D887" i="6"/>
  <c r="E887" i="6" s="1"/>
  <c r="B887" i="6"/>
  <c r="G887" i="6"/>
  <c r="H887" i="6" s="1"/>
  <c r="F886" i="6"/>
  <c r="I886" i="6" s="1"/>
  <c r="D886" i="6"/>
  <c r="E886" i="6" s="1"/>
  <c r="B886" i="6"/>
  <c r="G886" i="6"/>
  <c r="H886" i="6" s="1"/>
  <c r="G885" i="6"/>
  <c r="H885" i="6" s="1"/>
  <c r="F885" i="6"/>
  <c r="I885" i="6" s="1"/>
  <c r="D885" i="6"/>
  <c r="E885" i="6" s="1"/>
  <c r="B885" i="6"/>
  <c r="G884" i="6"/>
  <c r="H884" i="6" s="1"/>
  <c r="F884" i="6"/>
  <c r="I884" i="6" s="1"/>
  <c r="B884" i="6"/>
  <c r="D884" i="6"/>
  <c r="E884" i="6" s="1"/>
  <c r="B883" i="6"/>
  <c r="D883" i="6"/>
  <c r="E883" i="6" s="1"/>
  <c r="F883" i="6"/>
  <c r="I883" i="6" s="1"/>
  <c r="G883" i="6"/>
  <c r="H883" i="6" s="1"/>
  <c r="F882" i="6"/>
  <c r="I882" i="6" s="1"/>
  <c r="D882" i="6"/>
  <c r="E882" i="6" s="1"/>
  <c r="B882" i="6"/>
  <c r="G882" i="6"/>
  <c r="H882" i="6" s="1"/>
  <c r="B881" i="6"/>
  <c r="G881" i="6"/>
  <c r="H881" i="6" s="1"/>
  <c r="F881" i="6"/>
  <c r="I881" i="6" s="1"/>
  <c r="D881" i="6"/>
  <c r="E881" i="6" s="1"/>
  <c r="G880" i="6"/>
  <c r="H880" i="6" s="1"/>
  <c r="F880" i="6"/>
  <c r="I880" i="6" s="1"/>
  <c r="D880" i="6"/>
  <c r="E880" i="6" s="1"/>
  <c r="B880" i="6"/>
  <c r="F879" i="6"/>
  <c r="I879" i="6" s="1"/>
  <c r="B879" i="6"/>
  <c r="G879" i="6"/>
  <c r="H879" i="6" s="1"/>
  <c r="D879" i="6"/>
  <c r="E879" i="6" s="1"/>
  <c r="B878" i="6"/>
  <c r="D878" i="6"/>
  <c r="E878" i="6" s="1"/>
  <c r="F878" i="6"/>
  <c r="I878" i="6" s="1"/>
  <c r="G878" i="6"/>
  <c r="H878" i="6" s="1"/>
  <c r="G877" i="6"/>
  <c r="H877" i="6" s="1"/>
  <c r="B877" i="6"/>
  <c r="D877" i="6"/>
  <c r="E877" i="6" s="1"/>
  <c r="F877" i="6"/>
  <c r="I877" i="6" s="1"/>
  <c r="B876" i="6"/>
  <c r="D876" i="6"/>
  <c r="E876" i="6" s="1"/>
  <c r="F876" i="6"/>
  <c r="I876" i="6" s="1"/>
  <c r="G876" i="6"/>
  <c r="H876" i="6" s="1"/>
  <c r="G875" i="6"/>
  <c r="H875" i="6" s="1"/>
  <c r="B875" i="6"/>
  <c r="D875" i="6"/>
  <c r="E875" i="6" s="1"/>
  <c r="F875" i="6"/>
  <c r="I875" i="6" s="1"/>
  <c r="G874" i="6"/>
  <c r="H874" i="6" s="1"/>
  <c r="F874" i="6"/>
  <c r="I874" i="6" s="1"/>
  <c r="B874" i="6"/>
  <c r="D874" i="6"/>
  <c r="E874" i="6" s="1"/>
  <c r="F873" i="6"/>
  <c r="I873" i="6" s="1"/>
  <c r="D873" i="6"/>
  <c r="E873" i="6" s="1"/>
  <c r="B873" i="6"/>
  <c r="G873" i="6"/>
  <c r="H873" i="6" s="1"/>
  <c r="G872" i="6"/>
  <c r="H872" i="6" s="1"/>
  <c r="F872" i="6"/>
  <c r="I872" i="6" s="1"/>
  <c r="D872" i="6"/>
  <c r="E872" i="6" s="1"/>
  <c r="B872" i="6"/>
  <c r="G871" i="6"/>
  <c r="H871" i="6" s="1"/>
  <c r="F871" i="6"/>
  <c r="I871" i="6" s="1"/>
  <c r="D871" i="6"/>
  <c r="E871" i="6" s="1"/>
  <c r="B871" i="6"/>
  <c r="D870" i="6"/>
  <c r="E870" i="6" s="1"/>
  <c r="F870" i="6"/>
  <c r="I870" i="6" s="1"/>
  <c r="G870" i="6"/>
  <c r="H870" i="6" s="1"/>
  <c r="B870" i="6"/>
  <c r="G869" i="6"/>
  <c r="H869" i="6" s="1"/>
  <c r="F869" i="6"/>
  <c r="I869" i="6" s="1"/>
  <c r="D869" i="6"/>
  <c r="E869" i="6" s="1"/>
  <c r="B869" i="6"/>
  <c r="F868" i="6"/>
  <c r="I868" i="6" s="1"/>
  <c r="G868" i="6"/>
  <c r="H868" i="6" s="1"/>
  <c r="D868" i="6"/>
  <c r="E868" i="6" s="1"/>
  <c r="B868" i="6"/>
  <c r="G867" i="6"/>
  <c r="H867" i="6" s="1"/>
  <c r="F867" i="6"/>
  <c r="I867" i="6" s="1"/>
  <c r="D867" i="6"/>
  <c r="E867" i="6" s="1"/>
  <c r="B867" i="6"/>
  <c r="G866" i="6"/>
  <c r="H866" i="6" s="1"/>
  <c r="F866" i="6"/>
  <c r="I866" i="6" s="1"/>
  <c r="D866" i="6"/>
  <c r="E866" i="6" s="1"/>
  <c r="B866" i="6"/>
  <c r="B865" i="6"/>
  <c r="D865" i="6"/>
  <c r="E865" i="6" s="1"/>
  <c r="F865" i="6"/>
  <c r="I865" i="6" s="1"/>
  <c r="G865" i="6"/>
  <c r="H865" i="6" s="1"/>
  <c r="B864" i="6"/>
  <c r="D864" i="6"/>
  <c r="E864" i="6" s="1"/>
  <c r="F864" i="6"/>
  <c r="I864" i="6" s="1"/>
  <c r="G864" i="6"/>
  <c r="H864" i="6" s="1"/>
  <c r="B863" i="6"/>
  <c r="F863" i="6"/>
  <c r="I863" i="6" s="1"/>
  <c r="G863" i="6"/>
  <c r="H863" i="6" s="1"/>
  <c r="D863" i="6"/>
  <c r="E863" i="6" s="1"/>
  <c r="B862" i="6"/>
  <c r="F862" i="6"/>
  <c r="I862" i="6" s="1"/>
  <c r="G862" i="6"/>
  <c r="H862" i="6" s="1"/>
  <c r="D862" i="6"/>
  <c r="E862" i="6" s="1"/>
  <c r="G861" i="6"/>
  <c r="H861" i="6" s="1"/>
  <c r="B861" i="6"/>
  <c r="D861" i="6"/>
  <c r="E861" i="6" s="1"/>
  <c r="F861" i="6"/>
  <c r="I861" i="6" s="1"/>
  <c r="B860" i="6"/>
  <c r="D860" i="6"/>
  <c r="E860" i="6" s="1"/>
  <c r="F860" i="6"/>
  <c r="I860" i="6" s="1"/>
  <c r="G860" i="6"/>
  <c r="H860" i="6" s="1"/>
  <c r="D859" i="6"/>
  <c r="E859" i="6" s="1"/>
  <c r="B859" i="6"/>
  <c r="F859" i="6"/>
  <c r="I859" i="6" s="1"/>
  <c r="G859" i="6"/>
  <c r="H859" i="6" s="1"/>
  <c r="G858" i="6"/>
  <c r="H858" i="6" s="1"/>
  <c r="B858" i="6"/>
  <c r="D858" i="6"/>
  <c r="E858" i="6" s="1"/>
  <c r="F858" i="6"/>
  <c r="I858" i="6" s="1"/>
  <c r="F857" i="6"/>
  <c r="I857" i="6" s="1"/>
  <c r="G857" i="6"/>
  <c r="H857" i="6" s="1"/>
  <c r="B857" i="6"/>
  <c r="D857" i="6"/>
  <c r="E857" i="6" s="1"/>
  <c r="G856" i="6"/>
  <c r="H856" i="6" s="1"/>
  <c r="F856" i="6"/>
  <c r="I856" i="6" s="1"/>
  <c r="D856" i="6"/>
  <c r="E856" i="6" s="1"/>
  <c r="B856" i="6"/>
  <c r="G855" i="6"/>
  <c r="H855" i="6" s="1"/>
  <c r="B855" i="6"/>
  <c r="D855" i="6"/>
  <c r="E855" i="6" s="1"/>
  <c r="F855" i="6"/>
  <c r="I855" i="6" s="1"/>
  <c r="G854" i="6"/>
  <c r="H854" i="6" s="1"/>
  <c r="B854" i="6"/>
  <c r="F854" i="6"/>
  <c r="I854" i="6" s="1"/>
  <c r="D854" i="6"/>
  <c r="E854" i="6" s="1"/>
  <c r="G853" i="6"/>
  <c r="H853" i="6" s="1"/>
  <c r="B853" i="6"/>
  <c r="F853" i="6"/>
  <c r="I853" i="6" s="1"/>
  <c r="D853" i="6"/>
  <c r="E853" i="6" s="1"/>
  <c r="D852" i="6"/>
  <c r="E852" i="6" s="1"/>
  <c r="B852" i="6"/>
  <c r="F852" i="6"/>
  <c r="I852" i="6" s="1"/>
  <c r="G852" i="6"/>
  <c r="H852" i="6" s="1"/>
  <c r="G851" i="6"/>
  <c r="H851" i="6" s="1"/>
  <c r="F851" i="6"/>
  <c r="I851" i="6" s="1"/>
  <c r="D851" i="6"/>
  <c r="E851" i="6" s="1"/>
  <c r="B851" i="6"/>
  <c r="G850" i="6"/>
  <c r="H850" i="6" s="1"/>
  <c r="F850" i="6"/>
  <c r="I850" i="6" s="1"/>
  <c r="D850" i="6"/>
  <c r="E850" i="6" s="1"/>
  <c r="B850" i="6"/>
  <c r="D849" i="6"/>
  <c r="E849" i="6" s="1"/>
  <c r="B849" i="6"/>
  <c r="G849" i="6"/>
  <c r="H849" i="6" s="1"/>
  <c r="F849" i="6"/>
  <c r="I849" i="6" s="1"/>
  <c r="B848" i="6"/>
  <c r="G848" i="6"/>
  <c r="H848" i="6" s="1"/>
  <c r="F848" i="6"/>
  <c r="I848" i="6" s="1"/>
  <c r="D848" i="6"/>
  <c r="E848" i="6" s="1"/>
  <c r="G847" i="6"/>
  <c r="H847" i="6" s="1"/>
  <c r="F847" i="6"/>
  <c r="I847" i="6" s="1"/>
  <c r="D847" i="6"/>
  <c r="E847" i="6" s="1"/>
  <c r="B847" i="6"/>
  <c r="F846" i="6"/>
  <c r="I846" i="6" s="1"/>
  <c r="G846" i="6"/>
  <c r="H846" i="6" s="1"/>
  <c r="B846" i="6"/>
  <c r="D846" i="6"/>
  <c r="E846" i="6" s="1"/>
  <c r="F845" i="6"/>
  <c r="I845" i="6" s="1"/>
  <c r="G845" i="6"/>
  <c r="H845" i="6" s="1"/>
  <c r="D845" i="6"/>
  <c r="E845" i="6" s="1"/>
  <c r="B845" i="6"/>
  <c r="G844" i="6"/>
  <c r="H844" i="6" s="1"/>
  <c r="F844" i="6"/>
  <c r="I844" i="6" s="1"/>
  <c r="D844" i="6"/>
  <c r="E844" i="6" s="1"/>
  <c r="B844" i="6"/>
  <c r="F843" i="6"/>
  <c r="I843" i="6" s="1"/>
  <c r="D843" i="6"/>
  <c r="E843" i="6" s="1"/>
  <c r="B843" i="6"/>
  <c r="G843" i="6"/>
  <c r="H843" i="6" s="1"/>
  <c r="F842" i="6"/>
  <c r="I842" i="6" s="1"/>
  <c r="D842" i="6"/>
  <c r="E842" i="6" s="1"/>
  <c r="B842" i="6"/>
  <c r="G842" i="6"/>
  <c r="H842" i="6" s="1"/>
  <c r="B841" i="6"/>
  <c r="D841" i="6"/>
  <c r="E841" i="6" s="1"/>
  <c r="G841" i="6"/>
  <c r="H841" i="6" s="1"/>
  <c r="F841" i="6"/>
  <c r="I841" i="6" s="1"/>
  <c r="G840" i="6"/>
  <c r="H840" i="6" s="1"/>
  <c r="F840" i="6"/>
  <c r="I840" i="6" s="1"/>
  <c r="D840" i="6"/>
  <c r="E840" i="6" s="1"/>
  <c r="B840" i="6"/>
  <c r="B839" i="6"/>
  <c r="G839" i="6"/>
  <c r="H839" i="6" s="1"/>
  <c r="F839" i="6"/>
  <c r="I839" i="6" s="1"/>
  <c r="D839" i="6"/>
  <c r="E839" i="6" s="1"/>
  <c r="D838" i="6"/>
  <c r="E838" i="6" s="1"/>
  <c r="B838" i="6"/>
  <c r="G838" i="6"/>
  <c r="H838" i="6" s="1"/>
  <c r="F838" i="6"/>
  <c r="I838" i="6" s="1"/>
  <c r="B837" i="6"/>
  <c r="D837" i="6"/>
  <c r="E837" i="6" s="1"/>
  <c r="F837" i="6"/>
  <c r="I837" i="6" s="1"/>
  <c r="G837" i="6"/>
  <c r="H837" i="6" s="1"/>
  <c r="F836" i="6"/>
  <c r="I836" i="6" s="1"/>
  <c r="G836" i="6"/>
  <c r="H836" i="6" s="1"/>
  <c r="D836" i="6"/>
  <c r="E836" i="6" s="1"/>
  <c r="B836" i="6"/>
  <c r="G835" i="6"/>
  <c r="H835" i="6" s="1"/>
  <c r="F835" i="6"/>
  <c r="I835" i="6" s="1"/>
  <c r="D835" i="6"/>
  <c r="E835" i="6" s="1"/>
  <c r="B835" i="6"/>
  <c r="B834" i="6"/>
  <c r="G834" i="6"/>
  <c r="H834" i="6" s="1"/>
  <c r="F834" i="6"/>
  <c r="I834" i="6" s="1"/>
  <c r="D834" i="6"/>
  <c r="E834" i="6" s="1"/>
  <c r="G833" i="6"/>
  <c r="H833" i="6" s="1"/>
  <c r="B833" i="6"/>
  <c r="D833" i="6"/>
  <c r="E833" i="6" s="1"/>
  <c r="F833" i="6"/>
  <c r="I833" i="6" s="1"/>
  <c r="D832" i="6"/>
  <c r="E832" i="6" s="1"/>
  <c r="F832" i="6"/>
  <c r="I832" i="6" s="1"/>
  <c r="G832" i="6"/>
  <c r="H832" i="6" s="1"/>
  <c r="B832" i="6"/>
  <c r="D831" i="6"/>
  <c r="E831" i="6" s="1"/>
  <c r="B831" i="6"/>
  <c r="F831" i="6"/>
  <c r="I831" i="6" s="1"/>
  <c r="G831" i="6"/>
  <c r="H831" i="6" s="1"/>
  <c r="B830" i="6"/>
  <c r="D830" i="6"/>
  <c r="E830" i="6" s="1"/>
  <c r="F830" i="6"/>
  <c r="I830" i="6" s="1"/>
  <c r="G830" i="6"/>
  <c r="H830" i="6" s="1"/>
  <c r="B829" i="6"/>
  <c r="D829" i="6"/>
  <c r="E829" i="6" s="1"/>
  <c r="F829" i="6"/>
  <c r="I829" i="6" s="1"/>
  <c r="G829" i="6"/>
  <c r="H829" i="6" s="1"/>
  <c r="F828" i="6"/>
  <c r="I828" i="6" s="1"/>
  <c r="B828" i="6"/>
  <c r="D828" i="6"/>
  <c r="E828" i="6" s="1"/>
  <c r="G828" i="6"/>
  <c r="H828" i="6" s="1"/>
  <c r="B827" i="6"/>
  <c r="D827" i="6"/>
  <c r="E827" i="6" s="1"/>
  <c r="F827" i="6"/>
  <c r="I827" i="6" s="1"/>
  <c r="G827" i="6"/>
  <c r="H827" i="6" s="1"/>
  <c r="B826" i="6"/>
  <c r="D826" i="6"/>
  <c r="E826" i="6" s="1"/>
  <c r="F826" i="6"/>
  <c r="I826" i="6" s="1"/>
  <c r="G826" i="6"/>
  <c r="H826" i="6" s="1"/>
  <c r="G825" i="6"/>
  <c r="H825" i="6" s="1"/>
  <c r="F825" i="6"/>
  <c r="I825" i="6" s="1"/>
  <c r="D825" i="6"/>
  <c r="E825" i="6" s="1"/>
  <c r="B825" i="6"/>
  <c r="F824" i="6"/>
  <c r="I824" i="6" s="1"/>
  <c r="B824" i="6"/>
  <c r="D824" i="6"/>
  <c r="E824" i="6" s="1"/>
  <c r="G824" i="6"/>
  <c r="H824" i="6" s="1"/>
  <c r="D823" i="6"/>
  <c r="E823" i="6" s="1"/>
  <c r="G823" i="6"/>
  <c r="H823" i="6" s="1"/>
  <c r="F823" i="6"/>
  <c r="I823" i="6" s="1"/>
  <c r="B823" i="6"/>
  <c r="B822" i="6"/>
  <c r="F822" i="6"/>
  <c r="I822" i="6" s="1"/>
  <c r="G822" i="6"/>
  <c r="H822" i="6" s="1"/>
  <c r="D822" i="6"/>
  <c r="E822" i="6" s="1"/>
  <c r="B821" i="6"/>
  <c r="D821" i="6"/>
  <c r="E821" i="6" s="1"/>
  <c r="F821" i="6"/>
  <c r="I821" i="6" s="1"/>
  <c r="G821" i="6"/>
  <c r="H821" i="6" s="1"/>
  <c r="G820" i="6"/>
  <c r="H820" i="6" s="1"/>
  <c r="F820" i="6"/>
  <c r="I820" i="6" s="1"/>
  <c r="B820" i="6"/>
  <c r="D820" i="6"/>
  <c r="E820" i="6" s="1"/>
  <c r="D819" i="6"/>
  <c r="E819" i="6" s="1"/>
  <c r="F819" i="6"/>
  <c r="I819" i="6" s="1"/>
  <c r="G819" i="6"/>
  <c r="H819" i="6" s="1"/>
  <c r="B819" i="6"/>
  <c r="B818" i="6"/>
  <c r="F818" i="6"/>
  <c r="I818" i="6" s="1"/>
  <c r="G818" i="6"/>
  <c r="H818" i="6" s="1"/>
  <c r="D818" i="6"/>
  <c r="E818" i="6" s="1"/>
  <c r="G817" i="6"/>
  <c r="H817" i="6" s="1"/>
  <c r="F817" i="6"/>
  <c r="I817" i="6" s="1"/>
  <c r="D817" i="6"/>
  <c r="E817" i="6" s="1"/>
  <c r="B817" i="6"/>
  <c r="F816" i="6"/>
  <c r="I816" i="6" s="1"/>
  <c r="B816" i="6"/>
  <c r="D816" i="6"/>
  <c r="E816" i="6" s="1"/>
  <c r="G816" i="6"/>
  <c r="H816" i="6" s="1"/>
  <c r="F815" i="6"/>
  <c r="I815" i="6" s="1"/>
  <c r="G815" i="6"/>
  <c r="H815" i="6" s="1"/>
  <c r="B815" i="6"/>
  <c r="D815" i="6"/>
  <c r="E815" i="6" s="1"/>
  <c r="B814" i="6"/>
  <c r="G814" i="6"/>
  <c r="H814" i="6" s="1"/>
  <c r="F814" i="6"/>
  <c r="I814" i="6" s="1"/>
  <c r="D814" i="6"/>
  <c r="E814" i="6" s="1"/>
  <c r="G813" i="6"/>
  <c r="H813" i="6" s="1"/>
  <c r="F813" i="6"/>
  <c r="I813" i="6" s="1"/>
  <c r="D813" i="6"/>
  <c r="E813" i="6" s="1"/>
  <c r="B813" i="6"/>
  <c r="F812" i="6"/>
  <c r="I812" i="6" s="1"/>
  <c r="D812" i="6"/>
  <c r="E812" i="6" s="1"/>
  <c r="B812" i="6"/>
  <c r="G812" i="6"/>
  <c r="H812" i="6" s="1"/>
  <c r="D811" i="6"/>
  <c r="E811" i="6" s="1"/>
  <c r="G811" i="6"/>
  <c r="H811" i="6" s="1"/>
  <c r="F811" i="6"/>
  <c r="I811" i="6" s="1"/>
  <c r="B811" i="6"/>
  <c r="F810" i="6"/>
  <c r="I810" i="6" s="1"/>
  <c r="G810" i="6"/>
  <c r="H810" i="6" s="1"/>
  <c r="B810" i="6"/>
  <c r="D810" i="6"/>
  <c r="E810" i="6" s="1"/>
  <c r="F809" i="6"/>
  <c r="I809" i="6" s="1"/>
  <c r="D809" i="6"/>
  <c r="E809" i="6" s="1"/>
  <c r="B809" i="6"/>
  <c r="G809" i="6"/>
  <c r="H809" i="6" s="1"/>
  <c r="D808" i="6"/>
  <c r="E808" i="6" s="1"/>
  <c r="B808" i="6"/>
  <c r="F808" i="6"/>
  <c r="I808" i="6" s="1"/>
  <c r="G808" i="6"/>
  <c r="H808" i="6" s="1"/>
  <c r="G807" i="6"/>
  <c r="H807" i="6" s="1"/>
  <c r="F807" i="6"/>
  <c r="I807" i="6" s="1"/>
  <c r="D807" i="6"/>
  <c r="E807" i="6" s="1"/>
  <c r="B807" i="6"/>
  <c r="B806" i="6"/>
  <c r="D806" i="6"/>
  <c r="E806" i="6" s="1"/>
  <c r="F806" i="6"/>
  <c r="I806" i="6" s="1"/>
  <c r="G806" i="6"/>
  <c r="H806" i="6" s="1"/>
  <c r="D805" i="6"/>
  <c r="E805" i="6" s="1"/>
  <c r="F805" i="6"/>
  <c r="I805" i="6" s="1"/>
  <c r="G805" i="6"/>
  <c r="H805" i="6" s="1"/>
  <c r="B805" i="6"/>
  <c r="G804" i="6"/>
  <c r="H804" i="6" s="1"/>
  <c r="F804" i="6"/>
  <c r="I804" i="6" s="1"/>
  <c r="D804" i="6"/>
  <c r="E804" i="6" s="1"/>
  <c r="B804" i="6"/>
  <c r="F803" i="6"/>
  <c r="I803" i="6" s="1"/>
  <c r="G803" i="6"/>
  <c r="H803" i="6" s="1"/>
  <c r="D803" i="6"/>
  <c r="E803" i="6" s="1"/>
  <c r="B803" i="6"/>
  <c r="F802" i="6"/>
  <c r="I802" i="6" s="1"/>
  <c r="D802" i="6"/>
  <c r="E802" i="6" s="1"/>
  <c r="B802" i="6"/>
  <c r="G802" i="6"/>
  <c r="H802" i="6" s="1"/>
  <c r="D801" i="6"/>
  <c r="E801" i="6" s="1"/>
  <c r="F801" i="6"/>
  <c r="I801" i="6" s="1"/>
  <c r="G801" i="6"/>
  <c r="H801" i="6" s="1"/>
  <c r="B801" i="6"/>
  <c r="B800" i="6"/>
  <c r="G800" i="6"/>
  <c r="H800" i="6" s="1"/>
  <c r="F800" i="6"/>
  <c r="I800" i="6" s="1"/>
  <c r="D800" i="6"/>
  <c r="E800" i="6" s="1"/>
  <c r="G799" i="6"/>
  <c r="H799" i="6" s="1"/>
  <c r="F799" i="6"/>
  <c r="I799" i="6" s="1"/>
  <c r="B799" i="6"/>
  <c r="D799" i="6"/>
  <c r="E799" i="6" s="1"/>
  <c r="F798" i="6"/>
  <c r="I798" i="6" s="1"/>
  <c r="G798" i="6"/>
  <c r="H798" i="6" s="1"/>
  <c r="D798" i="6"/>
  <c r="E798" i="6" s="1"/>
  <c r="B798" i="6"/>
  <c r="G797" i="6"/>
  <c r="H797" i="6" s="1"/>
  <c r="F797" i="6"/>
  <c r="I797" i="6" s="1"/>
  <c r="D797" i="6"/>
  <c r="E797" i="6" s="1"/>
  <c r="B797" i="6"/>
  <c r="G796" i="6"/>
  <c r="H796" i="6" s="1"/>
  <c r="F796" i="6"/>
  <c r="I796" i="6" s="1"/>
  <c r="D796" i="6"/>
  <c r="E796" i="6" s="1"/>
  <c r="B796" i="6"/>
  <c r="G795" i="6"/>
  <c r="H795" i="6" s="1"/>
  <c r="F795" i="6"/>
  <c r="I795" i="6" s="1"/>
  <c r="D795" i="6"/>
  <c r="E795" i="6" s="1"/>
  <c r="B795" i="6"/>
  <c r="B794" i="6"/>
  <c r="G794" i="6"/>
  <c r="H794" i="6" s="1"/>
  <c r="F794" i="6"/>
  <c r="I794" i="6" s="1"/>
  <c r="D794" i="6"/>
  <c r="E794" i="6" s="1"/>
  <c r="F793" i="6"/>
  <c r="I793" i="6" s="1"/>
  <c r="B793" i="6"/>
  <c r="D793" i="6"/>
  <c r="E793" i="6" s="1"/>
  <c r="G793" i="6"/>
  <c r="H793" i="6" s="1"/>
  <c r="D792" i="6"/>
  <c r="E792" i="6" s="1"/>
  <c r="B792" i="6"/>
  <c r="G792" i="6"/>
  <c r="H792" i="6" s="1"/>
  <c r="F792" i="6"/>
  <c r="I792" i="6" s="1"/>
  <c r="G791" i="6"/>
  <c r="H791" i="6" s="1"/>
  <c r="F791" i="6"/>
  <c r="I791" i="6" s="1"/>
  <c r="D791" i="6"/>
  <c r="E791" i="6" s="1"/>
  <c r="B791" i="6"/>
  <c r="G790" i="6"/>
  <c r="H790" i="6" s="1"/>
  <c r="F790" i="6"/>
  <c r="I790" i="6" s="1"/>
  <c r="D790" i="6"/>
  <c r="E790" i="6" s="1"/>
  <c r="B790" i="6"/>
  <c r="G789" i="6"/>
  <c r="H789" i="6" s="1"/>
  <c r="F789" i="6"/>
  <c r="I789" i="6" s="1"/>
  <c r="D789" i="6"/>
  <c r="E789" i="6" s="1"/>
  <c r="B789" i="6"/>
  <c r="D788" i="6"/>
  <c r="E788" i="6" s="1"/>
  <c r="G788" i="6"/>
  <c r="H788" i="6" s="1"/>
  <c r="F788" i="6"/>
  <c r="I788" i="6" s="1"/>
  <c r="B788" i="6"/>
  <c r="G787" i="6"/>
  <c r="H787" i="6" s="1"/>
  <c r="F787" i="6"/>
  <c r="I787" i="6" s="1"/>
  <c r="D787" i="6"/>
  <c r="E787" i="6" s="1"/>
  <c r="B787" i="6"/>
  <c r="G786" i="6"/>
  <c r="H786" i="6" s="1"/>
  <c r="F786" i="6"/>
  <c r="I786" i="6" s="1"/>
  <c r="D786" i="6"/>
  <c r="E786" i="6" s="1"/>
  <c r="B786" i="6"/>
  <c r="B785" i="6"/>
  <c r="G785" i="6"/>
  <c r="H785" i="6" s="1"/>
  <c r="F785" i="6"/>
  <c r="I785" i="6" s="1"/>
  <c r="D785" i="6"/>
  <c r="E785" i="6" s="1"/>
  <c r="B784" i="6"/>
  <c r="F784" i="6"/>
  <c r="I784" i="6" s="1"/>
  <c r="D784" i="6"/>
  <c r="E784" i="6" s="1"/>
  <c r="G784" i="6"/>
  <c r="H784" i="6" s="1"/>
  <c r="F783" i="6"/>
  <c r="I783" i="6" s="1"/>
  <c r="B783" i="6"/>
  <c r="G783" i="6"/>
  <c r="H783" i="6" s="1"/>
  <c r="D783" i="6"/>
  <c r="E783" i="6" s="1"/>
  <c r="F782" i="6"/>
  <c r="I782" i="6" s="1"/>
  <c r="B782" i="6"/>
  <c r="D782" i="6"/>
  <c r="E782" i="6" s="1"/>
  <c r="G782" i="6"/>
  <c r="H782" i="6" s="1"/>
  <c r="B781" i="6"/>
  <c r="F781" i="6"/>
  <c r="I781" i="6" s="1"/>
  <c r="G781" i="6"/>
  <c r="H781" i="6" s="1"/>
  <c r="D781" i="6"/>
  <c r="E781" i="6" s="1"/>
  <c r="B780" i="6"/>
  <c r="D780" i="6"/>
  <c r="E780" i="6" s="1"/>
  <c r="F780" i="6"/>
  <c r="I780" i="6" s="1"/>
  <c r="G780" i="6"/>
  <c r="H780" i="6" s="1"/>
  <c r="F779" i="6"/>
  <c r="I779" i="6" s="1"/>
  <c r="B779" i="6"/>
  <c r="D779" i="6"/>
  <c r="E779" i="6" s="1"/>
  <c r="G779" i="6"/>
  <c r="H779" i="6" s="1"/>
  <c r="D778" i="6"/>
  <c r="E778" i="6" s="1"/>
  <c r="G778" i="6"/>
  <c r="H778" i="6" s="1"/>
  <c r="F778" i="6"/>
  <c r="I778" i="6" s="1"/>
  <c r="B778" i="6"/>
  <c r="F777" i="6"/>
  <c r="I777" i="6" s="1"/>
  <c r="G777" i="6"/>
  <c r="H777" i="6" s="1"/>
  <c r="B777" i="6"/>
  <c r="D777" i="6"/>
  <c r="E777" i="6" s="1"/>
  <c r="D776" i="6"/>
  <c r="E776" i="6" s="1"/>
  <c r="F776" i="6"/>
  <c r="I776" i="6" s="1"/>
  <c r="B776" i="6"/>
  <c r="G776" i="6"/>
  <c r="H776" i="6" s="1"/>
  <c r="D775" i="6"/>
  <c r="E775" i="6" s="1"/>
  <c r="B775" i="6"/>
  <c r="F775" i="6"/>
  <c r="I775" i="6" s="1"/>
  <c r="G775" i="6"/>
  <c r="H775" i="6" s="1"/>
  <c r="D774" i="6"/>
  <c r="E774" i="6" s="1"/>
  <c r="B774" i="6"/>
  <c r="G774" i="6"/>
  <c r="H774" i="6" s="1"/>
  <c r="F774" i="6"/>
  <c r="I774" i="6" s="1"/>
  <c r="D773" i="6"/>
  <c r="E773" i="6" s="1"/>
  <c r="G773" i="6"/>
  <c r="H773" i="6" s="1"/>
  <c r="F773" i="6"/>
  <c r="I773" i="6" s="1"/>
  <c r="B773" i="6"/>
  <c r="B772" i="6"/>
  <c r="D772" i="6"/>
  <c r="E772" i="6" s="1"/>
  <c r="F772" i="6"/>
  <c r="I772" i="6" s="1"/>
  <c r="G772" i="6"/>
  <c r="H772" i="6" s="1"/>
  <c r="B771" i="6"/>
  <c r="D771" i="6"/>
  <c r="E771" i="6" s="1"/>
  <c r="F771" i="6"/>
  <c r="I771" i="6" s="1"/>
  <c r="G771" i="6"/>
  <c r="H771" i="6" s="1"/>
  <c r="D770" i="6"/>
  <c r="E770" i="6" s="1"/>
  <c r="B770" i="6"/>
  <c r="G770" i="6"/>
  <c r="H770" i="6" s="1"/>
  <c r="F770" i="6"/>
  <c r="I770" i="6" s="1"/>
  <c r="B769" i="6"/>
  <c r="G769" i="6"/>
  <c r="H769" i="6" s="1"/>
  <c r="F769" i="6"/>
  <c r="I769" i="6" s="1"/>
  <c r="D769" i="6"/>
  <c r="E769" i="6" s="1"/>
  <c r="G768" i="6"/>
  <c r="H768" i="6" s="1"/>
  <c r="F768" i="6"/>
  <c r="I768" i="6" s="1"/>
  <c r="D768" i="6"/>
  <c r="E768" i="6" s="1"/>
  <c r="B768" i="6"/>
  <c r="G767" i="6"/>
  <c r="H767" i="6" s="1"/>
  <c r="F767" i="6"/>
  <c r="I767" i="6" s="1"/>
  <c r="D767" i="6"/>
  <c r="E767" i="6" s="1"/>
  <c r="B767" i="6"/>
  <c r="G766" i="6"/>
  <c r="H766" i="6" s="1"/>
  <c r="F766" i="6"/>
  <c r="I766" i="6" s="1"/>
  <c r="D766" i="6"/>
  <c r="E766" i="6" s="1"/>
  <c r="B766" i="6"/>
  <c r="G765" i="6"/>
  <c r="H765" i="6" s="1"/>
  <c r="F765" i="6"/>
  <c r="I765" i="6" s="1"/>
  <c r="D765" i="6"/>
  <c r="E765" i="6" s="1"/>
  <c r="B765" i="6"/>
  <c r="G764" i="6"/>
  <c r="H764" i="6" s="1"/>
  <c r="F764" i="6"/>
  <c r="I764" i="6" s="1"/>
  <c r="D764" i="6"/>
  <c r="E764" i="6" s="1"/>
  <c r="B764" i="6"/>
  <c r="G763" i="6"/>
  <c r="H763" i="6" s="1"/>
  <c r="F763" i="6"/>
  <c r="I763" i="6" s="1"/>
  <c r="D763" i="6"/>
  <c r="E763" i="6" s="1"/>
  <c r="B763" i="6"/>
  <c r="G762" i="6"/>
  <c r="H762" i="6" s="1"/>
  <c r="F762" i="6"/>
  <c r="I762" i="6" s="1"/>
  <c r="D762" i="6"/>
  <c r="E762" i="6" s="1"/>
  <c r="B762" i="6"/>
  <c r="G761" i="6"/>
  <c r="H761" i="6" s="1"/>
  <c r="F761" i="6"/>
  <c r="I761" i="6" s="1"/>
  <c r="D761" i="6"/>
  <c r="E761" i="6" s="1"/>
  <c r="B761" i="6"/>
  <c r="G760" i="6"/>
  <c r="H760" i="6" s="1"/>
  <c r="F760" i="6"/>
  <c r="I760" i="6" s="1"/>
  <c r="D760" i="6"/>
  <c r="E760" i="6" s="1"/>
  <c r="B760" i="6"/>
  <c r="G759" i="6"/>
  <c r="H759" i="6" s="1"/>
  <c r="F759" i="6"/>
  <c r="I759" i="6" s="1"/>
  <c r="D759" i="6"/>
  <c r="E759" i="6" s="1"/>
  <c r="B759" i="6"/>
  <c r="G758" i="6"/>
  <c r="H758" i="6" s="1"/>
  <c r="F758" i="6"/>
  <c r="I758" i="6" s="1"/>
  <c r="D758" i="6"/>
  <c r="E758" i="6" s="1"/>
  <c r="B758" i="6"/>
  <c r="G757" i="6"/>
  <c r="H757" i="6" s="1"/>
  <c r="F757" i="6"/>
  <c r="I757" i="6" s="1"/>
  <c r="D757" i="6"/>
  <c r="E757" i="6" s="1"/>
  <c r="B757" i="6"/>
  <c r="G756" i="6"/>
  <c r="H756" i="6" s="1"/>
  <c r="F756" i="6"/>
  <c r="I756" i="6" s="1"/>
  <c r="D756" i="6"/>
  <c r="E756" i="6" s="1"/>
  <c r="B756" i="6"/>
  <c r="G755" i="6"/>
  <c r="H755" i="6" s="1"/>
  <c r="F755" i="6"/>
  <c r="I755" i="6" s="1"/>
  <c r="D755" i="6"/>
  <c r="E755" i="6" s="1"/>
  <c r="B755" i="6"/>
  <c r="G754" i="6"/>
  <c r="H754" i="6" s="1"/>
  <c r="F754" i="6"/>
  <c r="I754" i="6" s="1"/>
  <c r="D754" i="6"/>
  <c r="E754" i="6" s="1"/>
  <c r="B754" i="6"/>
  <c r="G753" i="6"/>
  <c r="H753" i="6" s="1"/>
  <c r="F753" i="6"/>
  <c r="I753" i="6" s="1"/>
  <c r="D753" i="6"/>
  <c r="E753" i="6" s="1"/>
  <c r="B753" i="6"/>
  <c r="G752" i="6"/>
  <c r="H752" i="6" s="1"/>
  <c r="F752" i="6"/>
  <c r="I752" i="6" s="1"/>
  <c r="D752" i="6"/>
  <c r="E752" i="6" s="1"/>
  <c r="B752" i="6"/>
  <c r="G751" i="6"/>
  <c r="H751" i="6" s="1"/>
  <c r="F751" i="6"/>
  <c r="I751" i="6" s="1"/>
  <c r="D751" i="6"/>
  <c r="E751" i="6" s="1"/>
  <c r="B751" i="6"/>
  <c r="G750" i="6"/>
  <c r="H750" i="6" s="1"/>
  <c r="F750" i="6"/>
  <c r="I750" i="6" s="1"/>
  <c r="D750" i="6"/>
  <c r="E750" i="6" s="1"/>
  <c r="B750" i="6"/>
  <c r="G749" i="6"/>
  <c r="H749" i="6" s="1"/>
  <c r="F749" i="6"/>
  <c r="I749" i="6" s="1"/>
  <c r="D749" i="6"/>
  <c r="E749" i="6" s="1"/>
  <c r="B749" i="6"/>
  <c r="G748" i="6"/>
  <c r="H748" i="6" s="1"/>
  <c r="F748" i="6"/>
  <c r="I748" i="6" s="1"/>
  <c r="D748" i="6"/>
  <c r="E748" i="6" s="1"/>
  <c r="B748" i="6"/>
  <c r="G747" i="6"/>
  <c r="H747" i="6" s="1"/>
  <c r="F747" i="6"/>
  <c r="I747" i="6" s="1"/>
  <c r="D747" i="6"/>
  <c r="E747" i="6" s="1"/>
  <c r="B747" i="6"/>
  <c r="G746" i="6"/>
  <c r="H746" i="6" s="1"/>
  <c r="F746" i="6"/>
  <c r="I746" i="6" s="1"/>
  <c r="D746" i="6"/>
  <c r="E746" i="6" s="1"/>
  <c r="B746" i="6"/>
  <c r="G745" i="6"/>
  <c r="H745" i="6" s="1"/>
  <c r="F745" i="6"/>
  <c r="I745" i="6" s="1"/>
  <c r="D745" i="6"/>
  <c r="E745" i="6" s="1"/>
  <c r="B745" i="6"/>
  <c r="G744" i="6"/>
  <c r="H744" i="6" s="1"/>
  <c r="F744" i="6"/>
  <c r="I744" i="6" s="1"/>
  <c r="D744" i="6"/>
  <c r="E744" i="6" s="1"/>
  <c r="B744" i="6"/>
  <c r="G743" i="6"/>
  <c r="H743" i="6" s="1"/>
  <c r="F743" i="6"/>
  <c r="I743" i="6" s="1"/>
  <c r="D743" i="6"/>
  <c r="E743" i="6" s="1"/>
  <c r="B743" i="6"/>
  <c r="G742" i="6"/>
  <c r="H742" i="6" s="1"/>
  <c r="F742" i="6"/>
  <c r="I742" i="6" s="1"/>
  <c r="D742" i="6"/>
  <c r="E742" i="6" s="1"/>
  <c r="B742" i="6"/>
  <c r="G741" i="6"/>
  <c r="H741" i="6" s="1"/>
  <c r="F741" i="6"/>
  <c r="I741" i="6" s="1"/>
  <c r="D741" i="6"/>
  <c r="E741" i="6" s="1"/>
  <c r="B741" i="6"/>
  <c r="G740" i="6"/>
  <c r="H740" i="6" s="1"/>
  <c r="F740" i="6"/>
  <c r="I740" i="6" s="1"/>
  <c r="D740" i="6"/>
  <c r="E740" i="6" s="1"/>
  <c r="B740" i="6"/>
  <c r="G739" i="6"/>
  <c r="H739" i="6" s="1"/>
  <c r="F739" i="6"/>
  <c r="I739" i="6" s="1"/>
  <c r="D739" i="6"/>
  <c r="E739" i="6" s="1"/>
  <c r="B739" i="6"/>
  <c r="G738" i="6"/>
  <c r="H738" i="6" s="1"/>
  <c r="F738" i="6"/>
  <c r="I738" i="6" s="1"/>
  <c r="D738" i="6"/>
  <c r="E738" i="6" s="1"/>
  <c r="B738" i="6"/>
  <c r="G737" i="6"/>
  <c r="H737" i="6" s="1"/>
  <c r="F737" i="6"/>
  <c r="I737" i="6" s="1"/>
  <c r="D737" i="6"/>
  <c r="E737" i="6" s="1"/>
  <c r="B737" i="6"/>
  <c r="G736" i="6"/>
  <c r="H736" i="6" s="1"/>
  <c r="F736" i="6"/>
  <c r="I736" i="6" s="1"/>
  <c r="D736" i="6"/>
  <c r="E736" i="6" s="1"/>
  <c r="B736" i="6"/>
  <c r="G735" i="6"/>
  <c r="H735" i="6" s="1"/>
  <c r="F735" i="6"/>
  <c r="I735" i="6" s="1"/>
  <c r="D735" i="6"/>
  <c r="E735" i="6" s="1"/>
  <c r="B735" i="6"/>
  <c r="G734" i="6"/>
  <c r="H734" i="6" s="1"/>
  <c r="F734" i="6"/>
  <c r="I734" i="6" s="1"/>
  <c r="D734" i="6"/>
  <c r="E734" i="6" s="1"/>
  <c r="B734" i="6"/>
  <c r="G733" i="6"/>
  <c r="H733" i="6" s="1"/>
  <c r="F733" i="6"/>
  <c r="I733" i="6" s="1"/>
  <c r="D733" i="6"/>
  <c r="E733" i="6" s="1"/>
  <c r="B733" i="6"/>
  <c r="G732" i="6"/>
  <c r="H732" i="6" s="1"/>
  <c r="F732" i="6"/>
  <c r="I732" i="6" s="1"/>
  <c r="D732" i="6"/>
  <c r="E732" i="6" s="1"/>
  <c r="B732" i="6"/>
  <c r="G731" i="6"/>
  <c r="H731" i="6" s="1"/>
  <c r="F731" i="6"/>
  <c r="I731" i="6" s="1"/>
  <c r="D731" i="6"/>
  <c r="E731" i="6" s="1"/>
  <c r="B731" i="6"/>
  <c r="G730" i="6"/>
  <c r="H730" i="6" s="1"/>
  <c r="F730" i="6"/>
  <c r="I730" i="6" s="1"/>
  <c r="D730" i="6"/>
  <c r="E730" i="6" s="1"/>
  <c r="B730" i="6"/>
  <c r="G729" i="6"/>
  <c r="H729" i="6" s="1"/>
  <c r="F729" i="6"/>
  <c r="I729" i="6" s="1"/>
  <c r="D729" i="6"/>
  <c r="E729" i="6" s="1"/>
  <c r="B729" i="6"/>
  <c r="G728" i="6"/>
  <c r="H728" i="6" s="1"/>
  <c r="F728" i="6"/>
  <c r="I728" i="6" s="1"/>
  <c r="D728" i="6"/>
  <c r="E728" i="6" s="1"/>
  <c r="B728" i="6"/>
  <c r="G727" i="6"/>
  <c r="H727" i="6" s="1"/>
  <c r="F727" i="6"/>
  <c r="I727" i="6" s="1"/>
  <c r="D727" i="6"/>
  <c r="E727" i="6" s="1"/>
  <c r="B727" i="6"/>
  <c r="G726" i="6"/>
  <c r="H726" i="6" s="1"/>
  <c r="F726" i="6"/>
  <c r="I726" i="6" s="1"/>
  <c r="D726" i="6"/>
  <c r="E726" i="6" s="1"/>
  <c r="B726" i="6"/>
  <c r="G725" i="6"/>
  <c r="H725" i="6" s="1"/>
  <c r="F725" i="6"/>
  <c r="I725" i="6" s="1"/>
  <c r="D725" i="6"/>
  <c r="E725" i="6" s="1"/>
  <c r="B725" i="6"/>
  <c r="G724" i="6"/>
  <c r="H724" i="6" s="1"/>
  <c r="F724" i="6"/>
  <c r="I724" i="6" s="1"/>
  <c r="D724" i="6"/>
  <c r="E724" i="6" s="1"/>
  <c r="B724" i="6"/>
  <c r="G723" i="6"/>
  <c r="H723" i="6" s="1"/>
  <c r="F723" i="6"/>
  <c r="I723" i="6" s="1"/>
  <c r="D723" i="6"/>
  <c r="E723" i="6" s="1"/>
  <c r="B723" i="6"/>
  <c r="G722" i="6"/>
  <c r="H722" i="6" s="1"/>
  <c r="F722" i="6"/>
  <c r="I722" i="6" s="1"/>
  <c r="D722" i="6"/>
  <c r="E722" i="6" s="1"/>
  <c r="B722" i="6"/>
  <c r="G721" i="6"/>
  <c r="H721" i="6" s="1"/>
  <c r="F721" i="6"/>
  <c r="I721" i="6" s="1"/>
  <c r="D721" i="6"/>
  <c r="E721" i="6" s="1"/>
  <c r="B721" i="6"/>
  <c r="G720" i="6"/>
  <c r="H720" i="6" s="1"/>
  <c r="F720" i="6"/>
  <c r="I720" i="6" s="1"/>
  <c r="D720" i="6"/>
  <c r="E720" i="6" s="1"/>
  <c r="B720" i="6"/>
  <c r="G719" i="6"/>
  <c r="H719" i="6" s="1"/>
  <c r="F719" i="6"/>
  <c r="I719" i="6" s="1"/>
  <c r="D719" i="6"/>
  <c r="E719" i="6" s="1"/>
  <c r="B719" i="6"/>
  <c r="G718" i="6"/>
  <c r="H718" i="6" s="1"/>
  <c r="F718" i="6"/>
  <c r="I718" i="6" s="1"/>
  <c r="D718" i="6"/>
  <c r="E718" i="6" s="1"/>
  <c r="B718" i="6"/>
  <c r="G717" i="6"/>
  <c r="H717" i="6" s="1"/>
  <c r="F717" i="6"/>
  <c r="I717" i="6" s="1"/>
  <c r="D717" i="6"/>
  <c r="E717" i="6" s="1"/>
  <c r="B717" i="6"/>
  <c r="G716" i="6"/>
  <c r="H716" i="6" s="1"/>
  <c r="F716" i="6"/>
  <c r="I716" i="6" s="1"/>
  <c r="D716" i="6"/>
  <c r="E716" i="6" s="1"/>
  <c r="B716" i="6"/>
  <c r="G715" i="6"/>
  <c r="H715" i="6" s="1"/>
  <c r="F715" i="6"/>
  <c r="I715" i="6" s="1"/>
  <c r="D715" i="6"/>
  <c r="E715" i="6" s="1"/>
  <c r="B715" i="6"/>
  <c r="G714" i="6"/>
  <c r="H714" i="6" s="1"/>
  <c r="F714" i="6"/>
  <c r="I714" i="6" s="1"/>
  <c r="D714" i="6"/>
  <c r="E714" i="6" s="1"/>
  <c r="B714" i="6"/>
  <c r="D713" i="6"/>
  <c r="E713" i="6" s="1"/>
  <c r="G713" i="6"/>
  <c r="H713" i="6" s="1"/>
  <c r="F713" i="6"/>
  <c r="I713" i="6" s="1"/>
  <c r="B713" i="6"/>
  <c r="D712" i="6"/>
  <c r="E712" i="6" s="1"/>
  <c r="B712" i="6"/>
  <c r="G712" i="6"/>
  <c r="H712" i="6" s="1"/>
  <c r="F712" i="6"/>
  <c r="I712" i="6" s="1"/>
  <c r="G711" i="6"/>
  <c r="H711" i="6" s="1"/>
  <c r="F711" i="6"/>
  <c r="I711" i="6" s="1"/>
  <c r="D711" i="6"/>
  <c r="E711" i="6" s="1"/>
  <c r="B711" i="6"/>
  <c r="G710" i="6"/>
  <c r="H710" i="6" s="1"/>
  <c r="F710" i="6"/>
  <c r="I710" i="6" s="1"/>
  <c r="D710" i="6"/>
  <c r="E710" i="6" s="1"/>
  <c r="B710" i="6"/>
  <c r="G709" i="6"/>
  <c r="H709" i="6" s="1"/>
  <c r="F709" i="6"/>
  <c r="I709" i="6" s="1"/>
  <c r="D709" i="6"/>
  <c r="E709" i="6" s="1"/>
  <c r="B709" i="6"/>
  <c r="G708" i="6"/>
  <c r="H708" i="6" s="1"/>
  <c r="F708" i="6"/>
  <c r="I708" i="6" s="1"/>
  <c r="D708" i="6"/>
  <c r="E708" i="6" s="1"/>
  <c r="B708" i="6"/>
  <c r="G707" i="6"/>
  <c r="H707" i="6" s="1"/>
  <c r="B707" i="6"/>
  <c r="D707" i="6"/>
  <c r="E707" i="6" s="1"/>
  <c r="F707" i="6"/>
  <c r="I707" i="6" s="1"/>
  <c r="G706" i="6"/>
  <c r="H706" i="6" s="1"/>
  <c r="F706" i="6"/>
  <c r="I706" i="6" s="1"/>
  <c r="D706" i="6"/>
  <c r="E706" i="6" s="1"/>
  <c r="B706" i="6"/>
  <c r="G705" i="6"/>
  <c r="H705" i="6" s="1"/>
  <c r="F705" i="6"/>
  <c r="I705" i="6" s="1"/>
  <c r="D705" i="6"/>
  <c r="E705" i="6" s="1"/>
  <c r="B705" i="6"/>
  <c r="G704" i="6"/>
  <c r="H704" i="6" s="1"/>
  <c r="F704" i="6"/>
  <c r="I704" i="6" s="1"/>
  <c r="D704" i="6"/>
  <c r="E704" i="6" s="1"/>
  <c r="B704" i="6"/>
  <c r="D703" i="6"/>
  <c r="E703" i="6" s="1"/>
  <c r="B703" i="6"/>
  <c r="G703" i="6"/>
  <c r="H703" i="6" s="1"/>
  <c r="F703" i="6"/>
  <c r="I703" i="6" s="1"/>
  <c r="D702" i="6"/>
  <c r="E702" i="6" s="1"/>
  <c r="B702" i="6"/>
  <c r="G702" i="6"/>
  <c r="H702" i="6" s="1"/>
  <c r="F702" i="6"/>
  <c r="I702" i="6" s="1"/>
  <c r="G701" i="6"/>
  <c r="H701" i="6" s="1"/>
  <c r="F701" i="6"/>
  <c r="I701" i="6" s="1"/>
  <c r="D701" i="6"/>
  <c r="E701" i="6" s="1"/>
  <c r="B701" i="6"/>
  <c r="G700" i="6"/>
  <c r="H700" i="6" s="1"/>
  <c r="F700" i="6"/>
  <c r="I700" i="6" s="1"/>
  <c r="D700" i="6"/>
  <c r="E700" i="6" s="1"/>
  <c r="B700" i="6"/>
  <c r="G699" i="6"/>
  <c r="H699" i="6" s="1"/>
  <c r="D699" i="6"/>
  <c r="E699" i="6" s="1"/>
  <c r="B699" i="6"/>
  <c r="F699" i="6"/>
  <c r="I699" i="6" s="1"/>
  <c r="G698" i="6"/>
  <c r="H698" i="6" s="1"/>
  <c r="F698" i="6"/>
  <c r="I698" i="6" s="1"/>
  <c r="D698" i="6"/>
  <c r="E698" i="6" s="1"/>
  <c r="B698" i="6"/>
  <c r="G697" i="6"/>
  <c r="H697" i="6" s="1"/>
  <c r="D697" i="6"/>
  <c r="E697" i="6" s="1"/>
  <c r="B697" i="6"/>
  <c r="F697" i="6"/>
  <c r="I697" i="6" s="1"/>
  <c r="B696" i="6"/>
  <c r="G696" i="6"/>
  <c r="H696" i="6" s="1"/>
  <c r="F696" i="6"/>
  <c r="I696" i="6" s="1"/>
  <c r="D696" i="6"/>
  <c r="E696" i="6" s="1"/>
  <c r="G695" i="6"/>
  <c r="H695" i="6" s="1"/>
  <c r="F695" i="6"/>
  <c r="I695" i="6" s="1"/>
  <c r="D695" i="6"/>
  <c r="E695" i="6" s="1"/>
  <c r="B695" i="6"/>
  <c r="B694" i="6"/>
  <c r="D694" i="6"/>
  <c r="E694" i="6" s="1"/>
  <c r="F694" i="6"/>
  <c r="I694" i="6" s="1"/>
  <c r="G694" i="6"/>
  <c r="H694" i="6" s="1"/>
  <c r="B693" i="6"/>
  <c r="D693" i="6"/>
  <c r="E693" i="6" s="1"/>
  <c r="F693" i="6"/>
  <c r="I693" i="6" s="1"/>
  <c r="G693" i="6"/>
  <c r="H693" i="6" s="1"/>
  <c r="B692" i="6"/>
  <c r="D692" i="6"/>
  <c r="E692" i="6" s="1"/>
  <c r="G692" i="6"/>
  <c r="H692" i="6" s="1"/>
  <c r="F692" i="6"/>
  <c r="I692" i="6" s="1"/>
  <c r="F691" i="6"/>
  <c r="I691" i="6" s="1"/>
  <c r="G691" i="6"/>
  <c r="H691" i="6" s="1"/>
  <c r="B691" i="6"/>
  <c r="D691" i="6"/>
  <c r="E691" i="6" s="1"/>
  <c r="B690" i="6"/>
  <c r="D690" i="6"/>
  <c r="E690" i="6" s="1"/>
  <c r="F690" i="6"/>
  <c r="I690" i="6" s="1"/>
  <c r="G690" i="6"/>
  <c r="H690" i="6" s="1"/>
  <c r="G689" i="6"/>
  <c r="H689" i="6" s="1"/>
  <c r="F689" i="6"/>
  <c r="I689" i="6" s="1"/>
  <c r="D689" i="6"/>
  <c r="E689" i="6" s="1"/>
  <c r="B689" i="6"/>
  <c r="G688" i="6"/>
  <c r="H688" i="6" s="1"/>
  <c r="F688" i="6"/>
  <c r="I688" i="6" s="1"/>
  <c r="D688" i="6"/>
  <c r="E688" i="6" s="1"/>
  <c r="B688" i="6"/>
  <c r="G687" i="6"/>
  <c r="H687" i="6" s="1"/>
  <c r="F687" i="6"/>
  <c r="I687" i="6" s="1"/>
  <c r="B687" i="6"/>
  <c r="D687" i="6"/>
  <c r="E687" i="6" s="1"/>
  <c r="F686" i="6"/>
  <c r="I686" i="6" s="1"/>
  <c r="D686" i="6"/>
  <c r="E686" i="6" s="1"/>
  <c r="B686" i="6"/>
  <c r="G686" i="6"/>
  <c r="H686" i="6" s="1"/>
  <c r="G685" i="6"/>
  <c r="H685" i="6" s="1"/>
  <c r="F685" i="6"/>
  <c r="I685" i="6" s="1"/>
  <c r="D685" i="6"/>
  <c r="E685" i="6" s="1"/>
  <c r="B685" i="6"/>
  <c r="B684" i="6"/>
  <c r="D684" i="6"/>
  <c r="E684" i="6" s="1"/>
  <c r="F684" i="6"/>
  <c r="I684" i="6" s="1"/>
  <c r="G684" i="6"/>
  <c r="H684" i="6" s="1"/>
  <c r="G683" i="6"/>
  <c r="H683" i="6" s="1"/>
  <c r="B683" i="6"/>
  <c r="D683" i="6"/>
  <c r="E683" i="6" s="1"/>
  <c r="F683" i="6"/>
  <c r="I683" i="6" s="1"/>
  <c r="B682" i="6"/>
  <c r="D682" i="6"/>
  <c r="E682" i="6" s="1"/>
  <c r="F682" i="6"/>
  <c r="I682" i="6" s="1"/>
  <c r="G682" i="6"/>
  <c r="H682" i="6" s="1"/>
  <c r="B681" i="6"/>
  <c r="D681" i="6"/>
  <c r="E681" i="6" s="1"/>
  <c r="F681" i="6"/>
  <c r="I681" i="6" s="1"/>
  <c r="G681" i="6"/>
  <c r="H681" i="6" s="1"/>
  <c r="B680" i="6"/>
  <c r="D680" i="6"/>
  <c r="E680" i="6" s="1"/>
  <c r="F680" i="6"/>
  <c r="I680" i="6" s="1"/>
  <c r="G680" i="6"/>
  <c r="H680" i="6" s="1"/>
  <c r="G679" i="6"/>
  <c r="H679" i="6" s="1"/>
  <c r="F679" i="6"/>
  <c r="I679" i="6" s="1"/>
  <c r="D679" i="6"/>
  <c r="E679" i="6" s="1"/>
  <c r="B679" i="6"/>
  <c r="G678" i="6"/>
  <c r="H678" i="6" s="1"/>
  <c r="F678" i="6"/>
  <c r="I678" i="6" s="1"/>
  <c r="D678" i="6"/>
  <c r="E678" i="6" s="1"/>
  <c r="B678" i="6"/>
  <c r="G677" i="6"/>
  <c r="H677" i="6" s="1"/>
  <c r="F677" i="6"/>
  <c r="I677" i="6" s="1"/>
  <c r="D677" i="6"/>
  <c r="E677" i="6" s="1"/>
  <c r="B677" i="6"/>
  <c r="F676" i="6"/>
  <c r="I676" i="6" s="1"/>
  <c r="B676" i="6"/>
  <c r="D676" i="6"/>
  <c r="E676" i="6" s="1"/>
  <c r="D675" i="6"/>
  <c r="E675" i="6" s="1"/>
  <c r="B675" i="6"/>
  <c r="F675" i="6"/>
  <c r="I675" i="6" s="1"/>
  <c r="G675" i="6"/>
  <c r="H675" i="6" s="1"/>
  <c r="B674" i="6"/>
  <c r="G674" i="6"/>
  <c r="H674" i="6" s="1"/>
  <c r="F674" i="6"/>
  <c r="I674" i="6" s="1"/>
  <c r="D674" i="6"/>
  <c r="E674" i="6" s="1"/>
  <c r="G673" i="6"/>
  <c r="H673" i="6" s="1"/>
  <c r="F673" i="6"/>
  <c r="I673" i="6" s="1"/>
  <c r="D673" i="6"/>
  <c r="E673" i="6" s="1"/>
  <c r="B673" i="6"/>
  <c r="G672" i="6"/>
  <c r="H672" i="6" s="1"/>
  <c r="F672" i="6"/>
  <c r="I672" i="6" s="1"/>
  <c r="D672" i="6"/>
  <c r="E672" i="6" s="1"/>
  <c r="B672" i="6"/>
  <c r="D671" i="6"/>
  <c r="E671" i="6" s="1"/>
  <c r="F671" i="6"/>
  <c r="I671" i="6" s="1"/>
  <c r="G671" i="6"/>
  <c r="H671" i="6" s="1"/>
  <c r="B671" i="6"/>
  <c r="B670" i="6"/>
  <c r="D670" i="6"/>
  <c r="E670" i="6" s="1"/>
  <c r="F670" i="6"/>
  <c r="I670" i="6" s="1"/>
  <c r="G670" i="6"/>
  <c r="H670" i="6" s="1"/>
  <c r="D669" i="6"/>
  <c r="E669" i="6" s="1"/>
  <c r="B669" i="6"/>
  <c r="F669" i="6"/>
  <c r="I669" i="6" s="1"/>
  <c r="G669" i="6"/>
  <c r="H669" i="6" s="1"/>
  <c r="F668" i="6"/>
  <c r="I668" i="6" s="1"/>
  <c r="G668" i="6"/>
  <c r="H668" i="6" s="1"/>
  <c r="B668" i="6"/>
  <c r="D668" i="6"/>
  <c r="E668" i="6" s="1"/>
  <c r="B667" i="6"/>
  <c r="D667" i="6"/>
  <c r="E667" i="6" s="1"/>
  <c r="G667" i="6"/>
  <c r="H667" i="6" s="1"/>
  <c r="F667" i="6"/>
  <c r="I667" i="6" s="1"/>
  <c r="B666" i="6"/>
  <c r="D666" i="6"/>
  <c r="E666" i="6" s="1"/>
  <c r="F666" i="6"/>
  <c r="I666" i="6" s="1"/>
  <c r="G666" i="6"/>
  <c r="H666" i="6" s="1"/>
  <c r="D665" i="6"/>
  <c r="E665" i="6" s="1"/>
  <c r="F665" i="6"/>
  <c r="I665" i="6" s="1"/>
  <c r="G665" i="6"/>
  <c r="H665" i="6" s="1"/>
  <c r="B665" i="6"/>
  <c r="D664" i="6"/>
  <c r="E664" i="6" s="1"/>
  <c r="G664" i="6"/>
  <c r="H664" i="6" s="1"/>
  <c r="F664" i="6"/>
  <c r="I664" i="6" s="1"/>
  <c r="B664" i="6"/>
  <c r="B663" i="6"/>
  <c r="G663" i="6"/>
  <c r="H663" i="6" s="1"/>
  <c r="F663" i="6"/>
  <c r="I663" i="6" s="1"/>
  <c r="D663" i="6"/>
  <c r="E663" i="6" s="1"/>
  <c r="F662" i="6"/>
  <c r="I662" i="6" s="1"/>
  <c r="D662" i="6"/>
  <c r="E662" i="6" s="1"/>
  <c r="G662" i="6"/>
  <c r="H662" i="6" s="1"/>
  <c r="B662" i="6"/>
  <c r="F661" i="6"/>
  <c r="I661" i="6" s="1"/>
  <c r="D661" i="6"/>
  <c r="E661" i="6" s="1"/>
  <c r="B661" i="6"/>
  <c r="G661" i="6"/>
  <c r="H661" i="6" s="1"/>
  <c r="G660" i="6"/>
  <c r="H660" i="6" s="1"/>
  <c r="F660" i="6"/>
  <c r="I660" i="6" s="1"/>
  <c r="D660" i="6"/>
  <c r="E660" i="6" s="1"/>
  <c r="B660" i="6"/>
  <c r="F659" i="6"/>
  <c r="I659" i="6" s="1"/>
  <c r="D659" i="6"/>
  <c r="E659" i="6" s="1"/>
  <c r="B659" i="6"/>
  <c r="G659" i="6"/>
  <c r="H659" i="6" s="1"/>
  <c r="G658" i="6"/>
  <c r="H658" i="6" s="1"/>
  <c r="B658" i="6"/>
  <c r="F658" i="6"/>
  <c r="I658" i="6" s="1"/>
  <c r="D658" i="6"/>
  <c r="E658" i="6" s="1"/>
  <c r="G657" i="6"/>
  <c r="H657" i="6" s="1"/>
  <c r="D657" i="6"/>
  <c r="E657" i="6" s="1"/>
  <c r="F657" i="6"/>
  <c r="I657" i="6" s="1"/>
  <c r="B657" i="6"/>
  <c r="B656" i="6"/>
  <c r="D656" i="6"/>
  <c r="E656" i="6" s="1"/>
  <c r="F656" i="6"/>
  <c r="I656" i="6" s="1"/>
  <c r="G656" i="6"/>
  <c r="H656" i="6" s="1"/>
  <c r="D655" i="6"/>
  <c r="E655" i="6" s="1"/>
  <c r="F655" i="6"/>
  <c r="I655" i="6" s="1"/>
  <c r="G655" i="6"/>
  <c r="H655" i="6" s="1"/>
  <c r="B655" i="6"/>
  <c r="F654" i="6"/>
  <c r="I654" i="6" s="1"/>
  <c r="D654" i="6"/>
  <c r="E654" i="6" s="1"/>
  <c r="B654" i="6"/>
  <c r="G654" i="6"/>
  <c r="H654" i="6" s="1"/>
  <c r="D653" i="6"/>
  <c r="E653" i="6" s="1"/>
  <c r="G653" i="6"/>
  <c r="H653" i="6" s="1"/>
  <c r="F653" i="6"/>
  <c r="I653" i="6" s="1"/>
  <c r="B653" i="6"/>
  <c r="G652" i="6"/>
  <c r="H652" i="6" s="1"/>
  <c r="F652" i="6"/>
  <c r="I652" i="6" s="1"/>
  <c r="D652" i="6"/>
  <c r="E652" i="6" s="1"/>
  <c r="B652" i="6"/>
  <c r="G651" i="6"/>
  <c r="H651" i="6" s="1"/>
  <c r="F651" i="6"/>
  <c r="I651" i="6" s="1"/>
  <c r="D651" i="6"/>
  <c r="E651" i="6" s="1"/>
  <c r="B651" i="6"/>
  <c r="B650" i="6"/>
  <c r="F650" i="6"/>
  <c r="I650" i="6" s="1"/>
  <c r="D650" i="6"/>
  <c r="E650" i="6" s="1"/>
  <c r="G650" i="6"/>
  <c r="H650" i="6" s="1"/>
  <c r="B649" i="6"/>
  <c r="D649" i="6"/>
  <c r="E649" i="6" s="1"/>
  <c r="F649" i="6"/>
  <c r="I649" i="6" s="1"/>
  <c r="G649" i="6"/>
  <c r="H649" i="6" s="1"/>
  <c r="G648" i="6"/>
  <c r="H648" i="6" s="1"/>
  <c r="B648" i="6"/>
  <c r="D648" i="6"/>
  <c r="E648" i="6" s="1"/>
  <c r="F648" i="6"/>
  <c r="I648" i="6" s="1"/>
  <c r="F647" i="6"/>
  <c r="I647" i="6" s="1"/>
  <c r="B647" i="6"/>
  <c r="D647" i="6"/>
  <c r="E647" i="6" s="1"/>
  <c r="G647" i="6"/>
  <c r="H647" i="6" s="1"/>
  <c r="D646" i="6"/>
  <c r="E646" i="6" s="1"/>
  <c r="F646" i="6"/>
  <c r="I646" i="6" s="1"/>
  <c r="G646" i="6"/>
  <c r="H646" i="6" s="1"/>
  <c r="B646" i="6"/>
  <c r="B645" i="6"/>
  <c r="D645" i="6"/>
  <c r="E645" i="6" s="1"/>
  <c r="F645" i="6"/>
  <c r="I645" i="6" s="1"/>
  <c r="G645" i="6"/>
  <c r="H645" i="6" s="1"/>
  <c r="B644" i="6"/>
  <c r="G644" i="6"/>
  <c r="H644" i="6" s="1"/>
  <c r="D644" i="6"/>
  <c r="E644" i="6" s="1"/>
  <c r="F644" i="6"/>
  <c r="I644" i="6" s="1"/>
  <c r="F643" i="6"/>
  <c r="I643" i="6" s="1"/>
  <c r="B643" i="6"/>
  <c r="D643" i="6"/>
  <c r="E643" i="6" s="1"/>
  <c r="G643" i="6"/>
  <c r="H643" i="6" s="1"/>
  <c r="B642" i="6"/>
  <c r="F642" i="6"/>
  <c r="I642" i="6" s="1"/>
  <c r="D642" i="6"/>
  <c r="E642" i="6" s="1"/>
  <c r="G642" i="6"/>
  <c r="H642" i="6" s="1"/>
  <c r="G641" i="6"/>
  <c r="H641" i="6" s="1"/>
  <c r="B641" i="6"/>
  <c r="D641" i="6"/>
  <c r="E641" i="6" s="1"/>
  <c r="F641" i="6"/>
  <c r="I641" i="6" s="1"/>
  <c r="B640" i="6"/>
  <c r="G640" i="6"/>
  <c r="H640" i="6" s="1"/>
  <c r="F640" i="6"/>
  <c r="I640" i="6" s="1"/>
  <c r="D640" i="6"/>
  <c r="E640" i="6" s="1"/>
  <c r="B639" i="6"/>
  <c r="D639" i="6"/>
  <c r="E639" i="6" s="1"/>
  <c r="F639" i="6"/>
  <c r="I639" i="6" s="1"/>
  <c r="G639" i="6"/>
  <c r="H639" i="6" s="1"/>
  <c r="B638" i="6"/>
  <c r="D638" i="6"/>
  <c r="E638" i="6" s="1"/>
  <c r="F638" i="6"/>
  <c r="I638" i="6" s="1"/>
  <c r="G638" i="6"/>
  <c r="H638" i="6" s="1"/>
  <c r="D637" i="6"/>
  <c r="E637" i="6" s="1"/>
  <c r="B637" i="6"/>
  <c r="G637" i="6"/>
  <c r="H637" i="6" s="1"/>
  <c r="F637" i="6"/>
  <c r="I637" i="6" s="1"/>
  <c r="D636" i="6"/>
  <c r="E636" i="6" s="1"/>
  <c r="B636" i="6"/>
  <c r="F636" i="6"/>
  <c r="I636" i="6" s="1"/>
  <c r="G636" i="6"/>
  <c r="H636" i="6" s="1"/>
  <c r="B635" i="6"/>
  <c r="F635" i="6"/>
  <c r="I635" i="6" s="1"/>
  <c r="D635" i="6"/>
  <c r="E635" i="6" s="1"/>
  <c r="G635" i="6"/>
  <c r="H635" i="6" s="1"/>
  <c r="F634" i="6"/>
  <c r="I634" i="6" s="1"/>
  <c r="B634" i="6"/>
  <c r="D634" i="6"/>
  <c r="E634" i="6" s="1"/>
  <c r="G634" i="6"/>
  <c r="H634" i="6" s="1"/>
  <c r="D633" i="6"/>
  <c r="E633" i="6" s="1"/>
  <c r="F633" i="6"/>
  <c r="I633" i="6" s="1"/>
  <c r="G633" i="6"/>
  <c r="H633" i="6" s="1"/>
  <c r="B633" i="6"/>
  <c r="B632" i="6"/>
  <c r="D632" i="6"/>
  <c r="E632" i="6" s="1"/>
  <c r="F632" i="6"/>
  <c r="I632" i="6" s="1"/>
  <c r="G632" i="6"/>
  <c r="H632" i="6" s="1"/>
  <c r="G631" i="6"/>
  <c r="H631" i="6" s="1"/>
  <c r="B631" i="6"/>
  <c r="D631" i="6"/>
  <c r="E631" i="6" s="1"/>
  <c r="F631" i="6"/>
  <c r="I631" i="6" s="1"/>
  <c r="B630" i="6"/>
  <c r="D630" i="6"/>
  <c r="E630" i="6" s="1"/>
  <c r="F630" i="6"/>
  <c r="I630" i="6" s="1"/>
  <c r="G630" i="6"/>
  <c r="H630" i="6" s="1"/>
  <c r="B629" i="6"/>
  <c r="D629" i="6"/>
  <c r="E629" i="6" s="1"/>
  <c r="F629" i="6"/>
  <c r="I629" i="6" s="1"/>
  <c r="G629" i="6"/>
  <c r="H629" i="6" s="1"/>
  <c r="G628" i="6"/>
  <c r="H628" i="6" s="1"/>
  <c r="B628" i="6"/>
  <c r="D628" i="6"/>
  <c r="E628" i="6" s="1"/>
  <c r="F628" i="6"/>
  <c r="I628" i="6" s="1"/>
  <c r="B627" i="6"/>
  <c r="D627" i="6"/>
  <c r="E627" i="6" s="1"/>
  <c r="F627" i="6"/>
  <c r="I627" i="6" s="1"/>
  <c r="G627" i="6"/>
  <c r="H627" i="6" s="1"/>
  <c r="G626" i="6"/>
  <c r="H626" i="6" s="1"/>
  <c r="D626" i="6"/>
  <c r="E626" i="6" s="1"/>
  <c r="B626" i="6"/>
  <c r="F626" i="6"/>
  <c r="I626" i="6" s="1"/>
  <c r="B625" i="6"/>
  <c r="D625" i="6"/>
  <c r="E625" i="6" s="1"/>
  <c r="F625" i="6"/>
  <c r="I625" i="6" s="1"/>
  <c r="G625" i="6"/>
  <c r="H625" i="6" s="1"/>
  <c r="D624" i="6"/>
  <c r="E624" i="6" s="1"/>
  <c r="B624" i="6"/>
  <c r="F624" i="6"/>
  <c r="I624" i="6" s="1"/>
  <c r="G624" i="6"/>
  <c r="H624" i="6" s="1"/>
  <c r="G623" i="6"/>
  <c r="H623" i="6" s="1"/>
  <c r="B623" i="6"/>
  <c r="F623" i="6"/>
  <c r="I623" i="6" s="1"/>
  <c r="D623" i="6"/>
  <c r="E623" i="6" s="1"/>
  <c r="B622" i="6"/>
  <c r="D622" i="6"/>
  <c r="E622" i="6" s="1"/>
  <c r="F622" i="6"/>
  <c r="I622" i="6" s="1"/>
  <c r="G622" i="6"/>
  <c r="H622" i="6" s="1"/>
  <c r="F621" i="6"/>
  <c r="I621" i="6" s="1"/>
  <c r="B621" i="6"/>
  <c r="D621" i="6"/>
  <c r="E621" i="6" s="1"/>
  <c r="G621" i="6"/>
  <c r="H621" i="6" s="1"/>
  <c r="B620" i="6"/>
  <c r="D620" i="6"/>
  <c r="E620" i="6" s="1"/>
  <c r="F620" i="6"/>
  <c r="I620" i="6" s="1"/>
  <c r="G620" i="6"/>
  <c r="H620" i="6" s="1"/>
  <c r="G619" i="6"/>
  <c r="H619" i="6" s="1"/>
  <c r="B619" i="6"/>
  <c r="F619" i="6"/>
  <c r="I619" i="6" s="1"/>
  <c r="D619" i="6"/>
  <c r="E619" i="6" s="1"/>
  <c r="G618" i="6"/>
  <c r="H618" i="6" s="1"/>
  <c r="F618" i="6"/>
  <c r="I618" i="6" s="1"/>
  <c r="D618" i="6"/>
  <c r="E618" i="6" s="1"/>
  <c r="B618" i="6"/>
  <c r="D617" i="6"/>
  <c r="E617" i="6" s="1"/>
  <c r="G617" i="6"/>
  <c r="H617" i="6" s="1"/>
  <c r="B617" i="6"/>
  <c r="F617" i="6"/>
  <c r="I617" i="6" s="1"/>
  <c r="D616" i="6"/>
  <c r="E616" i="6" s="1"/>
  <c r="B616" i="6"/>
  <c r="F616" i="6"/>
  <c r="I616" i="6" s="1"/>
  <c r="G616" i="6"/>
  <c r="H616" i="6" s="1"/>
  <c r="B615" i="6"/>
  <c r="F615" i="6"/>
  <c r="I615" i="6" s="1"/>
  <c r="G615" i="6"/>
  <c r="H615" i="6" s="1"/>
  <c r="D615" i="6"/>
  <c r="E615" i="6" s="1"/>
  <c r="D614" i="6"/>
  <c r="E614" i="6" s="1"/>
  <c r="G614" i="6"/>
  <c r="H614" i="6" s="1"/>
  <c r="F614" i="6"/>
  <c r="I614" i="6" s="1"/>
  <c r="B614" i="6"/>
  <c r="D613" i="6"/>
  <c r="E613" i="6" s="1"/>
  <c r="F613" i="6"/>
  <c r="I613" i="6" s="1"/>
  <c r="G613" i="6"/>
  <c r="H613" i="6" s="1"/>
  <c r="B613" i="6"/>
  <c r="F612" i="6"/>
  <c r="I612" i="6" s="1"/>
  <c r="G612" i="6"/>
  <c r="H612" i="6" s="1"/>
  <c r="B612" i="6"/>
  <c r="D612" i="6"/>
  <c r="E612" i="6" s="1"/>
  <c r="F611" i="6"/>
  <c r="I611" i="6" s="1"/>
  <c r="G611" i="6"/>
  <c r="H611" i="6" s="1"/>
  <c r="B611" i="6"/>
  <c r="D611" i="6"/>
  <c r="E611" i="6" s="1"/>
  <c r="G610" i="6"/>
  <c r="H610" i="6" s="1"/>
  <c r="B610" i="6"/>
  <c r="D610" i="6"/>
  <c r="E610" i="6" s="1"/>
  <c r="F610" i="6"/>
  <c r="I610" i="6" s="1"/>
  <c r="B609" i="6"/>
  <c r="F609" i="6"/>
  <c r="I609" i="6" s="1"/>
  <c r="D609" i="6"/>
  <c r="E609" i="6" s="1"/>
  <c r="G609" i="6"/>
  <c r="H609" i="6" s="1"/>
  <c r="G608" i="6"/>
  <c r="H608" i="6" s="1"/>
  <c r="F608" i="6"/>
  <c r="I608" i="6" s="1"/>
  <c r="D608" i="6"/>
  <c r="E608" i="6" s="1"/>
  <c r="B608" i="6"/>
  <c r="F607" i="6"/>
  <c r="I607" i="6" s="1"/>
  <c r="D607" i="6"/>
  <c r="E607" i="6" s="1"/>
  <c r="B607" i="6"/>
  <c r="G607" i="6"/>
  <c r="H607" i="6" s="1"/>
  <c r="B606" i="6"/>
  <c r="D606" i="6"/>
  <c r="E606" i="6" s="1"/>
  <c r="F606" i="6"/>
  <c r="I606" i="6" s="1"/>
  <c r="G606" i="6"/>
  <c r="H606" i="6" s="1"/>
  <c r="G605" i="6"/>
  <c r="H605" i="6" s="1"/>
  <c r="F605" i="6"/>
  <c r="I605" i="6" s="1"/>
  <c r="D605" i="6"/>
  <c r="E605" i="6" s="1"/>
  <c r="B605" i="6"/>
  <c r="G604" i="6"/>
  <c r="H604" i="6" s="1"/>
  <c r="F604" i="6"/>
  <c r="I604" i="6" s="1"/>
  <c r="D604" i="6"/>
  <c r="E604" i="6" s="1"/>
  <c r="B604" i="6"/>
  <c r="G603" i="6"/>
  <c r="H603" i="6" s="1"/>
  <c r="F603" i="6"/>
  <c r="I603" i="6" s="1"/>
  <c r="D603" i="6"/>
  <c r="E603" i="6" s="1"/>
  <c r="B603" i="6"/>
  <c r="G602" i="6"/>
  <c r="H602" i="6" s="1"/>
  <c r="F602" i="6"/>
  <c r="I602" i="6" s="1"/>
  <c r="B602" i="6"/>
  <c r="D602" i="6"/>
  <c r="E602" i="6" s="1"/>
  <c r="G601" i="6"/>
  <c r="H601" i="6" s="1"/>
  <c r="F601" i="6"/>
  <c r="I601" i="6" s="1"/>
  <c r="D601" i="6"/>
  <c r="E601" i="6" s="1"/>
  <c r="B601" i="6"/>
  <c r="B600" i="6"/>
  <c r="G600" i="6"/>
  <c r="H600" i="6" s="1"/>
  <c r="F600" i="6"/>
  <c r="I600" i="6" s="1"/>
  <c r="D600" i="6"/>
  <c r="E600" i="6" s="1"/>
  <c r="G599" i="6"/>
  <c r="H599" i="6" s="1"/>
  <c r="D599" i="6"/>
  <c r="E599" i="6" s="1"/>
  <c r="B599" i="6"/>
  <c r="F599" i="6"/>
  <c r="I599" i="6" s="1"/>
  <c r="D598" i="6"/>
  <c r="E598" i="6" s="1"/>
  <c r="G598" i="6"/>
  <c r="H598" i="6" s="1"/>
  <c r="F598" i="6"/>
  <c r="I598" i="6" s="1"/>
  <c r="B598" i="6"/>
  <c r="F597" i="6"/>
  <c r="I597" i="6" s="1"/>
  <c r="B597" i="6"/>
  <c r="G597" i="6"/>
  <c r="H597" i="6" s="1"/>
  <c r="D597" i="6"/>
  <c r="E597" i="6" s="1"/>
  <c r="G596" i="6"/>
  <c r="H596" i="6" s="1"/>
  <c r="F596" i="6"/>
  <c r="I596" i="6" s="1"/>
  <c r="D596" i="6"/>
  <c r="E596" i="6" s="1"/>
  <c r="B596" i="6"/>
  <c r="G595" i="6"/>
  <c r="H595" i="6" s="1"/>
  <c r="F595" i="6"/>
  <c r="I595" i="6" s="1"/>
  <c r="D595" i="6"/>
  <c r="E595" i="6" s="1"/>
  <c r="B595" i="6"/>
  <c r="D594" i="6"/>
  <c r="E594" i="6" s="1"/>
  <c r="G594" i="6"/>
  <c r="H594" i="6" s="1"/>
  <c r="B594" i="6"/>
  <c r="F594" i="6"/>
  <c r="I594" i="6" s="1"/>
  <c r="F593" i="6"/>
  <c r="I593" i="6" s="1"/>
  <c r="G593" i="6"/>
  <c r="H593" i="6" s="1"/>
  <c r="D593" i="6"/>
  <c r="E593" i="6" s="1"/>
  <c r="B593" i="6"/>
  <c r="G592" i="6"/>
  <c r="H592" i="6" s="1"/>
  <c r="F592" i="6"/>
  <c r="I592" i="6" s="1"/>
  <c r="B592" i="6"/>
  <c r="D592" i="6"/>
  <c r="E592" i="6" s="1"/>
  <c r="G591" i="6"/>
  <c r="H591" i="6" s="1"/>
  <c r="F591" i="6"/>
  <c r="I591" i="6" s="1"/>
  <c r="D591" i="6"/>
  <c r="E591" i="6" s="1"/>
  <c r="B591" i="6"/>
  <c r="F590" i="6"/>
  <c r="I590" i="6" s="1"/>
  <c r="B590" i="6"/>
  <c r="D590" i="6"/>
  <c r="E590" i="6" s="1"/>
  <c r="G590" i="6"/>
  <c r="H590" i="6" s="1"/>
  <c r="D589" i="6"/>
  <c r="E589" i="6" s="1"/>
  <c r="F589" i="6"/>
  <c r="I589" i="6" s="1"/>
  <c r="G589" i="6"/>
  <c r="H589" i="6" s="1"/>
  <c r="B589" i="6"/>
  <c r="B588" i="6"/>
  <c r="D588" i="6"/>
  <c r="E588" i="6" s="1"/>
  <c r="F588" i="6"/>
  <c r="I588" i="6" s="1"/>
  <c r="G588" i="6"/>
  <c r="H588" i="6" s="1"/>
  <c r="D587" i="6"/>
  <c r="E587" i="6" s="1"/>
  <c r="F587" i="6"/>
  <c r="I587" i="6" s="1"/>
  <c r="B587" i="6"/>
  <c r="G587" i="6"/>
  <c r="H587" i="6" s="1"/>
  <c r="G586" i="6"/>
  <c r="H586" i="6" s="1"/>
  <c r="F586" i="6"/>
  <c r="I586" i="6" s="1"/>
  <c r="D586" i="6"/>
  <c r="E586" i="6" s="1"/>
  <c r="B586" i="6"/>
  <c r="D585" i="6"/>
  <c r="E585" i="6" s="1"/>
  <c r="G585" i="6"/>
  <c r="H585" i="6" s="1"/>
  <c r="F585" i="6"/>
  <c r="I585" i="6" s="1"/>
  <c r="B585" i="6"/>
  <c r="G584" i="6"/>
  <c r="H584" i="6" s="1"/>
  <c r="F584" i="6"/>
  <c r="I584" i="6" s="1"/>
  <c r="D584" i="6"/>
  <c r="E584" i="6" s="1"/>
  <c r="B584" i="6"/>
  <c r="F583" i="6"/>
  <c r="I583" i="6" s="1"/>
  <c r="B583" i="6"/>
  <c r="D583" i="6"/>
  <c r="E583" i="6" s="1"/>
  <c r="G583" i="6"/>
  <c r="H583" i="6" s="1"/>
  <c r="D582" i="6"/>
  <c r="E582" i="6" s="1"/>
  <c r="B582" i="6"/>
  <c r="G582" i="6"/>
  <c r="H582" i="6" s="1"/>
  <c r="F582" i="6"/>
  <c r="I582" i="6" s="1"/>
  <c r="G581" i="6"/>
  <c r="H581" i="6" s="1"/>
  <c r="F581" i="6"/>
  <c r="I581" i="6" s="1"/>
  <c r="D581" i="6"/>
  <c r="E581" i="6" s="1"/>
  <c r="B581" i="6"/>
  <c r="G580" i="6"/>
  <c r="H580" i="6" s="1"/>
  <c r="F580" i="6"/>
  <c r="I580" i="6" s="1"/>
  <c r="D580" i="6"/>
  <c r="E580" i="6" s="1"/>
  <c r="B580" i="6"/>
  <c r="B579" i="6"/>
  <c r="F579" i="6"/>
  <c r="I579" i="6" s="1"/>
  <c r="D579" i="6"/>
  <c r="E579" i="6" s="1"/>
  <c r="G579" i="6"/>
  <c r="H579" i="6" s="1"/>
  <c r="G578" i="6"/>
  <c r="H578" i="6" s="1"/>
  <c r="F578" i="6"/>
  <c r="I578" i="6" s="1"/>
  <c r="D578" i="6"/>
  <c r="E578" i="6" s="1"/>
  <c r="B578" i="6"/>
  <c r="G577" i="6"/>
  <c r="H577" i="6" s="1"/>
  <c r="F577" i="6"/>
  <c r="I577" i="6" s="1"/>
  <c r="D577" i="6"/>
  <c r="E577" i="6" s="1"/>
  <c r="B577" i="6"/>
  <c r="G576" i="6"/>
  <c r="H576" i="6" s="1"/>
  <c r="F576" i="6"/>
  <c r="I576" i="6" s="1"/>
  <c r="B576" i="6"/>
  <c r="D576" i="6"/>
  <c r="E576" i="6" s="1"/>
  <c r="B575" i="6"/>
  <c r="G575" i="6"/>
  <c r="H575" i="6" s="1"/>
  <c r="F575" i="6"/>
  <c r="I575" i="6" s="1"/>
  <c r="D575" i="6"/>
  <c r="E575" i="6" s="1"/>
  <c r="B574" i="6"/>
  <c r="G574" i="6"/>
  <c r="H574" i="6" s="1"/>
  <c r="F574" i="6"/>
  <c r="I574" i="6" s="1"/>
  <c r="D574" i="6"/>
  <c r="E574" i="6" s="1"/>
  <c r="G573" i="6"/>
  <c r="H573" i="6" s="1"/>
  <c r="F573" i="6"/>
  <c r="I573" i="6" s="1"/>
  <c r="D573" i="6"/>
  <c r="E573" i="6" s="1"/>
  <c r="B573" i="6"/>
  <c r="F572" i="6"/>
  <c r="I572" i="6" s="1"/>
  <c r="D572" i="6"/>
  <c r="E572" i="6" s="1"/>
  <c r="B572" i="6"/>
  <c r="G572" i="6"/>
  <c r="H572" i="6" s="1"/>
  <c r="G571" i="6"/>
  <c r="H571" i="6" s="1"/>
  <c r="F571" i="6"/>
  <c r="I571" i="6" s="1"/>
  <c r="D571" i="6"/>
  <c r="E571" i="6" s="1"/>
  <c r="B571" i="6"/>
  <c r="F570" i="6"/>
  <c r="I570" i="6" s="1"/>
  <c r="D570" i="6"/>
  <c r="E570" i="6" s="1"/>
  <c r="B570" i="6"/>
  <c r="G570" i="6"/>
  <c r="H570" i="6" s="1"/>
  <c r="D569" i="6"/>
  <c r="E569" i="6" s="1"/>
  <c r="B569" i="6"/>
  <c r="G569" i="6"/>
  <c r="H569" i="6" s="1"/>
  <c r="F569" i="6"/>
  <c r="I569" i="6" s="1"/>
  <c r="B568" i="6"/>
  <c r="F568" i="6"/>
  <c r="I568" i="6" s="1"/>
  <c r="G568" i="6"/>
  <c r="H568" i="6" s="1"/>
  <c r="D568" i="6"/>
  <c r="E568" i="6" s="1"/>
  <c r="B567" i="6"/>
  <c r="D567" i="6"/>
  <c r="E567" i="6" s="1"/>
  <c r="F567" i="6"/>
  <c r="I567" i="6" s="1"/>
  <c r="G567" i="6"/>
  <c r="H567" i="6" s="1"/>
  <c r="F566" i="6"/>
  <c r="I566" i="6" s="1"/>
  <c r="D566" i="6"/>
  <c r="E566" i="6" s="1"/>
  <c r="G566" i="6"/>
  <c r="H566" i="6" s="1"/>
  <c r="B566" i="6"/>
  <c r="D565" i="6"/>
  <c r="E565" i="6" s="1"/>
  <c r="B565" i="6"/>
  <c r="G565" i="6"/>
  <c r="H565" i="6" s="1"/>
  <c r="F565" i="6"/>
  <c r="I565" i="6" s="1"/>
  <c r="B564" i="6"/>
  <c r="D564" i="6"/>
  <c r="E564" i="6" s="1"/>
  <c r="F564" i="6"/>
  <c r="I564" i="6" s="1"/>
  <c r="G564" i="6"/>
  <c r="H564" i="6" s="1"/>
  <c r="D563" i="6"/>
  <c r="E563" i="6" s="1"/>
  <c r="F563" i="6"/>
  <c r="I563" i="6" s="1"/>
  <c r="G563" i="6"/>
  <c r="H563" i="6" s="1"/>
  <c r="B563" i="6"/>
  <c r="G562" i="6"/>
  <c r="H562" i="6" s="1"/>
  <c r="F562" i="6"/>
  <c r="I562" i="6" s="1"/>
  <c r="D562" i="6"/>
  <c r="E562" i="6" s="1"/>
  <c r="B562" i="6"/>
  <c r="G561" i="6"/>
  <c r="H561" i="6" s="1"/>
  <c r="F561" i="6"/>
  <c r="I561" i="6" s="1"/>
  <c r="D561" i="6"/>
  <c r="E561" i="6" s="1"/>
  <c r="B561" i="6"/>
  <c r="F560" i="6"/>
  <c r="I560" i="6" s="1"/>
  <c r="D560" i="6"/>
  <c r="E560" i="6" s="1"/>
  <c r="G560" i="6"/>
  <c r="H560" i="6" s="1"/>
  <c r="B560" i="6"/>
  <c r="D559" i="6"/>
  <c r="E559" i="6" s="1"/>
  <c r="B559" i="6"/>
  <c r="F559" i="6"/>
  <c r="I559" i="6" s="1"/>
  <c r="G559" i="6"/>
  <c r="H559" i="6" s="1"/>
  <c r="D558" i="6"/>
  <c r="E558" i="6" s="1"/>
  <c r="G558" i="6"/>
  <c r="H558" i="6" s="1"/>
  <c r="F558" i="6"/>
  <c r="I558" i="6" s="1"/>
  <c r="B558" i="6"/>
  <c r="B557" i="6"/>
  <c r="D557" i="6"/>
  <c r="E557" i="6" s="1"/>
  <c r="F557" i="6"/>
  <c r="I557" i="6" s="1"/>
  <c r="G557" i="6"/>
  <c r="H557" i="6" s="1"/>
  <c r="F556" i="6"/>
  <c r="I556" i="6" s="1"/>
  <c r="G556" i="6"/>
  <c r="H556" i="6" s="1"/>
  <c r="D556" i="6"/>
  <c r="E556" i="6" s="1"/>
  <c r="B556" i="6"/>
  <c r="D555" i="6"/>
  <c r="E555" i="6" s="1"/>
  <c r="G555" i="6"/>
  <c r="H555" i="6" s="1"/>
  <c r="F555" i="6"/>
  <c r="I555" i="6" s="1"/>
  <c r="B555" i="6"/>
  <c r="B554" i="6"/>
  <c r="D554" i="6"/>
  <c r="E554" i="6" s="1"/>
  <c r="F554" i="6"/>
  <c r="I554" i="6" s="1"/>
  <c r="G554" i="6"/>
  <c r="H554" i="6" s="1"/>
  <c r="B553" i="6"/>
  <c r="G553" i="6"/>
  <c r="H553" i="6" s="1"/>
  <c r="D553" i="6"/>
  <c r="E553" i="6" s="1"/>
  <c r="F553" i="6"/>
  <c r="I553" i="6" s="1"/>
  <c r="B552" i="6"/>
  <c r="D552" i="6"/>
  <c r="E552" i="6" s="1"/>
  <c r="F552" i="6"/>
  <c r="I552" i="6" s="1"/>
  <c r="G552" i="6"/>
  <c r="H552" i="6" s="1"/>
  <c r="D551" i="6"/>
  <c r="E551" i="6" s="1"/>
  <c r="F551" i="6"/>
  <c r="I551" i="6" s="1"/>
  <c r="G551" i="6"/>
  <c r="H551" i="6" s="1"/>
  <c r="B551" i="6"/>
  <c r="B550" i="6"/>
  <c r="D550" i="6"/>
  <c r="E550" i="6" s="1"/>
  <c r="G550" i="6"/>
  <c r="H550" i="6" s="1"/>
  <c r="F550" i="6"/>
  <c r="I550" i="6" s="1"/>
  <c r="D549" i="6"/>
  <c r="E549" i="6" s="1"/>
  <c r="F549" i="6"/>
  <c r="I549" i="6" s="1"/>
  <c r="G549" i="6"/>
  <c r="H549" i="6" s="1"/>
  <c r="B549" i="6"/>
  <c r="D548" i="6"/>
  <c r="E548" i="6" s="1"/>
  <c r="F548" i="6"/>
  <c r="I548" i="6" s="1"/>
  <c r="G548" i="6"/>
  <c r="H548" i="6" s="1"/>
  <c r="B548" i="6"/>
  <c r="D547" i="6"/>
  <c r="E547" i="6" s="1"/>
  <c r="B547" i="6"/>
  <c r="G547" i="6"/>
  <c r="H547" i="6" s="1"/>
  <c r="F547" i="6"/>
  <c r="I547" i="6" s="1"/>
  <c r="F546" i="6"/>
  <c r="I546" i="6" s="1"/>
  <c r="G546" i="6"/>
  <c r="H546" i="6" s="1"/>
  <c r="B546" i="6"/>
  <c r="D546" i="6"/>
  <c r="E546" i="6" s="1"/>
  <c r="B545" i="6"/>
  <c r="G545" i="6"/>
  <c r="H545" i="6" s="1"/>
  <c r="F545" i="6"/>
  <c r="I545" i="6" s="1"/>
  <c r="D545" i="6"/>
  <c r="E545" i="6" s="1"/>
  <c r="G544" i="6"/>
  <c r="H544" i="6" s="1"/>
  <c r="F544" i="6"/>
  <c r="I544" i="6" s="1"/>
  <c r="D544" i="6"/>
  <c r="E544" i="6" s="1"/>
  <c r="B544" i="6"/>
  <c r="D543" i="6"/>
  <c r="E543" i="6" s="1"/>
  <c r="B543" i="6"/>
  <c r="G543" i="6"/>
  <c r="H543" i="6" s="1"/>
  <c r="F543" i="6"/>
  <c r="I543" i="6" s="1"/>
  <c r="G542" i="6"/>
  <c r="H542" i="6" s="1"/>
  <c r="F542" i="6"/>
  <c r="I542" i="6" s="1"/>
  <c r="D542" i="6"/>
  <c r="E542" i="6" s="1"/>
  <c r="B542" i="6"/>
  <c r="G541" i="6"/>
  <c r="H541" i="6" s="1"/>
  <c r="F541" i="6"/>
  <c r="I541" i="6" s="1"/>
  <c r="D541" i="6"/>
  <c r="E541" i="6" s="1"/>
  <c r="B541" i="6"/>
  <c r="F540" i="6"/>
  <c r="I540" i="6" s="1"/>
  <c r="D540" i="6"/>
  <c r="E540" i="6" s="1"/>
  <c r="B540" i="6"/>
  <c r="G540" i="6"/>
  <c r="H540" i="6" s="1"/>
  <c r="D539" i="6"/>
  <c r="E539" i="6" s="1"/>
  <c r="B539" i="6"/>
  <c r="G539" i="6"/>
  <c r="H539" i="6" s="1"/>
  <c r="F539" i="6"/>
  <c r="I539" i="6" s="1"/>
  <c r="B538" i="6"/>
  <c r="G538" i="6"/>
  <c r="H538" i="6" s="1"/>
  <c r="F538" i="6"/>
  <c r="I538" i="6" s="1"/>
  <c r="D538" i="6"/>
  <c r="E538" i="6" s="1"/>
  <c r="B537" i="6"/>
  <c r="G537" i="6"/>
  <c r="H537" i="6" s="1"/>
  <c r="F537" i="6"/>
  <c r="I537" i="6" s="1"/>
  <c r="D537" i="6"/>
  <c r="E537" i="6" s="1"/>
  <c r="G536" i="6"/>
  <c r="H536" i="6" s="1"/>
  <c r="F536" i="6"/>
  <c r="I536" i="6" s="1"/>
  <c r="D536" i="6"/>
  <c r="E536" i="6" s="1"/>
  <c r="B536" i="6"/>
  <c r="B535" i="6"/>
  <c r="D535" i="6"/>
  <c r="E535" i="6" s="1"/>
  <c r="G535" i="6"/>
  <c r="H535" i="6" s="1"/>
  <c r="F535" i="6"/>
  <c r="I535" i="6" s="1"/>
  <c r="G534" i="6"/>
  <c r="H534" i="6" s="1"/>
  <c r="F534" i="6"/>
  <c r="I534" i="6" s="1"/>
  <c r="D534" i="6"/>
  <c r="E534" i="6" s="1"/>
  <c r="B534" i="6"/>
  <c r="G533" i="6"/>
  <c r="H533" i="6" s="1"/>
  <c r="F533" i="6"/>
  <c r="I533" i="6" s="1"/>
  <c r="D533" i="6"/>
  <c r="E533" i="6" s="1"/>
  <c r="B533" i="6"/>
  <c r="F532" i="6"/>
  <c r="I532" i="6" s="1"/>
  <c r="G532" i="6"/>
  <c r="H532" i="6" s="1"/>
  <c r="D532" i="6"/>
  <c r="E532" i="6" s="1"/>
  <c r="B532" i="6"/>
  <c r="F531" i="6"/>
  <c r="I531" i="6" s="1"/>
  <c r="G531" i="6"/>
  <c r="H531" i="6" s="1"/>
  <c r="D531" i="6"/>
  <c r="E531" i="6" s="1"/>
  <c r="B531" i="6"/>
  <c r="B530" i="6"/>
  <c r="D530" i="6"/>
  <c r="E530" i="6" s="1"/>
  <c r="F530" i="6"/>
  <c r="I530" i="6" s="1"/>
  <c r="G530" i="6"/>
  <c r="H530" i="6" s="1"/>
  <c r="F529" i="6"/>
  <c r="I529" i="6" s="1"/>
  <c r="B529" i="6"/>
  <c r="G529" i="6"/>
  <c r="H529" i="6" s="1"/>
  <c r="D529" i="6"/>
  <c r="E529" i="6" s="1"/>
  <c r="D528" i="6"/>
  <c r="E528" i="6" s="1"/>
  <c r="G528" i="6"/>
  <c r="H528" i="6" s="1"/>
  <c r="F528" i="6"/>
  <c r="I528" i="6" s="1"/>
  <c r="B528" i="6"/>
  <c r="G527" i="6"/>
  <c r="H527" i="6" s="1"/>
  <c r="F527" i="6"/>
  <c r="I527" i="6" s="1"/>
  <c r="D527" i="6"/>
  <c r="E527" i="6" s="1"/>
  <c r="B527" i="6"/>
  <c r="F526" i="6"/>
  <c r="I526" i="6" s="1"/>
  <c r="B526" i="6"/>
  <c r="D526" i="6"/>
  <c r="E526" i="6" s="1"/>
  <c r="G526" i="6"/>
  <c r="H526" i="6" s="1"/>
  <c r="B525" i="6"/>
  <c r="D525" i="6"/>
  <c r="E525" i="6" s="1"/>
  <c r="F525" i="6"/>
  <c r="I525" i="6" s="1"/>
  <c r="G525" i="6"/>
  <c r="H525" i="6" s="1"/>
  <c r="B524" i="6"/>
  <c r="G524" i="6"/>
  <c r="H524" i="6" s="1"/>
  <c r="F524" i="6"/>
  <c r="I524" i="6" s="1"/>
  <c r="D524" i="6"/>
  <c r="E524" i="6" s="1"/>
  <c r="G523" i="6"/>
  <c r="H523" i="6" s="1"/>
  <c r="F523" i="6"/>
  <c r="I523" i="6" s="1"/>
  <c r="B523" i="6"/>
  <c r="D523" i="6"/>
  <c r="E523" i="6" s="1"/>
  <c r="D522" i="6"/>
  <c r="E522" i="6" s="1"/>
  <c r="F522" i="6"/>
  <c r="I522" i="6" s="1"/>
  <c r="B522" i="6"/>
  <c r="G522" i="6"/>
  <c r="H522" i="6" s="1"/>
  <c r="B521" i="6"/>
  <c r="D521" i="6"/>
  <c r="E521" i="6" s="1"/>
  <c r="F521" i="6"/>
  <c r="I521" i="6" s="1"/>
  <c r="G521" i="6"/>
  <c r="H521" i="6" s="1"/>
  <c r="B520" i="6"/>
  <c r="D520" i="6"/>
  <c r="E520" i="6" s="1"/>
  <c r="F520" i="6"/>
  <c r="I520" i="6" s="1"/>
  <c r="G520" i="6"/>
  <c r="H520" i="6" s="1"/>
  <c r="D519" i="6"/>
  <c r="E519" i="6" s="1"/>
  <c r="F519" i="6"/>
  <c r="I519" i="6" s="1"/>
  <c r="G519" i="6"/>
  <c r="H519" i="6" s="1"/>
  <c r="B519" i="6"/>
  <c r="G518" i="6"/>
  <c r="H518" i="6" s="1"/>
  <c r="B518" i="6"/>
  <c r="D518" i="6"/>
  <c r="E518" i="6" s="1"/>
  <c r="F518" i="6"/>
  <c r="I518" i="6" s="1"/>
  <c r="D517" i="6"/>
  <c r="E517" i="6" s="1"/>
  <c r="G517" i="6"/>
  <c r="H517" i="6" s="1"/>
  <c r="B517" i="6"/>
  <c r="F517" i="6"/>
  <c r="I517" i="6" s="1"/>
  <c r="C516" i="6"/>
  <c r="F516" i="6"/>
  <c r="I516" i="6" s="1"/>
  <c r="G516" i="6"/>
  <c r="H516" i="6" s="1"/>
  <c r="D516" i="6"/>
  <c r="E516" i="6" s="1"/>
  <c r="J516" i="6" s="1"/>
  <c r="D515" i="6"/>
  <c r="E515" i="6" s="1"/>
  <c r="B515" i="6"/>
  <c r="F515" i="6"/>
  <c r="I515" i="6" s="1"/>
  <c r="G515" i="6"/>
  <c r="H515" i="6" s="1"/>
  <c r="B514" i="6"/>
  <c r="F514" i="6"/>
  <c r="I514" i="6" s="1"/>
  <c r="D514" i="6"/>
  <c r="E514" i="6" s="1"/>
  <c r="G514" i="6"/>
  <c r="H514" i="6" s="1"/>
  <c r="G513" i="6"/>
  <c r="H513" i="6" s="1"/>
  <c r="F513" i="6"/>
  <c r="I513" i="6" s="1"/>
  <c r="D513" i="6"/>
  <c r="E513" i="6" s="1"/>
  <c r="B513" i="6"/>
  <c r="F512" i="6"/>
  <c r="I512" i="6" s="1"/>
  <c r="G512" i="6"/>
  <c r="H512" i="6" s="1"/>
  <c r="D512" i="6"/>
  <c r="E512" i="6" s="1"/>
  <c r="B512" i="6"/>
  <c r="G511" i="6"/>
  <c r="H511" i="6" s="1"/>
  <c r="F511" i="6"/>
  <c r="I511" i="6" s="1"/>
  <c r="D511" i="6"/>
  <c r="E511" i="6" s="1"/>
  <c r="B511" i="6"/>
  <c r="G510" i="6"/>
  <c r="H510" i="6" s="1"/>
  <c r="D510" i="6"/>
  <c r="E510" i="6" s="1"/>
  <c r="B510" i="6"/>
  <c r="F510" i="6"/>
  <c r="I510" i="6" s="1"/>
  <c r="G509" i="6"/>
  <c r="H509" i="6" s="1"/>
  <c r="F509" i="6"/>
  <c r="I509" i="6" s="1"/>
  <c r="D509" i="6"/>
  <c r="E509" i="6" s="1"/>
  <c r="B509" i="6"/>
  <c r="G508" i="6"/>
  <c r="H508" i="6" s="1"/>
  <c r="D508" i="6"/>
  <c r="E508" i="6" s="1"/>
  <c r="B508" i="6"/>
  <c r="F508" i="6"/>
  <c r="I508" i="6" s="1"/>
  <c r="D507" i="6"/>
  <c r="E507" i="6" s="1"/>
  <c r="B507" i="6"/>
  <c r="F507" i="6"/>
  <c r="I507" i="6" s="1"/>
  <c r="G507" i="6"/>
  <c r="H507" i="6" s="1"/>
  <c r="F506" i="6"/>
  <c r="I506" i="6" s="1"/>
  <c r="D506" i="6"/>
  <c r="E506" i="6" s="1"/>
  <c r="B506" i="6"/>
  <c r="G506" i="6"/>
  <c r="H506" i="6" s="1"/>
  <c r="F505" i="6"/>
  <c r="I505" i="6" s="1"/>
  <c r="D505" i="6"/>
  <c r="E505" i="6" s="1"/>
  <c r="B505" i="6"/>
  <c r="G505" i="6"/>
  <c r="H505" i="6" s="1"/>
  <c r="F504" i="6"/>
  <c r="I504" i="6" s="1"/>
  <c r="B504" i="6"/>
  <c r="D504" i="6"/>
  <c r="E504" i="6" s="1"/>
  <c r="G504" i="6"/>
  <c r="H504" i="6" s="1"/>
  <c r="G503" i="6"/>
  <c r="H503" i="6" s="1"/>
  <c r="D503" i="6"/>
  <c r="E503" i="6" s="1"/>
  <c r="F503" i="6"/>
  <c r="I503" i="6" s="1"/>
  <c r="B503" i="6"/>
  <c r="D502" i="6"/>
  <c r="E502" i="6" s="1"/>
  <c r="B502" i="6"/>
  <c r="G502" i="6"/>
  <c r="H502" i="6" s="1"/>
  <c r="F502" i="6"/>
  <c r="I502" i="6" s="1"/>
  <c r="D501" i="6"/>
  <c r="E501" i="6" s="1"/>
  <c r="B501" i="6"/>
  <c r="G501" i="6"/>
  <c r="H501" i="6" s="1"/>
  <c r="F501" i="6"/>
  <c r="I501" i="6" s="1"/>
  <c r="B500" i="6"/>
  <c r="D500" i="6"/>
  <c r="E500" i="6" s="1"/>
  <c r="G499" i="6"/>
  <c r="H499" i="6" s="1"/>
  <c r="F499" i="6"/>
  <c r="I499" i="6" s="1"/>
  <c r="D499" i="6"/>
  <c r="E499" i="6" s="1"/>
  <c r="B499" i="6"/>
  <c r="F498" i="6"/>
  <c r="I498" i="6" s="1"/>
  <c r="D498" i="6"/>
  <c r="E498" i="6" s="1"/>
  <c r="G498" i="6"/>
  <c r="H498" i="6" s="1"/>
  <c r="B498" i="6"/>
  <c r="B497" i="6"/>
  <c r="D497" i="6"/>
  <c r="E497" i="6" s="1"/>
  <c r="G497" i="6"/>
  <c r="H497" i="6" s="1"/>
  <c r="F497" i="6"/>
  <c r="I497" i="6" s="1"/>
  <c r="G496" i="6"/>
  <c r="H496" i="6" s="1"/>
  <c r="F496" i="6"/>
  <c r="I496" i="6" s="1"/>
  <c r="D496" i="6"/>
  <c r="E496" i="6" s="1"/>
  <c r="B496" i="6"/>
  <c r="G495" i="6"/>
  <c r="H495" i="6" s="1"/>
  <c r="F495" i="6"/>
  <c r="I495" i="6" s="1"/>
  <c r="D495" i="6"/>
  <c r="E495" i="6" s="1"/>
  <c r="B495" i="6"/>
  <c r="B494" i="6"/>
  <c r="G494" i="6"/>
  <c r="H494" i="6" s="1"/>
  <c r="F494" i="6"/>
  <c r="I494" i="6" s="1"/>
  <c r="D494" i="6"/>
  <c r="E494" i="6" s="1"/>
  <c r="B493" i="6"/>
  <c r="D493" i="6"/>
  <c r="E493" i="6" s="1"/>
  <c r="F493" i="6"/>
  <c r="I493" i="6" s="1"/>
  <c r="G493" i="6"/>
  <c r="H493" i="6" s="1"/>
  <c r="B492" i="6"/>
  <c r="D492" i="6"/>
  <c r="E492" i="6" s="1"/>
  <c r="F492" i="6"/>
  <c r="I492" i="6" s="1"/>
  <c r="G492" i="6"/>
  <c r="H492" i="6" s="1"/>
  <c r="B491" i="6"/>
  <c r="D491" i="6"/>
  <c r="E491" i="6" s="1"/>
  <c r="F491" i="6"/>
  <c r="I491" i="6" s="1"/>
  <c r="G491" i="6"/>
  <c r="H491" i="6" s="1"/>
  <c r="F490" i="6"/>
  <c r="I490" i="6" s="1"/>
  <c r="G490" i="6"/>
  <c r="H490" i="6" s="1"/>
  <c r="D490" i="6"/>
  <c r="E490" i="6" s="1"/>
  <c r="B490" i="6"/>
  <c r="G489" i="6"/>
  <c r="H489" i="6" s="1"/>
  <c r="F489" i="6"/>
  <c r="I489" i="6" s="1"/>
  <c r="D489" i="6"/>
  <c r="E489" i="6" s="1"/>
  <c r="B489" i="6"/>
  <c r="F488" i="6"/>
  <c r="I488" i="6" s="1"/>
  <c r="G488" i="6"/>
  <c r="H488" i="6" s="1"/>
  <c r="D488" i="6"/>
  <c r="E488" i="6" s="1"/>
  <c r="B488" i="6"/>
  <c r="G487" i="6"/>
  <c r="H487" i="6" s="1"/>
  <c r="F487" i="6"/>
  <c r="I487" i="6" s="1"/>
  <c r="D487" i="6"/>
  <c r="E487" i="6" s="1"/>
  <c r="B487" i="6"/>
  <c r="G486" i="6"/>
  <c r="H486" i="6" s="1"/>
  <c r="F486" i="6"/>
  <c r="I486" i="6" s="1"/>
  <c r="D486" i="6"/>
  <c r="E486" i="6" s="1"/>
  <c r="B486" i="6"/>
  <c r="G485" i="6"/>
  <c r="H485" i="6" s="1"/>
  <c r="F485" i="6"/>
  <c r="I485" i="6" s="1"/>
  <c r="D485" i="6"/>
  <c r="E485" i="6" s="1"/>
  <c r="B485" i="6"/>
  <c r="F484" i="6"/>
  <c r="I484" i="6" s="1"/>
  <c r="D484" i="6"/>
  <c r="E484" i="6" s="1"/>
  <c r="B484" i="6"/>
  <c r="G484" i="6"/>
  <c r="H484" i="6" s="1"/>
  <c r="F483" i="6"/>
  <c r="I483" i="6" s="1"/>
  <c r="B483" i="6"/>
  <c r="D483" i="6"/>
  <c r="E483" i="6" s="1"/>
  <c r="G483" i="6"/>
  <c r="H483" i="6" s="1"/>
  <c r="G482" i="6"/>
  <c r="H482" i="6" s="1"/>
  <c r="F482" i="6"/>
  <c r="I482" i="6" s="1"/>
  <c r="D482" i="6"/>
  <c r="E482" i="6" s="1"/>
  <c r="B482" i="6"/>
  <c r="D481" i="6"/>
  <c r="E481" i="6" s="1"/>
  <c r="G481" i="6"/>
  <c r="H481" i="6" s="1"/>
  <c r="F481" i="6"/>
  <c r="I481" i="6" s="1"/>
  <c r="B481" i="6"/>
  <c r="B480" i="6"/>
  <c r="G480" i="6"/>
  <c r="H480" i="6" s="1"/>
  <c r="F480" i="6"/>
  <c r="I480" i="6" s="1"/>
  <c r="D480" i="6"/>
  <c r="E480" i="6" s="1"/>
  <c r="F479" i="6"/>
  <c r="I479" i="6" s="1"/>
  <c r="D479" i="6"/>
  <c r="E479" i="6" s="1"/>
  <c r="B479" i="6"/>
  <c r="G479" i="6"/>
  <c r="H479" i="6" s="1"/>
  <c r="D478" i="6"/>
  <c r="E478" i="6" s="1"/>
  <c r="G478" i="6"/>
  <c r="H478" i="6" s="1"/>
  <c r="F478" i="6"/>
  <c r="I478" i="6" s="1"/>
  <c r="B478" i="6"/>
  <c r="B477" i="6"/>
  <c r="F477" i="6"/>
  <c r="I477" i="6" s="1"/>
  <c r="G477" i="6"/>
  <c r="H477" i="6" s="1"/>
  <c r="D477" i="6"/>
  <c r="E477" i="6" s="1"/>
  <c r="B476" i="6"/>
  <c r="D476" i="6"/>
  <c r="E476" i="6" s="1"/>
  <c r="F476" i="6"/>
  <c r="I476" i="6" s="1"/>
  <c r="G476" i="6"/>
  <c r="H476" i="6" s="1"/>
  <c r="G475" i="6"/>
  <c r="H475" i="6" s="1"/>
  <c r="D475" i="6"/>
  <c r="E475" i="6" s="1"/>
  <c r="B475" i="6"/>
  <c r="F475" i="6"/>
  <c r="I475" i="6" s="1"/>
  <c r="G474" i="6"/>
  <c r="H474" i="6" s="1"/>
  <c r="F474" i="6"/>
  <c r="I474" i="6" s="1"/>
  <c r="D474" i="6"/>
  <c r="E474" i="6" s="1"/>
  <c r="B474" i="6"/>
  <c r="G473" i="6"/>
  <c r="H473" i="6" s="1"/>
  <c r="F473" i="6"/>
  <c r="I473" i="6" s="1"/>
  <c r="D473" i="6"/>
  <c r="E473" i="6" s="1"/>
  <c r="B473" i="6"/>
  <c r="G472" i="6"/>
  <c r="H472" i="6" s="1"/>
  <c r="F472" i="6"/>
  <c r="I472" i="6" s="1"/>
  <c r="D472" i="6"/>
  <c r="E472" i="6" s="1"/>
  <c r="B472" i="6"/>
  <c r="G471" i="6"/>
  <c r="H471" i="6" s="1"/>
  <c r="F471" i="6"/>
  <c r="I471" i="6" s="1"/>
  <c r="D471" i="6"/>
  <c r="E471" i="6" s="1"/>
  <c r="B471" i="6"/>
  <c r="G470" i="6"/>
  <c r="H470" i="6" s="1"/>
  <c r="F470" i="6"/>
  <c r="I470" i="6" s="1"/>
  <c r="D470" i="6"/>
  <c r="E470" i="6" s="1"/>
  <c r="B470" i="6"/>
  <c r="B469" i="6"/>
  <c r="D469" i="6"/>
  <c r="E469" i="6" s="1"/>
  <c r="F469" i="6"/>
  <c r="I469" i="6" s="1"/>
  <c r="G469" i="6"/>
  <c r="H469" i="6" s="1"/>
  <c r="D468" i="6"/>
  <c r="E468" i="6" s="1"/>
  <c r="F468" i="6"/>
  <c r="I468" i="6" s="1"/>
  <c r="G468" i="6"/>
  <c r="H468" i="6" s="1"/>
  <c r="B468" i="6"/>
  <c r="B467" i="6"/>
  <c r="D467" i="6"/>
  <c r="E467" i="6" s="1"/>
  <c r="F467" i="6"/>
  <c r="I467" i="6" s="1"/>
  <c r="G467" i="6"/>
  <c r="H467" i="6" s="1"/>
  <c r="F466" i="6"/>
  <c r="I466" i="6" s="1"/>
  <c r="G466" i="6"/>
  <c r="H466" i="6" s="1"/>
  <c r="B466" i="6"/>
  <c r="D466" i="6"/>
  <c r="E466" i="6" s="1"/>
  <c r="B465" i="6"/>
  <c r="D465" i="6"/>
  <c r="E465" i="6" s="1"/>
  <c r="F465" i="6"/>
  <c r="I465" i="6" s="1"/>
  <c r="G465" i="6"/>
  <c r="H465" i="6" s="1"/>
  <c r="D464" i="6"/>
  <c r="E464" i="6" s="1"/>
  <c r="B464" i="6"/>
  <c r="G464" i="6"/>
  <c r="H464" i="6" s="1"/>
  <c r="F464" i="6"/>
  <c r="I464" i="6" s="1"/>
  <c r="G463" i="6"/>
  <c r="H463" i="6" s="1"/>
  <c r="B463" i="6"/>
  <c r="F463" i="6"/>
  <c r="I463" i="6" s="1"/>
  <c r="D463" i="6"/>
  <c r="E463" i="6" s="1"/>
  <c r="F462" i="6"/>
  <c r="I462" i="6" s="1"/>
  <c r="D462" i="6"/>
  <c r="E462" i="6" s="1"/>
  <c r="B462" i="6"/>
  <c r="G462" i="6"/>
  <c r="H462" i="6" s="1"/>
  <c r="D461" i="6"/>
  <c r="E461" i="6" s="1"/>
  <c r="G461" i="6"/>
  <c r="H461" i="6" s="1"/>
  <c r="B461" i="6"/>
  <c r="F461" i="6"/>
  <c r="I461" i="6" s="1"/>
  <c r="G460" i="6"/>
  <c r="H460" i="6" s="1"/>
  <c r="D460" i="6"/>
  <c r="E460" i="6" s="1"/>
  <c r="B460" i="6"/>
  <c r="F460" i="6"/>
  <c r="I460" i="6" s="1"/>
  <c r="G459" i="6"/>
  <c r="H459" i="6" s="1"/>
  <c r="F459" i="6"/>
  <c r="I459" i="6" s="1"/>
  <c r="B459" i="6"/>
  <c r="D459" i="6"/>
  <c r="E459" i="6" s="1"/>
  <c r="D458" i="6"/>
  <c r="E458" i="6" s="1"/>
  <c r="B458" i="6"/>
  <c r="G458" i="6"/>
  <c r="H458" i="6" s="1"/>
  <c r="F458" i="6"/>
  <c r="I458" i="6" s="1"/>
  <c r="G457" i="6"/>
  <c r="H457" i="6" s="1"/>
  <c r="F457" i="6"/>
  <c r="I457" i="6" s="1"/>
  <c r="D457" i="6"/>
  <c r="E457" i="6" s="1"/>
  <c r="B457" i="6"/>
  <c r="G456" i="6"/>
  <c r="H456" i="6" s="1"/>
  <c r="F456" i="6"/>
  <c r="I456" i="6" s="1"/>
  <c r="D456" i="6"/>
  <c r="E456" i="6" s="1"/>
  <c r="B456" i="6"/>
  <c r="F455" i="6"/>
  <c r="I455" i="6" s="1"/>
  <c r="B455" i="6"/>
  <c r="D455" i="6"/>
  <c r="E455" i="6" s="1"/>
  <c r="G455" i="6"/>
  <c r="H455" i="6" s="1"/>
  <c r="G454" i="6"/>
  <c r="H454" i="6" s="1"/>
  <c r="D454" i="6"/>
  <c r="E454" i="6" s="1"/>
  <c r="F454" i="6"/>
  <c r="I454" i="6" s="1"/>
  <c r="B454" i="6"/>
  <c r="F453" i="6"/>
  <c r="I453" i="6" s="1"/>
  <c r="D453" i="6"/>
  <c r="E453" i="6" s="1"/>
  <c r="B453" i="6"/>
  <c r="G453" i="6"/>
  <c r="H453" i="6" s="1"/>
  <c r="G452" i="6"/>
  <c r="H452" i="6" s="1"/>
  <c r="B452" i="6"/>
  <c r="D452" i="6"/>
  <c r="E452" i="6" s="1"/>
  <c r="F452" i="6"/>
  <c r="I452" i="6" s="1"/>
  <c r="B451" i="6"/>
  <c r="D451" i="6"/>
  <c r="E451" i="6" s="1"/>
  <c r="F451" i="6"/>
  <c r="I451" i="6" s="1"/>
  <c r="G451" i="6"/>
  <c r="H451" i="6" s="1"/>
  <c r="B450" i="6"/>
  <c r="F450" i="6"/>
  <c r="I450" i="6" s="1"/>
  <c r="G450" i="6"/>
  <c r="H450" i="6" s="1"/>
  <c r="D450" i="6"/>
  <c r="E450" i="6" s="1"/>
  <c r="B449" i="6"/>
  <c r="D449" i="6"/>
  <c r="E449" i="6" s="1"/>
  <c r="F449" i="6"/>
  <c r="I449" i="6" s="1"/>
  <c r="G449" i="6"/>
  <c r="H449" i="6" s="1"/>
  <c r="G448" i="6"/>
  <c r="H448" i="6" s="1"/>
  <c r="D448" i="6"/>
  <c r="E448" i="6" s="1"/>
  <c r="B448" i="6"/>
  <c r="F448" i="6"/>
  <c r="I448" i="6" s="1"/>
  <c r="D447" i="6"/>
  <c r="E447" i="6" s="1"/>
  <c r="G447" i="6"/>
  <c r="H447" i="6" s="1"/>
  <c r="F447" i="6"/>
  <c r="I447" i="6" s="1"/>
  <c r="B447" i="6"/>
  <c r="G446" i="6"/>
  <c r="H446" i="6" s="1"/>
  <c r="B446" i="6"/>
  <c r="D446" i="6"/>
  <c r="E446" i="6" s="1"/>
  <c r="F446" i="6"/>
  <c r="I446" i="6" s="1"/>
  <c r="F445" i="6"/>
  <c r="I445" i="6" s="1"/>
  <c r="G445" i="6"/>
  <c r="H445" i="6" s="1"/>
  <c r="D445" i="6"/>
  <c r="E445" i="6" s="1"/>
  <c r="B445" i="6"/>
  <c r="B444" i="6"/>
  <c r="D444" i="6"/>
  <c r="E444" i="6" s="1"/>
  <c r="F444" i="6"/>
  <c r="I444" i="6" s="1"/>
  <c r="G444" i="6"/>
  <c r="H444" i="6" s="1"/>
  <c r="B443" i="6"/>
  <c r="D443" i="6"/>
  <c r="E443" i="6" s="1"/>
  <c r="F443" i="6"/>
  <c r="I443" i="6" s="1"/>
  <c r="G443" i="6"/>
  <c r="H443" i="6" s="1"/>
  <c r="B442" i="6"/>
  <c r="D442" i="6"/>
  <c r="E442" i="6" s="1"/>
  <c r="F442" i="6"/>
  <c r="I442" i="6" s="1"/>
  <c r="G442" i="6"/>
  <c r="H442" i="6" s="1"/>
  <c r="B441" i="6"/>
  <c r="D441" i="6"/>
  <c r="E441" i="6" s="1"/>
  <c r="F441" i="6"/>
  <c r="I441" i="6" s="1"/>
  <c r="G441" i="6"/>
  <c r="H441" i="6" s="1"/>
  <c r="B440" i="6"/>
  <c r="D440" i="6"/>
  <c r="E440" i="6" s="1"/>
  <c r="F440" i="6"/>
  <c r="I440" i="6" s="1"/>
  <c r="G440" i="6"/>
  <c r="H440" i="6" s="1"/>
  <c r="F439" i="6"/>
  <c r="I439" i="6" s="1"/>
  <c r="G439" i="6"/>
  <c r="H439" i="6" s="1"/>
  <c r="B439" i="6"/>
  <c r="D439" i="6"/>
  <c r="E439" i="6" s="1"/>
  <c r="G438" i="6"/>
  <c r="H438" i="6" s="1"/>
  <c r="F438" i="6"/>
  <c r="I438" i="6" s="1"/>
  <c r="D438" i="6"/>
  <c r="E438" i="6" s="1"/>
  <c r="B438" i="6"/>
  <c r="G437" i="6"/>
  <c r="H437" i="6" s="1"/>
  <c r="F437" i="6"/>
  <c r="I437" i="6" s="1"/>
  <c r="D437" i="6"/>
  <c r="E437" i="6" s="1"/>
  <c r="B437" i="6"/>
  <c r="G436" i="6"/>
  <c r="H436" i="6" s="1"/>
  <c r="F436" i="6"/>
  <c r="I436" i="6" s="1"/>
  <c r="D436" i="6"/>
  <c r="E436" i="6" s="1"/>
  <c r="B436" i="6"/>
  <c r="G435" i="6"/>
  <c r="H435" i="6" s="1"/>
  <c r="F435" i="6"/>
  <c r="I435" i="6" s="1"/>
  <c r="D435" i="6"/>
  <c r="E435" i="6" s="1"/>
  <c r="B435" i="6"/>
  <c r="G434" i="6"/>
  <c r="H434" i="6" s="1"/>
  <c r="F434" i="6"/>
  <c r="I434" i="6" s="1"/>
  <c r="D434" i="6"/>
  <c r="E434" i="6" s="1"/>
  <c r="B434" i="6"/>
  <c r="G433" i="6"/>
  <c r="H433" i="6" s="1"/>
  <c r="F433" i="6"/>
  <c r="I433" i="6" s="1"/>
  <c r="D433" i="6"/>
  <c r="E433" i="6" s="1"/>
  <c r="B433" i="6"/>
  <c r="G432" i="6"/>
  <c r="H432" i="6" s="1"/>
  <c r="F432" i="6"/>
  <c r="I432" i="6" s="1"/>
  <c r="D432" i="6"/>
  <c r="E432" i="6" s="1"/>
  <c r="B432" i="6"/>
  <c r="G431" i="6"/>
  <c r="H431" i="6" s="1"/>
  <c r="F431" i="6"/>
  <c r="I431" i="6" s="1"/>
  <c r="D431" i="6"/>
  <c r="E431" i="6" s="1"/>
  <c r="B431" i="6"/>
  <c r="G430" i="6"/>
  <c r="H430" i="6" s="1"/>
  <c r="F430" i="6"/>
  <c r="I430" i="6" s="1"/>
  <c r="D430" i="6"/>
  <c r="E430" i="6" s="1"/>
  <c r="B430" i="6"/>
  <c r="G429" i="6"/>
  <c r="H429" i="6" s="1"/>
  <c r="F429" i="6"/>
  <c r="I429" i="6" s="1"/>
  <c r="D429" i="6"/>
  <c r="E429" i="6" s="1"/>
  <c r="B429" i="6"/>
  <c r="G428" i="6"/>
  <c r="H428" i="6" s="1"/>
  <c r="F428" i="6"/>
  <c r="I428" i="6" s="1"/>
  <c r="D428" i="6"/>
  <c r="E428" i="6" s="1"/>
  <c r="B428" i="6"/>
  <c r="G427" i="6"/>
  <c r="H427" i="6" s="1"/>
  <c r="F427" i="6"/>
  <c r="I427" i="6" s="1"/>
  <c r="D427" i="6"/>
  <c r="E427" i="6" s="1"/>
  <c r="B427" i="6"/>
  <c r="G426" i="6"/>
  <c r="H426" i="6" s="1"/>
  <c r="F426" i="6"/>
  <c r="I426" i="6" s="1"/>
  <c r="D426" i="6"/>
  <c r="E426" i="6" s="1"/>
  <c r="B426" i="6"/>
  <c r="G425" i="6"/>
  <c r="H425" i="6" s="1"/>
  <c r="F425" i="6"/>
  <c r="I425" i="6" s="1"/>
  <c r="D425" i="6"/>
  <c r="E425" i="6" s="1"/>
  <c r="B425" i="6"/>
  <c r="G424" i="6"/>
  <c r="H424" i="6" s="1"/>
  <c r="F424" i="6"/>
  <c r="I424" i="6" s="1"/>
  <c r="D424" i="6"/>
  <c r="E424" i="6" s="1"/>
  <c r="B424" i="6"/>
  <c r="G423" i="6"/>
  <c r="H423" i="6" s="1"/>
  <c r="F423" i="6"/>
  <c r="I423" i="6" s="1"/>
  <c r="D423" i="6"/>
  <c r="E423" i="6" s="1"/>
  <c r="B423" i="6"/>
  <c r="G422" i="6"/>
  <c r="H422" i="6" s="1"/>
  <c r="F422" i="6"/>
  <c r="I422" i="6" s="1"/>
  <c r="D422" i="6"/>
  <c r="E422" i="6" s="1"/>
  <c r="B422" i="6"/>
  <c r="G421" i="6"/>
  <c r="H421" i="6" s="1"/>
  <c r="F421" i="6"/>
  <c r="I421" i="6" s="1"/>
  <c r="D421" i="6"/>
  <c r="E421" i="6" s="1"/>
  <c r="B421" i="6"/>
  <c r="G420" i="6"/>
  <c r="H420" i="6" s="1"/>
  <c r="F420" i="6"/>
  <c r="I420" i="6" s="1"/>
  <c r="D420" i="6"/>
  <c r="E420" i="6" s="1"/>
  <c r="B420" i="6"/>
  <c r="G419" i="6"/>
  <c r="H419" i="6" s="1"/>
  <c r="F419" i="6"/>
  <c r="I419" i="6" s="1"/>
  <c r="D419" i="6"/>
  <c r="E419" i="6" s="1"/>
  <c r="B419" i="6"/>
  <c r="G418" i="6"/>
  <c r="H418" i="6" s="1"/>
  <c r="F418" i="6"/>
  <c r="I418" i="6" s="1"/>
  <c r="D418" i="6"/>
  <c r="E418" i="6" s="1"/>
  <c r="B418" i="6"/>
  <c r="G417" i="6"/>
  <c r="H417" i="6" s="1"/>
  <c r="F417" i="6"/>
  <c r="I417" i="6" s="1"/>
  <c r="D417" i="6"/>
  <c r="E417" i="6" s="1"/>
  <c r="B417" i="6"/>
  <c r="G416" i="6"/>
  <c r="H416" i="6" s="1"/>
  <c r="D416" i="6"/>
  <c r="E416" i="6" s="1"/>
  <c r="B416" i="6"/>
  <c r="F416" i="6"/>
  <c r="I416" i="6" s="1"/>
  <c r="F415" i="6"/>
  <c r="I415" i="6" s="1"/>
  <c r="D415" i="6"/>
  <c r="E415" i="6" s="1"/>
  <c r="B415" i="6"/>
  <c r="G415" i="6"/>
  <c r="H415" i="6" s="1"/>
  <c r="B414" i="6"/>
  <c r="G414" i="6"/>
  <c r="H414" i="6" s="1"/>
  <c r="F414" i="6"/>
  <c r="I414" i="6" s="1"/>
  <c r="D414" i="6"/>
  <c r="E414" i="6" s="1"/>
  <c r="D413" i="6"/>
  <c r="E413" i="6" s="1"/>
  <c r="B413" i="6"/>
  <c r="G413" i="6"/>
  <c r="H413" i="6" s="1"/>
  <c r="F413" i="6"/>
  <c r="I413" i="6" s="1"/>
  <c r="G412" i="6"/>
  <c r="H412" i="6" s="1"/>
  <c r="F412" i="6"/>
  <c r="I412" i="6" s="1"/>
  <c r="D412" i="6"/>
  <c r="E412" i="6" s="1"/>
  <c r="B412" i="6"/>
  <c r="D411" i="6"/>
  <c r="E411" i="6" s="1"/>
  <c r="B411" i="6"/>
  <c r="G411" i="6"/>
  <c r="H411" i="6" s="1"/>
  <c r="F411" i="6"/>
  <c r="I411" i="6" s="1"/>
  <c r="B410" i="6"/>
  <c r="G410" i="6"/>
  <c r="H410" i="6" s="1"/>
  <c r="D410" i="6"/>
  <c r="E410" i="6" s="1"/>
  <c r="F410" i="6"/>
  <c r="I410" i="6" s="1"/>
  <c r="B409" i="6"/>
  <c r="D409" i="6"/>
  <c r="E409" i="6" s="1"/>
  <c r="F409" i="6"/>
  <c r="I409" i="6" s="1"/>
  <c r="G409" i="6"/>
  <c r="H409" i="6" s="1"/>
  <c r="G408" i="6"/>
  <c r="H408" i="6" s="1"/>
  <c r="B408" i="6"/>
  <c r="F408" i="6"/>
  <c r="I408" i="6" s="1"/>
  <c r="D408" i="6"/>
  <c r="E408" i="6" s="1"/>
  <c r="G407" i="6"/>
  <c r="H407" i="6" s="1"/>
  <c r="F407" i="6"/>
  <c r="I407" i="6" s="1"/>
  <c r="D407" i="6"/>
  <c r="E407" i="6" s="1"/>
  <c r="B407" i="6"/>
  <c r="G406" i="6"/>
  <c r="H406" i="6" s="1"/>
  <c r="F406" i="6"/>
  <c r="I406" i="6" s="1"/>
  <c r="D406" i="6"/>
  <c r="E406" i="6" s="1"/>
  <c r="B406" i="6"/>
  <c r="G405" i="6"/>
  <c r="H405" i="6" s="1"/>
  <c r="F405" i="6"/>
  <c r="I405" i="6" s="1"/>
  <c r="D405" i="6"/>
  <c r="E405" i="6" s="1"/>
  <c r="B405" i="6"/>
  <c r="G404" i="6"/>
  <c r="H404" i="6" s="1"/>
  <c r="F404" i="6"/>
  <c r="I404" i="6" s="1"/>
  <c r="D404" i="6"/>
  <c r="E404" i="6" s="1"/>
  <c r="B404" i="6"/>
  <c r="F403" i="6"/>
  <c r="I403" i="6" s="1"/>
  <c r="G403" i="6"/>
  <c r="H403" i="6" s="1"/>
  <c r="D403" i="6"/>
  <c r="E403" i="6" s="1"/>
  <c r="B403" i="6"/>
  <c r="G402" i="6"/>
  <c r="H402" i="6" s="1"/>
  <c r="F402" i="6"/>
  <c r="I402" i="6" s="1"/>
  <c r="D402" i="6"/>
  <c r="E402" i="6" s="1"/>
  <c r="B402" i="6"/>
  <c r="B401" i="6"/>
  <c r="G401" i="6"/>
  <c r="H401" i="6" s="1"/>
  <c r="F401" i="6"/>
  <c r="I401" i="6" s="1"/>
  <c r="D401" i="6"/>
  <c r="E401" i="6" s="1"/>
  <c r="B400" i="6"/>
  <c r="D400" i="6"/>
  <c r="E400" i="6" s="1"/>
  <c r="F400" i="6"/>
  <c r="I400" i="6" s="1"/>
  <c r="G400" i="6"/>
  <c r="H400" i="6" s="1"/>
  <c r="B399" i="6"/>
  <c r="D399" i="6"/>
  <c r="E399" i="6" s="1"/>
  <c r="F399" i="6"/>
  <c r="I399" i="6" s="1"/>
  <c r="G399" i="6"/>
  <c r="H399" i="6" s="1"/>
  <c r="F398" i="6"/>
  <c r="I398" i="6" s="1"/>
  <c r="G398" i="6"/>
  <c r="H398" i="6" s="1"/>
  <c r="B398" i="6"/>
  <c r="D398" i="6"/>
  <c r="E398" i="6" s="1"/>
  <c r="D397" i="6"/>
  <c r="E397" i="6" s="1"/>
  <c r="B397" i="6"/>
  <c r="F397" i="6"/>
  <c r="I397" i="6" s="1"/>
  <c r="G397" i="6"/>
  <c r="H397" i="6" s="1"/>
  <c r="B396" i="6"/>
  <c r="D396" i="6"/>
  <c r="E396" i="6" s="1"/>
  <c r="F396" i="6"/>
  <c r="I396" i="6" s="1"/>
  <c r="G396" i="6"/>
  <c r="H396" i="6" s="1"/>
  <c r="G395" i="6"/>
  <c r="H395" i="6" s="1"/>
  <c r="F395" i="6"/>
  <c r="I395" i="6" s="1"/>
  <c r="D395" i="6"/>
  <c r="E395" i="6" s="1"/>
  <c r="B395" i="6"/>
  <c r="G394" i="6"/>
  <c r="H394" i="6" s="1"/>
  <c r="F394" i="6"/>
  <c r="I394" i="6" s="1"/>
  <c r="D394" i="6"/>
  <c r="E394" i="6" s="1"/>
  <c r="B394" i="6"/>
  <c r="F393" i="6"/>
  <c r="I393" i="6" s="1"/>
  <c r="D393" i="6"/>
  <c r="E393" i="6" s="1"/>
  <c r="B393" i="6"/>
  <c r="G393" i="6"/>
  <c r="H393" i="6" s="1"/>
  <c r="G392" i="6"/>
  <c r="H392" i="6" s="1"/>
  <c r="F392" i="6"/>
  <c r="I392" i="6" s="1"/>
  <c r="D392" i="6"/>
  <c r="E392" i="6" s="1"/>
  <c r="B392" i="6"/>
  <c r="G391" i="6"/>
  <c r="H391" i="6" s="1"/>
  <c r="F391" i="6"/>
  <c r="I391" i="6" s="1"/>
  <c r="D391" i="6"/>
  <c r="E391" i="6" s="1"/>
  <c r="B391" i="6"/>
  <c r="B390" i="6"/>
  <c r="F390" i="6"/>
  <c r="I390" i="6" s="1"/>
  <c r="D390" i="6"/>
  <c r="E390" i="6" s="1"/>
  <c r="G390" i="6"/>
  <c r="H390" i="6" s="1"/>
  <c r="G389" i="6"/>
  <c r="H389" i="6" s="1"/>
  <c r="F389" i="6"/>
  <c r="I389" i="6" s="1"/>
  <c r="D389" i="6"/>
  <c r="E389" i="6" s="1"/>
  <c r="B389" i="6"/>
  <c r="G388" i="6"/>
  <c r="H388" i="6" s="1"/>
  <c r="F388" i="6"/>
  <c r="I388" i="6" s="1"/>
  <c r="D388" i="6"/>
  <c r="E388" i="6" s="1"/>
  <c r="B388" i="6"/>
  <c r="G387" i="6"/>
  <c r="H387" i="6" s="1"/>
  <c r="F387" i="6"/>
  <c r="I387" i="6" s="1"/>
  <c r="D387" i="6"/>
  <c r="E387" i="6" s="1"/>
  <c r="B387" i="6"/>
  <c r="F386" i="6"/>
  <c r="I386" i="6" s="1"/>
  <c r="D386" i="6"/>
  <c r="E386" i="6" s="1"/>
  <c r="B386" i="6"/>
  <c r="G386" i="6"/>
  <c r="H386" i="6" s="1"/>
  <c r="D385" i="6"/>
  <c r="E385" i="6" s="1"/>
  <c r="B385" i="6"/>
  <c r="F385" i="6"/>
  <c r="I385" i="6" s="1"/>
  <c r="G385" i="6"/>
  <c r="H385" i="6" s="1"/>
  <c r="D384" i="6"/>
  <c r="E384" i="6" s="1"/>
  <c r="F384" i="6"/>
  <c r="I384" i="6" s="1"/>
  <c r="G384" i="6"/>
  <c r="H384" i="6" s="1"/>
  <c r="B384" i="6"/>
  <c r="B383" i="6"/>
  <c r="D383" i="6"/>
  <c r="E383" i="6" s="1"/>
  <c r="F383" i="6"/>
  <c r="I383" i="6" s="1"/>
  <c r="G383" i="6"/>
  <c r="H383" i="6" s="1"/>
  <c r="F382" i="6"/>
  <c r="I382" i="6" s="1"/>
  <c r="D382" i="6"/>
  <c r="E382" i="6" s="1"/>
  <c r="G382" i="6"/>
  <c r="H382" i="6" s="1"/>
  <c r="B382" i="6"/>
  <c r="D381" i="6"/>
  <c r="E381" i="6" s="1"/>
  <c r="F381" i="6"/>
  <c r="I381" i="6" s="1"/>
  <c r="B381" i="6"/>
  <c r="G381" i="6"/>
  <c r="H381" i="6" s="1"/>
  <c r="F380" i="6"/>
  <c r="I380" i="6" s="1"/>
  <c r="D380" i="6"/>
  <c r="E380" i="6" s="1"/>
  <c r="B380" i="6"/>
  <c r="G380" i="6"/>
  <c r="H380" i="6" s="1"/>
  <c r="G379" i="6"/>
  <c r="H379" i="6" s="1"/>
  <c r="F379" i="6"/>
  <c r="I379" i="6" s="1"/>
  <c r="B379" i="6"/>
  <c r="D379" i="6"/>
  <c r="E379" i="6" s="1"/>
  <c r="B378" i="6"/>
  <c r="D378" i="6"/>
  <c r="E378" i="6" s="1"/>
  <c r="F378" i="6"/>
  <c r="I378" i="6" s="1"/>
  <c r="G378" i="6"/>
  <c r="H378" i="6" s="1"/>
  <c r="D377" i="6"/>
  <c r="E377" i="6" s="1"/>
  <c r="G377" i="6"/>
  <c r="H377" i="6" s="1"/>
  <c r="F377" i="6"/>
  <c r="I377" i="6" s="1"/>
  <c r="B377" i="6"/>
  <c r="D376" i="6"/>
  <c r="E376" i="6" s="1"/>
  <c r="G376" i="6"/>
  <c r="H376" i="6" s="1"/>
  <c r="F376" i="6"/>
  <c r="I376" i="6" s="1"/>
  <c r="B376" i="6"/>
  <c r="G375" i="6"/>
  <c r="H375" i="6" s="1"/>
  <c r="F375" i="6"/>
  <c r="I375" i="6" s="1"/>
  <c r="D375" i="6"/>
  <c r="E375" i="6" s="1"/>
  <c r="B375" i="6"/>
  <c r="D374" i="6"/>
  <c r="E374" i="6" s="1"/>
  <c r="G374" i="6"/>
  <c r="H374" i="6" s="1"/>
  <c r="B374" i="6"/>
  <c r="F374" i="6"/>
  <c r="I374" i="6" s="1"/>
  <c r="B373" i="6"/>
  <c r="D373" i="6"/>
  <c r="E373" i="6" s="1"/>
  <c r="F373" i="6"/>
  <c r="I373" i="6" s="1"/>
  <c r="G373" i="6"/>
  <c r="H373" i="6" s="1"/>
  <c r="B372" i="6"/>
  <c r="F372" i="6"/>
  <c r="I372" i="6" s="1"/>
  <c r="G372" i="6"/>
  <c r="H372" i="6" s="1"/>
  <c r="D372" i="6"/>
  <c r="E372" i="6" s="1"/>
  <c r="B371" i="6"/>
  <c r="D371" i="6"/>
  <c r="E371" i="6" s="1"/>
  <c r="F371" i="6"/>
  <c r="I371" i="6" s="1"/>
  <c r="G371" i="6"/>
  <c r="H371" i="6" s="1"/>
  <c r="F370" i="6"/>
  <c r="I370" i="6" s="1"/>
  <c r="B370" i="6"/>
  <c r="D370" i="6"/>
  <c r="E370" i="6" s="1"/>
  <c r="G370" i="6"/>
  <c r="H370" i="6" s="1"/>
  <c r="G369" i="6"/>
  <c r="H369" i="6" s="1"/>
  <c r="F369" i="6"/>
  <c r="I369" i="6" s="1"/>
  <c r="D369" i="6"/>
  <c r="E369" i="6" s="1"/>
  <c r="B369" i="6"/>
  <c r="G368" i="6"/>
  <c r="H368" i="6" s="1"/>
  <c r="F368" i="6"/>
  <c r="I368" i="6" s="1"/>
  <c r="B368" i="6"/>
  <c r="D368" i="6"/>
  <c r="E368" i="6" s="1"/>
  <c r="B367" i="6"/>
  <c r="D367" i="6"/>
  <c r="E367" i="6" s="1"/>
  <c r="F367" i="6"/>
  <c r="I367" i="6" s="1"/>
  <c r="G367" i="6"/>
  <c r="H367" i="6" s="1"/>
  <c r="G366" i="6"/>
  <c r="H366" i="6" s="1"/>
  <c r="F366" i="6"/>
  <c r="I366" i="6" s="1"/>
  <c r="D366" i="6"/>
  <c r="E366" i="6" s="1"/>
  <c r="B366" i="6"/>
  <c r="G365" i="6"/>
  <c r="H365" i="6" s="1"/>
  <c r="B365" i="6"/>
  <c r="D365" i="6"/>
  <c r="E365" i="6" s="1"/>
  <c r="F365" i="6"/>
  <c r="I365" i="6" s="1"/>
  <c r="F364" i="6"/>
  <c r="I364" i="6" s="1"/>
  <c r="B364" i="6"/>
  <c r="D364" i="6"/>
  <c r="E364" i="6" s="1"/>
  <c r="G364" i="6"/>
  <c r="H364" i="6" s="1"/>
  <c r="B363" i="6"/>
  <c r="D363" i="6"/>
  <c r="E363" i="6" s="1"/>
  <c r="F363" i="6"/>
  <c r="I363" i="6" s="1"/>
  <c r="G363" i="6"/>
  <c r="H363" i="6" s="1"/>
  <c r="B362" i="6"/>
  <c r="D362" i="6"/>
  <c r="E362" i="6" s="1"/>
  <c r="F362" i="6"/>
  <c r="I362" i="6" s="1"/>
  <c r="G362" i="6"/>
  <c r="H362" i="6" s="1"/>
  <c r="F361" i="6"/>
  <c r="I361" i="6" s="1"/>
  <c r="G361" i="6"/>
  <c r="H361" i="6" s="1"/>
  <c r="B361" i="6"/>
  <c r="D361" i="6"/>
  <c r="E361" i="6" s="1"/>
  <c r="B360" i="6"/>
  <c r="G360" i="6"/>
  <c r="H360" i="6" s="1"/>
  <c r="D360" i="6"/>
  <c r="E360" i="6" s="1"/>
  <c r="F360" i="6"/>
  <c r="I360" i="6" s="1"/>
  <c r="B359" i="6"/>
  <c r="D359" i="6"/>
  <c r="E359" i="6" s="1"/>
  <c r="F359" i="6"/>
  <c r="I359" i="6" s="1"/>
  <c r="G359" i="6"/>
  <c r="H359" i="6" s="1"/>
  <c r="B358" i="6"/>
  <c r="D358" i="6"/>
  <c r="E358" i="6" s="1"/>
  <c r="G358" i="6"/>
  <c r="H358" i="6" s="1"/>
  <c r="F358" i="6"/>
  <c r="I358" i="6" s="1"/>
  <c r="B357" i="6"/>
  <c r="D357" i="6"/>
  <c r="E357" i="6" s="1"/>
  <c r="F357" i="6"/>
  <c r="I357" i="6" s="1"/>
  <c r="G357" i="6"/>
  <c r="H357" i="6" s="1"/>
  <c r="F356" i="6"/>
  <c r="I356" i="6" s="1"/>
  <c r="G356" i="6"/>
  <c r="H356" i="6" s="1"/>
  <c r="B356" i="6"/>
  <c r="D356" i="6"/>
  <c r="E356" i="6" s="1"/>
  <c r="D355" i="6"/>
  <c r="E355" i="6" s="1"/>
  <c r="G355" i="6"/>
  <c r="H355" i="6" s="1"/>
  <c r="B355" i="6"/>
  <c r="F355" i="6"/>
  <c r="I355" i="6" s="1"/>
  <c r="G354" i="6"/>
  <c r="H354" i="6" s="1"/>
  <c r="F354" i="6"/>
  <c r="I354" i="6" s="1"/>
  <c r="B354" i="6"/>
  <c r="D354" i="6"/>
  <c r="E354" i="6" s="1"/>
  <c r="G353" i="6"/>
  <c r="H353" i="6" s="1"/>
  <c r="F353" i="6"/>
  <c r="I353" i="6" s="1"/>
  <c r="D353" i="6"/>
  <c r="E353" i="6" s="1"/>
  <c r="B353" i="6"/>
  <c r="G352" i="6"/>
  <c r="H352" i="6" s="1"/>
  <c r="F352" i="6"/>
  <c r="I352" i="6" s="1"/>
  <c r="D352" i="6"/>
  <c r="E352" i="6" s="1"/>
  <c r="B352" i="6"/>
  <c r="G351" i="6"/>
  <c r="H351" i="6" s="1"/>
  <c r="F351" i="6"/>
  <c r="I351" i="6" s="1"/>
  <c r="D351" i="6"/>
  <c r="E351" i="6" s="1"/>
  <c r="B351" i="6"/>
  <c r="G350" i="6"/>
  <c r="H350" i="6" s="1"/>
  <c r="F350" i="6"/>
  <c r="I350" i="6" s="1"/>
  <c r="D350" i="6"/>
  <c r="E350" i="6" s="1"/>
  <c r="B350" i="6"/>
  <c r="G349" i="6"/>
  <c r="H349" i="6" s="1"/>
  <c r="F349" i="6"/>
  <c r="I349" i="6" s="1"/>
  <c r="D349" i="6"/>
  <c r="E349" i="6" s="1"/>
  <c r="B349" i="6"/>
  <c r="G348" i="6"/>
  <c r="H348" i="6" s="1"/>
  <c r="F348" i="6"/>
  <c r="I348" i="6" s="1"/>
  <c r="B348" i="6"/>
  <c r="D348" i="6"/>
  <c r="E348" i="6" s="1"/>
  <c r="F347" i="6"/>
  <c r="I347" i="6" s="1"/>
  <c r="B347" i="6"/>
  <c r="D347" i="6"/>
  <c r="E347" i="6" s="1"/>
  <c r="G347" i="6"/>
  <c r="H347" i="6" s="1"/>
  <c r="D346" i="6"/>
  <c r="E346" i="6" s="1"/>
  <c r="F346" i="6"/>
  <c r="I346" i="6" s="1"/>
  <c r="G346" i="6"/>
  <c r="H346" i="6" s="1"/>
  <c r="B346" i="6"/>
  <c r="G345" i="6"/>
  <c r="H345" i="6" s="1"/>
  <c r="B345" i="6"/>
  <c r="D345" i="6"/>
  <c r="E345" i="6" s="1"/>
  <c r="F345" i="6"/>
  <c r="I345" i="6" s="1"/>
  <c r="G344" i="6"/>
  <c r="H344" i="6" s="1"/>
  <c r="F344" i="6"/>
  <c r="I344" i="6" s="1"/>
  <c r="D344" i="6"/>
  <c r="E344" i="6" s="1"/>
  <c r="B344" i="6"/>
  <c r="G343" i="6"/>
  <c r="H343" i="6" s="1"/>
  <c r="F343" i="6"/>
  <c r="I343" i="6" s="1"/>
  <c r="B343" i="6"/>
  <c r="D343" i="6"/>
  <c r="E343" i="6" s="1"/>
  <c r="G342" i="6"/>
  <c r="H342" i="6" s="1"/>
  <c r="F342" i="6"/>
  <c r="I342" i="6" s="1"/>
  <c r="B342" i="6"/>
  <c r="D342" i="6"/>
  <c r="E342" i="6" s="1"/>
  <c r="F341" i="6"/>
  <c r="I341" i="6" s="1"/>
  <c r="G341" i="6"/>
  <c r="H341" i="6" s="1"/>
  <c r="B341" i="6"/>
  <c r="D341" i="6"/>
  <c r="E341" i="6" s="1"/>
  <c r="F340" i="6"/>
  <c r="I340" i="6" s="1"/>
  <c r="G340" i="6"/>
  <c r="H340" i="6" s="1"/>
  <c r="B340" i="6"/>
  <c r="D340" i="6"/>
  <c r="E340" i="6" s="1"/>
  <c r="G339" i="6"/>
  <c r="H339" i="6" s="1"/>
  <c r="F339" i="6"/>
  <c r="I339" i="6" s="1"/>
  <c r="D339" i="6"/>
  <c r="E339" i="6" s="1"/>
  <c r="B339" i="6"/>
  <c r="G338" i="6"/>
  <c r="H338" i="6" s="1"/>
  <c r="F338" i="6"/>
  <c r="I338" i="6" s="1"/>
  <c r="B338" i="6"/>
  <c r="D338" i="6"/>
  <c r="E338" i="6" s="1"/>
  <c r="G337" i="6"/>
  <c r="H337" i="6" s="1"/>
  <c r="F337" i="6"/>
  <c r="I337" i="6" s="1"/>
  <c r="D337" i="6"/>
  <c r="E337" i="6" s="1"/>
  <c r="B337" i="6"/>
  <c r="D336" i="6"/>
  <c r="E336" i="6" s="1"/>
  <c r="B336" i="6"/>
  <c r="F336" i="6"/>
  <c r="I336" i="6" s="1"/>
  <c r="G336" i="6"/>
  <c r="H336" i="6" s="1"/>
  <c r="G335" i="6"/>
  <c r="H335" i="6" s="1"/>
  <c r="F335" i="6"/>
  <c r="I335" i="6" s="1"/>
  <c r="D335" i="6"/>
  <c r="E335" i="6" s="1"/>
  <c r="B335" i="6"/>
  <c r="D334" i="6"/>
  <c r="E334" i="6" s="1"/>
  <c r="B334" i="6"/>
  <c r="F334" i="6"/>
  <c r="I334" i="6" s="1"/>
  <c r="G334" i="6"/>
  <c r="H334" i="6" s="1"/>
  <c r="F333" i="6"/>
  <c r="I333" i="6" s="1"/>
  <c r="D333" i="6"/>
  <c r="E333" i="6" s="1"/>
  <c r="B333" i="6"/>
  <c r="G333" i="6"/>
  <c r="H333" i="6" s="1"/>
  <c r="F332" i="6"/>
  <c r="I332" i="6" s="1"/>
  <c r="G332" i="6"/>
  <c r="H332" i="6" s="1"/>
  <c r="B332" i="6"/>
  <c r="D332" i="6"/>
  <c r="E332" i="6" s="1"/>
  <c r="G331" i="6"/>
  <c r="H331" i="6" s="1"/>
  <c r="F331" i="6"/>
  <c r="I331" i="6" s="1"/>
  <c r="B331" i="6"/>
  <c r="D331" i="6"/>
  <c r="E331" i="6" s="1"/>
  <c r="F330" i="6"/>
  <c r="I330" i="6" s="1"/>
  <c r="D330" i="6"/>
  <c r="E330" i="6" s="1"/>
  <c r="B330" i="6"/>
  <c r="G330" i="6"/>
  <c r="H330" i="6" s="1"/>
  <c r="F329" i="6"/>
  <c r="I329" i="6" s="1"/>
  <c r="G329" i="6"/>
  <c r="H329" i="6" s="1"/>
  <c r="B329" i="6"/>
  <c r="D329" i="6"/>
  <c r="E329" i="6" s="1"/>
  <c r="D328" i="6"/>
  <c r="E328" i="6" s="1"/>
  <c r="B328" i="6"/>
  <c r="F328" i="6"/>
  <c r="I328" i="6" s="1"/>
  <c r="G328" i="6"/>
  <c r="H328" i="6" s="1"/>
  <c r="G327" i="6"/>
  <c r="H327" i="6" s="1"/>
  <c r="F327" i="6"/>
  <c r="I327" i="6" s="1"/>
  <c r="B327" i="6"/>
  <c r="D327" i="6"/>
  <c r="E327" i="6" s="1"/>
  <c r="B326" i="6"/>
  <c r="G326" i="6"/>
  <c r="H326" i="6" s="1"/>
  <c r="F326" i="6"/>
  <c r="I326" i="6" s="1"/>
  <c r="D326" i="6"/>
  <c r="E326" i="6" s="1"/>
  <c r="D325" i="6"/>
  <c r="E325" i="6" s="1"/>
  <c r="G325" i="6"/>
  <c r="H325" i="6" s="1"/>
  <c r="F325" i="6"/>
  <c r="I325" i="6" s="1"/>
  <c r="B325" i="6"/>
  <c r="D324" i="6"/>
  <c r="E324" i="6" s="1"/>
  <c r="B324" i="6"/>
  <c r="G323" i="6"/>
  <c r="H323" i="6" s="1"/>
  <c r="F323" i="6"/>
  <c r="I323" i="6" s="1"/>
  <c r="D323" i="6"/>
  <c r="E323" i="6" s="1"/>
  <c r="B323" i="6"/>
  <c r="G322" i="6"/>
  <c r="H322" i="6" s="1"/>
  <c r="D322" i="6"/>
  <c r="E322" i="6" s="1"/>
  <c r="B322" i="6"/>
  <c r="F322" i="6"/>
  <c r="I322" i="6" s="1"/>
  <c r="G321" i="6"/>
  <c r="H321" i="6" s="1"/>
  <c r="F321" i="6"/>
  <c r="I321" i="6" s="1"/>
  <c r="D321" i="6"/>
  <c r="E321" i="6" s="1"/>
  <c r="B321" i="6"/>
  <c r="G320" i="6"/>
  <c r="H320" i="6" s="1"/>
  <c r="F320" i="6"/>
  <c r="I320" i="6" s="1"/>
  <c r="D320" i="6"/>
  <c r="E320" i="6" s="1"/>
  <c r="B320" i="6"/>
  <c r="D319" i="6"/>
  <c r="E319" i="6" s="1"/>
  <c r="G319" i="6"/>
  <c r="H319" i="6" s="1"/>
  <c r="F319" i="6"/>
  <c r="I319" i="6" s="1"/>
  <c r="B319" i="6"/>
  <c r="G318" i="6"/>
  <c r="H318" i="6" s="1"/>
  <c r="B318" i="6"/>
  <c r="D318" i="6"/>
  <c r="E318" i="6" s="1"/>
  <c r="F318" i="6"/>
  <c r="I318" i="6" s="1"/>
  <c r="D317" i="6"/>
  <c r="E317" i="6" s="1"/>
  <c r="G317" i="6"/>
  <c r="H317" i="6" s="1"/>
  <c r="F317" i="6"/>
  <c r="I317" i="6" s="1"/>
  <c r="B317" i="6"/>
  <c r="D316" i="6"/>
  <c r="E316" i="6" s="1"/>
  <c r="B316" i="6"/>
  <c r="F316" i="6"/>
  <c r="I316" i="6" s="1"/>
  <c r="G316" i="6"/>
  <c r="H316" i="6" s="1"/>
  <c r="D315" i="6"/>
  <c r="E315" i="6" s="1"/>
  <c r="B315" i="6"/>
  <c r="F315" i="6"/>
  <c r="I315" i="6" s="1"/>
  <c r="G315" i="6"/>
  <c r="H315" i="6" s="1"/>
  <c r="G314" i="6"/>
  <c r="H314" i="6" s="1"/>
  <c r="F314" i="6"/>
  <c r="I314" i="6" s="1"/>
  <c r="D314" i="6"/>
  <c r="E314" i="6" s="1"/>
  <c r="B314" i="6"/>
  <c r="G313" i="6"/>
  <c r="H313" i="6" s="1"/>
  <c r="D313" i="6"/>
  <c r="E313" i="6" s="1"/>
  <c r="F313" i="6"/>
  <c r="I313" i="6" s="1"/>
  <c r="B313" i="6"/>
  <c r="B312" i="6"/>
  <c r="D312" i="6"/>
  <c r="E312" i="6" s="1"/>
  <c r="F312" i="6"/>
  <c r="I312" i="6" s="1"/>
  <c r="G312" i="6"/>
  <c r="H312" i="6" s="1"/>
  <c r="B311" i="6"/>
  <c r="D311" i="6"/>
  <c r="E311" i="6" s="1"/>
  <c r="F311" i="6"/>
  <c r="I311" i="6" s="1"/>
  <c r="G311" i="6"/>
  <c r="H311" i="6" s="1"/>
  <c r="D310" i="6"/>
  <c r="E310" i="6" s="1"/>
  <c r="F310" i="6"/>
  <c r="I310" i="6" s="1"/>
  <c r="B310" i="6"/>
  <c r="G310" i="6"/>
  <c r="H310" i="6" s="1"/>
  <c r="G309" i="6"/>
  <c r="H309" i="6" s="1"/>
  <c r="F309" i="6"/>
  <c r="I309" i="6" s="1"/>
  <c r="D309" i="6"/>
  <c r="E309" i="6" s="1"/>
  <c r="B309" i="6"/>
  <c r="B308" i="6"/>
  <c r="D308" i="6"/>
  <c r="E308" i="6" s="1"/>
  <c r="F308" i="6"/>
  <c r="I308" i="6" s="1"/>
  <c r="G308" i="6"/>
  <c r="H308" i="6" s="1"/>
  <c r="B307" i="6"/>
  <c r="D307" i="6"/>
  <c r="E307" i="6" s="1"/>
  <c r="F307" i="6"/>
  <c r="I307" i="6" s="1"/>
  <c r="G307" i="6"/>
  <c r="H307" i="6" s="1"/>
  <c r="B306" i="6"/>
  <c r="D306" i="6"/>
  <c r="E306" i="6" s="1"/>
  <c r="F306" i="6"/>
  <c r="I306" i="6" s="1"/>
  <c r="G306" i="6"/>
  <c r="H306" i="6" s="1"/>
  <c r="F305" i="6"/>
  <c r="I305" i="6" s="1"/>
  <c r="B305" i="6"/>
  <c r="D305" i="6"/>
  <c r="E305" i="6" s="1"/>
  <c r="G305" i="6"/>
  <c r="H305" i="6" s="1"/>
  <c r="F304" i="6"/>
  <c r="I304" i="6" s="1"/>
  <c r="D304" i="6"/>
  <c r="E304" i="6" s="1"/>
  <c r="B304" i="6"/>
  <c r="G304" i="6"/>
  <c r="H304" i="6" s="1"/>
  <c r="G303" i="6"/>
  <c r="H303" i="6" s="1"/>
  <c r="F303" i="6"/>
  <c r="I303" i="6" s="1"/>
  <c r="D303" i="6"/>
  <c r="E303" i="6" s="1"/>
  <c r="B303" i="6"/>
  <c r="G302" i="6"/>
  <c r="H302" i="6" s="1"/>
  <c r="B302" i="6"/>
  <c r="D302" i="6"/>
  <c r="E302" i="6" s="1"/>
  <c r="F302" i="6"/>
  <c r="I302" i="6" s="1"/>
  <c r="B301" i="6"/>
  <c r="D301" i="6"/>
  <c r="E301" i="6" s="1"/>
  <c r="F301" i="6"/>
  <c r="I301" i="6" s="1"/>
  <c r="G301" i="6"/>
  <c r="H301" i="6" s="1"/>
  <c r="B300" i="6"/>
  <c r="D300" i="6"/>
  <c r="E300" i="6" s="1"/>
  <c r="F300" i="6"/>
  <c r="I300" i="6" s="1"/>
  <c r="G300" i="6"/>
  <c r="H300" i="6" s="1"/>
  <c r="G299" i="6"/>
  <c r="H299" i="6" s="1"/>
  <c r="F299" i="6"/>
  <c r="I299" i="6" s="1"/>
  <c r="D299" i="6"/>
  <c r="E299" i="6" s="1"/>
  <c r="B299" i="6"/>
  <c r="G298" i="6"/>
  <c r="H298" i="6" s="1"/>
  <c r="F298" i="6"/>
  <c r="I298" i="6" s="1"/>
  <c r="D298" i="6"/>
  <c r="E298" i="6" s="1"/>
  <c r="B298" i="6"/>
  <c r="G297" i="6"/>
  <c r="H297" i="6" s="1"/>
  <c r="D297" i="6"/>
  <c r="E297" i="6" s="1"/>
  <c r="B297" i="6"/>
  <c r="F297" i="6"/>
  <c r="I297" i="6" s="1"/>
  <c r="B296" i="6"/>
  <c r="G296" i="6"/>
  <c r="H296" i="6" s="1"/>
  <c r="F296" i="6"/>
  <c r="I296" i="6" s="1"/>
  <c r="D296" i="6"/>
  <c r="E296" i="6" s="1"/>
  <c r="G295" i="6"/>
  <c r="H295" i="6" s="1"/>
  <c r="F295" i="6"/>
  <c r="I295" i="6" s="1"/>
  <c r="D295" i="6"/>
  <c r="E295" i="6" s="1"/>
  <c r="B295" i="6"/>
  <c r="G294" i="6"/>
  <c r="H294" i="6" s="1"/>
  <c r="F294" i="6"/>
  <c r="I294" i="6" s="1"/>
  <c r="D294" i="6"/>
  <c r="E294" i="6" s="1"/>
  <c r="B294" i="6"/>
  <c r="F293" i="6"/>
  <c r="I293" i="6" s="1"/>
  <c r="G293" i="6"/>
  <c r="H293" i="6" s="1"/>
  <c r="D293" i="6"/>
  <c r="E293" i="6" s="1"/>
  <c r="B293" i="6"/>
  <c r="B292" i="6"/>
  <c r="D292" i="6"/>
  <c r="E292" i="6" s="1"/>
  <c r="F292" i="6"/>
  <c r="I292" i="6" s="1"/>
  <c r="G292" i="6"/>
  <c r="H292" i="6" s="1"/>
  <c r="G291" i="6"/>
  <c r="H291" i="6" s="1"/>
  <c r="F291" i="6"/>
  <c r="I291" i="6" s="1"/>
  <c r="D291" i="6"/>
  <c r="E291" i="6" s="1"/>
  <c r="B291" i="6"/>
  <c r="F290" i="6"/>
  <c r="I290" i="6" s="1"/>
  <c r="G290" i="6"/>
  <c r="H290" i="6" s="1"/>
  <c r="D290" i="6"/>
  <c r="E290" i="6" s="1"/>
  <c r="B290" i="6"/>
  <c r="B289" i="6"/>
  <c r="D289" i="6"/>
  <c r="E289" i="6" s="1"/>
  <c r="F289" i="6"/>
  <c r="I289" i="6" s="1"/>
  <c r="G289" i="6"/>
  <c r="H289" i="6" s="1"/>
  <c r="B288" i="6"/>
  <c r="D288" i="6"/>
  <c r="E288" i="6" s="1"/>
  <c r="F288" i="6"/>
  <c r="I288" i="6" s="1"/>
  <c r="G288" i="6"/>
  <c r="H288" i="6" s="1"/>
  <c r="D287" i="6"/>
  <c r="E287" i="6" s="1"/>
  <c r="B287" i="6"/>
  <c r="F287" i="6"/>
  <c r="I287" i="6" s="1"/>
  <c r="G287" i="6"/>
  <c r="H287" i="6" s="1"/>
  <c r="G286" i="6"/>
  <c r="H286" i="6" s="1"/>
  <c r="F286" i="6"/>
  <c r="I286" i="6" s="1"/>
  <c r="D286" i="6"/>
  <c r="E286" i="6" s="1"/>
  <c r="B286" i="6"/>
  <c r="D285" i="6"/>
  <c r="E285" i="6" s="1"/>
  <c r="B285" i="6"/>
  <c r="G285" i="6"/>
  <c r="H285" i="6" s="1"/>
  <c r="F285" i="6"/>
  <c r="I285" i="6" s="1"/>
  <c r="G284" i="6"/>
  <c r="H284" i="6" s="1"/>
  <c r="F284" i="6"/>
  <c r="I284" i="6" s="1"/>
  <c r="D284" i="6"/>
  <c r="E284" i="6" s="1"/>
  <c r="B284" i="6"/>
  <c r="G283" i="6"/>
  <c r="H283" i="6" s="1"/>
  <c r="F283" i="6"/>
  <c r="I283" i="6" s="1"/>
  <c r="D283" i="6"/>
  <c r="E283" i="6" s="1"/>
  <c r="B283" i="6"/>
  <c r="G282" i="6"/>
  <c r="H282" i="6" s="1"/>
  <c r="F282" i="6"/>
  <c r="I282" i="6" s="1"/>
  <c r="D282" i="6"/>
  <c r="E282" i="6" s="1"/>
  <c r="B282" i="6"/>
  <c r="D281" i="6"/>
  <c r="E281" i="6" s="1"/>
  <c r="G281" i="6"/>
  <c r="H281" i="6" s="1"/>
  <c r="F281" i="6"/>
  <c r="I281" i="6" s="1"/>
  <c r="B281" i="6"/>
  <c r="G280" i="6"/>
  <c r="H280" i="6" s="1"/>
  <c r="F280" i="6"/>
  <c r="I280" i="6" s="1"/>
  <c r="D280" i="6"/>
  <c r="E280" i="6" s="1"/>
  <c r="B280" i="6"/>
  <c r="G279" i="6"/>
  <c r="H279" i="6" s="1"/>
  <c r="D279" i="6"/>
  <c r="E279" i="6" s="1"/>
  <c r="B279" i="6"/>
  <c r="F279" i="6"/>
  <c r="I279" i="6" s="1"/>
  <c r="G278" i="6"/>
  <c r="H278" i="6" s="1"/>
  <c r="F278" i="6"/>
  <c r="I278" i="6" s="1"/>
  <c r="D278" i="6"/>
  <c r="E278" i="6" s="1"/>
  <c r="B278" i="6"/>
  <c r="B277" i="6"/>
  <c r="D277" i="6"/>
  <c r="E277" i="6" s="1"/>
  <c r="F277" i="6"/>
  <c r="I277" i="6" s="1"/>
  <c r="G277" i="6"/>
  <c r="H277" i="6" s="1"/>
  <c r="G276" i="6"/>
  <c r="H276" i="6" s="1"/>
  <c r="F276" i="6"/>
  <c r="I276" i="6" s="1"/>
  <c r="D276" i="6"/>
  <c r="E276" i="6" s="1"/>
  <c r="B276" i="6"/>
  <c r="G275" i="6"/>
  <c r="H275" i="6" s="1"/>
  <c r="D275" i="6"/>
  <c r="E275" i="6" s="1"/>
  <c r="B275" i="6"/>
  <c r="F275" i="6"/>
  <c r="I275" i="6" s="1"/>
  <c r="D274" i="6"/>
  <c r="E274" i="6" s="1"/>
  <c r="G274" i="6"/>
  <c r="H274" i="6" s="1"/>
  <c r="F274" i="6"/>
  <c r="I274" i="6" s="1"/>
  <c r="B274" i="6"/>
  <c r="D273" i="6"/>
  <c r="E273" i="6" s="1"/>
  <c r="B273" i="6"/>
  <c r="G273" i="6"/>
  <c r="H273" i="6" s="1"/>
  <c r="F273" i="6"/>
  <c r="I273" i="6" s="1"/>
  <c r="D272" i="6"/>
  <c r="E272" i="6" s="1"/>
  <c r="F272" i="6"/>
  <c r="I272" i="6" s="1"/>
  <c r="G272" i="6"/>
  <c r="H272" i="6" s="1"/>
  <c r="B272" i="6"/>
  <c r="G271" i="6"/>
  <c r="H271" i="6" s="1"/>
  <c r="F271" i="6"/>
  <c r="I271" i="6" s="1"/>
  <c r="D271" i="6"/>
  <c r="E271" i="6" s="1"/>
  <c r="B271" i="6"/>
  <c r="G270" i="6"/>
  <c r="H270" i="6" s="1"/>
  <c r="F270" i="6"/>
  <c r="I270" i="6" s="1"/>
  <c r="B270" i="6"/>
  <c r="D270" i="6"/>
  <c r="E270" i="6" s="1"/>
  <c r="F269" i="6"/>
  <c r="I269" i="6" s="1"/>
  <c r="B269" i="6"/>
  <c r="D269" i="6"/>
  <c r="E269" i="6" s="1"/>
  <c r="G269" i="6"/>
  <c r="H269" i="6" s="1"/>
  <c r="B268" i="6"/>
  <c r="D268" i="6"/>
  <c r="E268" i="6" s="1"/>
  <c r="F268" i="6"/>
  <c r="I268" i="6" s="1"/>
  <c r="G268" i="6"/>
  <c r="H268" i="6" s="1"/>
  <c r="B267" i="6"/>
  <c r="D267" i="6"/>
  <c r="E267" i="6" s="1"/>
  <c r="F267" i="6"/>
  <c r="I267" i="6" s="1"/>
  <c r="G267" i="6"/>
  <c r="H267" i="6" s="1"/>
  <c r="G266" i="6"/>
  <c r="H266" i="6" s="1"/>
  <c r="F266" i="6"/>
  <c r="I266" i="6" s="1"/>
  <c r="B266" i="6"/>
  <c r="D266" i="6"/>
  <c r="E266" i="6" s="1"/>
  <c r="G265" i="6"/>
  <c r="H265" i="6" s="1"/>
  <c r="F265" i="6"/>
  <c r="I265" i="6" s="1"/>
  <c r="D265" i="6"/>
  <c r="E265" i="6" s="1"/>
  <c r="B265" i="6"/>
  <c r="G264" i="6"/>
  <c r="H264" i="6" s="1"/>
  <c r="F264" i="6"/>
  <c r="I264" i="6" s="1"/>
  <c r="D264" i="6"/>
  <c r="E264" i="6" s="1"/>
  <c r="B264" i="6"/>
  <c r="G263" i="6"/>
  <c r="H263" i="6" s="1"/>
  <c r="F263" i="6"/>
  <c r="I263" i="6" s="1"/>
  <c r="D263" i="6"/>
  <c r="E263" i="6" s="1"/>
  <c r="B263" i="6"/>
  <c r="G262" i="6"/>
  <c r="H262" i="6" s="1"/>
  <c r="F262" i="6"/>
  <c r="I262" i="6" s="1"/>
  <c r="D262" i="6"/>
  <c r="E262" i="6" s="1"/>
  <c r="B262" i="6"/>
  <c r="G261" i="6"/>
  <c r="H261" i="6" s="1"/>
  <c r="F261" i="6"/>
  <c r="I261" i="6" s="1"/>
  <c r="D261" i="6"/>
  <c r="E261" i="6" s="1"/>
  <c r="B261" i="6"/>
  <c r="G260" i="6"/>
  <c r="H260" i="6" s="1"/>
  <c r="F260" i="6"/>
  <c r="I260" i="6" s="1"/>
  <c r="D260" i="6"/>
  <c r="E260" i="6" s="1"/>
  <c r="B260" i="6"/>
  <c r="G259" i="6"/>
  <c r="H259" i="6" s="1"/>
  <c r="F259" i="6"/>
  <c r="I259" i="6" s="1"/>
  <c r="D259" i="6"/>
  <c r="E259" i="6" s="1"/>
  <c r="B259" i="6"/>
  <c r="G258" i="6"/>
  <c r="H258" i="6" s="1"/>
  <c r="F258" i="6"/>
  <c r="I258" i="6" s="1"/>
  <c r="D258" i="6"/>
  <c r="E258" i="6" s="1"/>
  <c r="B258" i="6"/>
  <c r="G257" i="6"/>
  <c r="H257" i="6" s="1"/>
  <c r="F257" i="6"/>
  <c r="I257" i="6" s="1"/>
  <c r="D257" i="6"/>
  <c r="E257" i="6" s="1"/>
  <c r="B257" i="6"/>
  <c r="F256" i="6"/>
  <c r="I256" i="6" s="1"/>
  <c r="G256" i="6"/>
  <c r="H256" i="6" s="1"/>
  <c r="B256" i="6"/>
  <c r="D256" i="6"/>
  <c r="E256" i="6" s="1"/>
  <c r="G255" i="6"/>
  <c r="H255" i="6" s="1"/>
  <c r="F255" i="6"/>
  <c r="I255" i="6" s="1"/>
  <c r="D255" i="6"/>
  <c r="E255" i="6" s="1"/>
  <c r="B255" i="6"/>
  <c r="G254" i="6"/>
  <c r="H254" i="6" s="1"/>
  <c r="F254" i="6"/>
  <c r="I254" i="6" s="1"/>
  <c r="D254" i="6"/>
  <c r="E254" i="6" s="1"/>
  <c r="B254" i="6"/>
  <c r="G253" i="6"/>
  <c r="H253" i="6" s="1"/>
  <c r="F253" i="6"/>
  <c r="I253" i="6" s="1"/>
  <c r="B253" i="6"/>
  <c r="D253" i="6"/>
  <c r="E253" i="6" s="1"/>
  <c r="B252" i="6"/>
  <c r="G252" i="6"/>
  <c r="H252" i="6" s="1"/>
  <c r="D252" i="6"/>
  <c r="E252" i="6" s="1"/>
  <c r="F252" i="6"/>
  <c r="I252" i="6" s="1"/>
  <c r="G251" i="6"/>
  <c r="H251" i="6" s="1"/>
  <c r="F251" i="6"/>
  <c r="I251" i="6" s="1"/>
  <c r="D251" i="6"/>
  <c r="E251" i="6" s="1"/>
  <c r="B251" i="6"/>
  <c r="G250" i="6"/>
  <c r="H250" i="6" s="1"/>
  <c r="F250" i="6"/>
  <c r="I250" i="6" s="1"/>
  <c r="B250" i="6"/>
  <c r="D250" i="6"/>
  <c r="E250" i="6" s="1"/>
  <c r="G249" i="6"/>
  <c r="H249" i="6" s="1"/>
  <c r="F249" i="6"/>
  <c r="I249" i="6" s="1"/>
  <c r="D249" i="6"/>
  <c r="E249" i="6" s="1"/>
  <c r="B249" i="6"/>
  <c r="G248" i="6"/>
  <c r="H248" i="6" s="1"/>
  <c r="B248" i="6"/>
  <c r="F248" i="6"/>
  <c r="I248" i="6" s="1"/>
  <c r="D248" i="6"/>
  <c r="E248" i="6" s="1"/>
  <c r="D247" i="6"/>
  <c r="E247" i="6" s="1"/>
  <c r="G247" i="6"/>
  <c r="H247" i="6" s="1"/>
  <c r="B247" i="6"/>
  <c r="F247" i="6"/>
  <c r="I247" i="6" s="1"/>
  <c r="D246" i="6"/>
  <c r="E246" i="6" s="1"/>
  <c r="B246" i="6"/>
  <c r="G246" i="6"/>
  <c r="H246" i="6" s="1"/>
  <c r="F246" i="6"/>
  <c r="I246" i="6" s="1"/>
  <c r="D245" i="6"/>
  <c r="E245" i="6" s="1"/>
  <c r="B245" i="6"/>
  <c r="F245" i="6"/>
  <c r="I245" i="6" s="1"/>
  <c r="G245" i="6"/>
  <c r="H245" i="6" s="1"/>
  <c r="G244" i="6"/>
  <c r="H244" i="6" s="1"/>
  <c r="F244" i="6"/>
  <c r="I244" i="6" s="1"/>
  <c r="D244" i="6"/>
  <c r="E244" i="6" s="1"/>
  <c r="B244" i="6"/>
  <c r="B243" i="6"/>
  <c r="F243" i="6"/>
  <c r="I243" i="6" s="1"/>
  <c r="G243" i="6"/>
  <c r="H243" i="6" s="1"/>
  <c r="D243" i="6"/>
  <c r="E243" i="6" s="1"/>
  <c r="G242" i="6"/>
  <c r="H242" i="6" s="1"/>
  <c r="B242" i="6"/>
  <c r="D242" i="6"/>
  <c r="E242" i="6" s="1"/>
  <c r="F242" i="6"/>
  <c r="I242" i="6" s="1"/>
  <c r="D241" i="6"/>
  <c r="E241" i="6" s="1"/>
  <c r="B241" i="6"/>
  <c r="G241" i="6"/>
  <c r="H241" i="6" s="1"/>
  <c r="F241" i="6"/>
  <c r="I241" i="6" s="1"/>
  <c r="G240" i="6"/>
  <c r="H240" i="6" s="1"/>
  <c r="F240" i="6"/>
  <c r="I240" i="6" s="1"/>
  <c r="D240" i="6"/>
  <c r="E240" i="6" s="1"/>
  <c r="B240" i="6"/>
  <c r="B239" i="6"/>
  <c r="F239" i="6"/>
  <c r="I239" i="6" s="1"/>
  <c r="G239" i="6"/>
  <c r="H239" i="6" s="1"/>
  <c r="D239" i="6"/>
  <c r="E239" i="6" s="1"/>
  <c r="B238" i="6"/>
  <c r="D238" i="6"/>
  <c r="E238" i="6" s="1"/>
  <c r="F238" i="6"/>
  <c r="I238" i="6" s="1"/>
  <c r="G238" i="6"/>
  <c r="H238" i="6" s="1"/>
  <c r="F237" i="6"/>
  <c r="I237" i="6" s="1"/>
  <c r="G237" i="6"/>
  <c r="H237" i="6" s="1"/>
  <c r="B237" i="6"/>
  <c r="D237" i="6"/>
  <c r="E237" i="6" s="1"/>
  <c r="D236" i="6"/>
  <c r="E236" i="6" s="1"/>
  <c r="F236" i="6"/>
  <c r="I236" i="6" s="1"/>
  <c r="G236" i="6"/>
  <c r="H236" i="6" s="1"/>
  <c r="B236" i="6"/>
  <c r="B235" i="6"/>
  <c r="D235" i="6"/>
  <c r="E235" i="6" s="1"/>
  <c r="G235" i="6"/>
  <c r="H235" i="6" s="1"/>
  <c r="F235" i="6"/>
  <c r="I235" i="6" s="1"/>
  <c r="B234" i="6"/>
  <c r="D234" i="6"/>
  <c r="E234" i="6" s="1"/>
  <c r="F234" i="6"/>
  <c r="I234" i="6" s="1"/>
  <c r="G234" i="6"/>
  <c r="H234" i="6" s="1"/>
  <c r="F233" i="6"/>
  <c r="I233" i="6" s="1"/>
  <c r="G233" i="6"/>
  <c r="H233" i="6" s="1"/>
  <c r="B233" i="6"/>
  <c r="D233" i="6"/>
  <c r="E233" i="6" s="1"/>
  <c r="F232" i="6"/>
  <c r="I232" i="6" s="1"/>
  <c r="D232" i="6"/>
  <c r="E232" i="6" s="1"/>
  <c r="B232" i="6"/>
  <c r="G232" i="6"/>
  <c r="H232" i="6" s="1"/>
  <c r="G231" i="6"/>
  <c r="H231" i="6" s="1"/>
  <c r="F231" i="6"/>
  <c r="I231" i="6" s="1"/>
  <c r="D231" i="6"/>
  <c r="E231" i="6" s="1"/>
  <c r="B231" i="6"/>
  <c r="G230" i="6"/>
  <c r="H230" i="6" s="1"/>
  <c r="D230" i="6"/>
  <c r="E230" i="6" s="1"/>
  <c r="B230" i="6"/>
  <c r="F230" i="6"/>
  <c r="I230" i="6" s="1"/>
  <c r="G229" i="6"/>
  <c r="H229" i="6" s="1"/>
  <c r="F229" i="6"/>
  <c r="I229" i="6" s="1"/>
  <c r="D229" i="6"/>
  <c r="E229" i="6" s="1"/>
  <c r="B229" i="6"/>
  <c r="G228" i="6"/>
  <c r="H228" i="6" s="1"/>
  <c r="F228" i="6"/>
  <c r="I228" i="6" s="1"/>
  <c r="D228" i="6"/>
  <c r="E228" i="6" s="1"/>
  <c r="B228" i="6"/>
  <c r="D227" i="6"/>
  <c r="E227" i="6" s="1"/>
  <c r="B227" i="6"/>
  <c r="G227" i="6"/>
  <c r="H227" i="6" s="1"/>
  <c r="F227" i="6"/>
  <c r="I227" i="6" s="1"/>
  <c r="F226" i="6"/>
  <c r="I226" i="6" s="1"/>
  <c r="G226" i="6"/>
  <c r="H226" i="6" s="1"/>
  <c r="D226" i="6"/>
  <c r="E226" i="6" s="1"/>
  <c r="B226" i="6"/>
  <c r="G225" i="6"/>
  <c r="H225" i="6" s="1"/>
  <c r="F225" i="6"/>
  <c r="I225" i="6" s="1"/>
  <c r="D225" i="6"/>
  <c r="E225" i="6" s="1"/>
  <c r="B225" i="6"/>
  <c r="B224" i="6"/>
  <c r="G224" i="6"/>
  <c r="H224" i="6" s="1"/>
  <c r="F224" i="6"/>
  <c r="I224" i="6" s="1"/>
  <c r="D224" i="6"/>
  <c r="E224" i="6" s="1"/>
  <c r="G223" i="6"/>
  <c r="H223" i="6" s="1"/>
  <c r="B223" i="6"/>
  <c r="F223" i="6"/>
  <c r="I223" i="6" s="1"/>
  <c r="D223" i="6"/>
  <c r="E223" i="6" s="1"/>
  <c r="D222" i="6"/>
  <c r="E222" i="6" s="1"/>
  <c r="B222" i="6"/>
  <c r="F222" i="6"/>
  <c r="I222" i="6" s="1"/>
  <c r="G222" i="6"/>
  <c r="H222" i="6" s="1"/>
  <c r="D221" i="6"/>
  <c r="E221" i="6" s="1"/>
  <c r="G221" i="6"/>
  <c r="H221" i="6" s="1"/>
  <c r="B221" i="6"/>
  <c r="F221" i="6"/>
  <c r="I221" i="6" s="1"/>
  <c r="D220" i="6"/>
  <c r="E220" i="6" s="1"/>
  <c r="B220" i="6"/>
  <c r="G220" i="6"/>
  <c r="H220" i="6" s="1"/>
  <c r="F220" i="6"/>
  <c r="I220" i="6" s="1"/>
  <c r="B219" i="6"/>
  <c r="D219" i="6"/>
  <c r="E219" i="6" s="1"/>
  <c r="F219" i="6"/>
  <c r="I219" i="6" s="1"/>
  <c r="G219" i="6"/>
  <c r="H219" i="6" s="1"/>
  <c r="B218" i="6"/>
  <c r="D218" i="6"/>
  <c r="E218" i="6" s="1"/>
  <c r="F218" i="6"/>
  <c r="I218" i="6" s="1"/>
  <c r="G218" i="6"/>
  <c r="H218" i="6" s="1"/>
  <c r="G217" i="6"/>
  <c r="H217" i="6" s="1"/>
  <c r="B217" i="6"/>
  <c r="D217" i="6"/>
  <c r="E217" i="6" s="1"/>
  <c r="F217" i="6"/>
  <c r="I217" i="6" s="1"/>
  <c r="G216" i="6"/>
  <c r="H216" i="6" s="1"/>
  <c r="F216" i="6"/>
  <c r="I216" i="6" s="1"/>
  <c r="D216" i="6"/>
  <c r="E216" i="6" s="1"/>
  <c r="B216" i="6"/>
  <c r="G215" i="6"/>
  <c r="H215" i="6" s="1"/>
  <c r="F215" i="6"/>
  <c r="I215" i="6" s="1"/>
  <c r="D215" i="6"/>
  <c r="E215" i="6" s="1"/>
  <c r="B215" i="6"/>
  <c r="G214" i="6"/>
  <c r="H214" i="6" s="1"/>
  <c r="F214" i="6"/>
  <c r="I214" i="6" s="1"/>
  <c r="D214" i="6"/>
  <c r="E214" i="6" s="1"/>
  <c r="B214" i="6"/>
  <c r="D213" i="6"/>
  <c r="E213" i="6" s="1"/>
  <c r="G213" i="6"/>
  <c r="H213" i="6" s="1"/>
  <c r="F213" i="6"/>
  <c r="I213" i="6" s="1"/>
  <c r="B213" i="6"/>
  <c r="G212" i="6"/>
  <c r="H212" i="6" s="1"/>
  <c r="D212" i="6"/>
  <c r="E212" i="6" s="1"/>
  <c r="B212" i="6"/>
  <c r="F212" i="6"/>
  <c r="I212" i="6" s="1"/>
  <c r="G211" i="6"/>
  <c r="H211" i="6" s="1"/>
  <c r="B211" i="6"/>
  <c r="F211" i="6"/>
  <c r="I211" i="6" s="1"/>
  <c r="D211" i="6"/>
  <c r="E211" i="6" s="1"/>
  <c r="D210" i="6"/>
  <c r="E210" i="6" s="1"/>
  <c r="F210" i="6"/>
  <c r="I210" i="6" s="1"/>
  <c r="G210" i="6"/>
  <c r="H210" i="6" s="1"/>
  <c r="B210" i="6"/>
  <c r="B209" i="6"/>
  <c r="D209" i="6"/>
  <c r="E209" i="6" s="1"/>
  <c r="G209" i="6"/>
  <c r="H209" i="6" s="1"/>
  <c r="F209" i="6"/>
  <c r="I209" i="6" s="1"/>
  <c r="G208" i="6"/>
  <c r="H208" i="6" s="1"/>
  <c r="F208" i="6"/>
  <c r="I208" i="6" s="1"/>
  <c r="D208" i="6"/>
  <c r="E208" i="6" s="1"/>
  <c r="B208" i="6"/>
  <c r="G207" i="6"/>
  <c r="H207" i="6" s="1"/>
  <c r="F207" i="6"/>
  <c r="I207" i="6" s="1"/>
  <c r="D207" i="6"/>
  <c r="E207" i="6" s="1"/>
  <c r="B207" i="6"/>
  <c r="B206" i="6"/>
  <c r="D206" i="6"/>
  <c r="E206" i="6" s="1"/>
  <c r="F206" i="6"/>
  <c r="I206" i="6" s="1"/>
  <c r="G206" i="6"/>
  <c r="H206" i="6" s="1"/>
  <c r="B205" i="6"/>
  <c r="D205" i="6"/>
  <c r="E205" i="6" s="1"/>
  <c r="F205" i="6"/>
  <c r="I205" i="6" s="1"/>
  <c r="G205" i="6"/>
  <c r="H205" i="6" s="1"/>
  <c r="B204" i="6"/>
  <c r="D204" i="6"/>
  <c r="E204" i="6" s="1"/>
  <c r="F204" i="6"/>
  <c r="I204" i="6" s="1"/>
  <c r="G204" i="6"/>
  <c r="H204" i="6" s="1"/>
  <c r="F203" i="6"/>
  <c r="I203" i="6" s="1"/>
  <c r="G203" i="6"/>
  <c r="H203" i="6" s="1"/>
  <c r="B203" i="6"/>
  <c r="D203" i="6"/>
  <c r="E203" i="6" s="1"/>
  <c r="G202" i="6"/>
  <c r="H202" i="6" s="1"/>
  <c r="D202" i="6"/>
  <c r="E202" i="6" s="1"/>
  <c r="B202" i="6"/>
  <c r="F202" i="6"/>
  <c r="I202" i="6" s="1"/>
  <c r="G201" i="6"/>
  <c r="H201" i="6" s="1"/>
  <c r="F201" i="6"/>
  <c r="I201" i="6" s="1"/>
  <c r="D201" i="6"/>
  <c r="E201" i="6" s="1"/>
  <c r="B201" i="6"/>
  <c r="G200" i="6"/>
  <c r="H200" i="6" s="1"/>
  <c r="F200" i="6"/>
  <c r="I200" i="6" s="1"/>
  <c r="D200" i="6"/>
  <c r="E200" i="6" s="1"/>
  <c r="B200" i="6"/>
  <c r="G199" i="6"/>
  <c r="H199" i="6" s="1"/>
  <c r="F199" i="6"/>
  <c r="I199" i="6" s="1"/>
  <c r="D199" i="6"/>
  <c r="E199" i="6" s="1"/>
  <c r="B199" i="6"/>
  <c r="G198" i="6"/>
  <c r="H198" i="6" s="1"/>
  <c r="F198" i="6"/>
  <c r="I198" i="6" s="1"/>
  <c r="D198" i="6"/>
  <c r="E198" i="6" s="1"/>
  <c r="B198" i="6"/>
  <c r="G197" i="6"/>
  <c r="H197" i="6" s="1"/>
  <c r="F197" i="6"/>
  <c r="I197" i="6" s="1"/>
  <c r="D197" i="6"/>
  <c r="E197" i="6" s="1"/>
  <c r="B197" i="6"/>
  <c r="G196" i="6"/>
  <c r="H196" i="6" s="1"/>
  <c r="F196" i="6"/>
  <c r="I196" i="6" s="1"/>
  <c r="D196" i="6"/>
  <c r="E196" i="6" s="1"/>
  <c r="B196" i="6"/>
  <c r="G195" i="6"/>
  <c r="H195" i="6" s="1"/>
  <c r="F195" i="6"/>
  <c r="I195" i="6" s="1"/>
  <c r="D195" i="6"/>
  <c r="E195" i="6" s="1"/>
  <c r="B195" i="6"/>
  <c r="G194" i="6"/>
  <c r="H194" i="6" s="1"/>
  <c r="F194" i="6"/>
  <c r="I194" i="6" s="1"/>
  <c r="D194" i="6"/>
  <c r="E194" i="6" s="1"/>
  <c r="B194" i="6"/>
  <c r="G193" i="6"/>
  <c r="H193" i="6" s="1"/>
  <c r="F193" i="6"/>
  <c r="I193" i="6" s="1"/>
  <c r="D193" i="6"/>
  <c r="E193" i="6" s="1"/>
  <c r="B193" i="6"/>
  <c r="G192" i="6"/>
  <c r="H192" i="6" s="1"/>
  <c r="F192" i="6"/>
  <c r="I192" i="6" s="1"/>
  <c r="D192" i="6"/>
  <c r="E192" i="6" s="1"/>
  <c r="B192" i="6"/>
  <c r="G191" i="6"/>
  <c r="H191" i="6" s="1"/>
  <c r="F191" i="6"/>
  <c r="I191" i="6" s="1"/>
  <c r="D191" i="6"/>
  <c r="E191" i="6" s="1"/>
  <c r="B191" i="6"/>
  <c r="G190" i="6"/>
  <c r="H190" i="6" s="1"/>
  <c r="F190" i="6"/>
  <c r="I190" i="6" s="1"/>
  <c r="D190" i="6"/>
  <c r="E190" i="6" s="1"/>
  <c r="B190" i="6"/>
  <c r="G189" i="6"/>
  <c r="H189" i="6" s="1"/>
  <c r="B189" i="6"/>
  <c r="D189" i="6"/>
  <c r="E189" i="6" s="1"/>
  <c r="F189" i="6"/>
  <c r="I189" i="6" s="1"/>
  <c r="D188" i="6"/>
  <c r="E188" i="6" s="1"/>
  <c r="F188" i="6"/>
  <c r="I188" i="6" s="1"/>
  <c r="G188" i="6"/>
  <c r="H188" i="6" s="1"/>
  <c r="B188" i="6"/>
  <c r="F187" i="6"/>
  <c r="I187" i="6" s="1"/>
  <c r="G187" i="6"/>
  <c r="H187" i="6" s="1"/>
  <c r="B187" i="6"/>
  <c r="D187" i="6"/>
  <c r="E187" i="6" s="1"/>
  <c r="G186" i="6"/>
  <c r="H186" i="6" s="1"/>
  <c r="F186" i="6"/>
  <c r="I186" i="6" s="1"/>
  <c r="D186" i="6"/>
  <c r="E186" i="6" s="1"/>
  <c r="B186" i="6"/>
  <c r="B185" i="6"/>
  <c r="F185" i="6"/>
  <c r="I185" i="6" s="1"/>
  <c r="D185" i="6"/>
  <c r="E185" i="6" s="1"/>
  <c r="G185" i="6"/>
  <c r="H185" i="6" s="1"/>
  <c r="B184" i="6"/>
  <c r="D184" i="6"/>
  <c r="E184" i="6" s="1"/>
  <c r="F184" i="6"/>
  <c r="I184" i="6" s="1"/>
  <c r="G184" i="6"/>
  <c r="H184" i="6" s="1"/>
  <c r="D183" i="6"/>
  <c r="E183" i="6" s="1"/>
  <c r="G183" i="6"/>
  <c r="H183" i="6" s="1"/>
  <c r="F183" i="6"/>
  <c r="I183" i="6" s="1"/>
  <c r="B183" i="6"/>
  <c r="F182" i="6"/>
  <c r="I182" i="6" s="1"/>
  <c r="D182" i="6"/>
  <c r="E182" i="6" s="1"/>
  <c r="B182" i="6"/>
  <c r="G182" i="6"/>
  <c r="H182" i="6" s="1"/>
  <c r="G181" i="6"/>
  <c r="H181" i="6" s="1"/>
  <c r="F181" i="6"/>
  <c r="I181" i="6" s="1"/>
  <c r="D181" i="6"/>
  <c r="E181" i="6" s="1"/>
  <c r="B181" i="6"/>
  <c r="G180" i="6"/>
  <c r="H180" i="6" s="1"/>
  <c r="F180" i="6"/>
  <c r="I180" i="6" s="1"/>
  <c r="D180" i="6"/>
  <c r="E180" i="6" s="1"/>
  <c r="B180" i="6"/>
  <c r="F179" i="6"/>
  <c r="I179" i="6" s="1"/>
  <c r="D179" i="6"/>
  <c r="E179" i="6" s="1"/>
  <c r="B179" i="6"/>
  <c r="G179" i="6"/>
  <c r="H179" i="6" s="1"/>
  <c r="G178" i="6"/>
  <c r="H178" i="6" s="1"/>
  <c r="F178" i="6"/>
  <c r="I178" i="6" s="1"/>
  <c r="D178" i="6"/>
  <c r="E178" i="6" s="1"/>
  <c r="B178" i="6"/>
  <c r="G177" i="6"/>
  <c r="H177" i="6" s="1"/>
  <c r="F177" i="6"/>
  <c r="I177" i="6" s="1"/>
  <c r="B177" i="6"/>
  <c r="D177" i="6"/>
  <c r="E177" i="6" s="1"/>
  <c r="G176" i="6"/>
  <c r="H176" i="6" s="1"/>
  <c r="F176" i="6"/>
  <c r="I176" i="6" s="1"/>
  <c r="D176" i="6"/>
  <c r="E176" i="6" s="1"/>
  <c r="B176" i="6"/>
  <c r="G175" i="6"/>
  <c r="H175" i="6" s="1"/>
  <c r="F175" i="6"/>
  <c r="I175" i="6" s="1"/>
  <c r="D175" i="6"/>
  <c r="E175" i="6" s="1"/>
  <c r="B175" i="6"/>
  <c r="D174" i="6"/>
  <c r="E174" i="6" s="1"/>
  <c r="B174" i="6"/>
  <c r="G174" i="6"/>
  <c r="H174" i="6" s="1"/>
  <c r="F174" i="6"/>
  <c r="I174" i="6" s="1"/>
  <c r="G173" i="6"/>
  <c r="H173" i="6" s="1"/>
  <c r="B173" i="6"/>
  <c r="D173" i="6"/>
  <c r="E173" i="6" s="1"/>
  <c r="F173" i="6"/>
  <c r="I173" i="6" s="1"/>
  <c r="B172" i="6"/>
  <c r="D172" i="6"/>
  <c r="E172" i="6" s="1"/>
  <c r="F172" i="6"/>
  <c r="I172" i="6" s="1"/>
  <c r="G172" i="6"/>
  <c r="H172" i="6" s="1"/>
  <c r="B171" i="6"/>
  <c r="D171" i="6"/>
  <c r="E171" i="6" s="1"/>
  <c r="F171" i="6"/>
  <c r="I171" i="6" s="1"/>
  <c r="G171" i="6"/>
  <c r="H171" i="6" s="1"/>
  <c r="G170" i="6"/>
  <c r="H170" i="6" s="1"/>
  <c r="D170" i="6"/>
  <c r="E170" i="6" s="1"/>
  <c r="B170" i="6"/>
  <c r="F170" i="6"/>
  <c r="I170" i="6" s="1"/>
  <c r="G169" i="6"/>
  <c r="H169" i="6" s="1"/>
  <c r="F169" i="6"/>
  <c r="I169" i="6" s="1"/>
  <c r="D169" i="6"/>
  <c r="E169" i="6" s="1"/>
  <c r="B169" i="6"/>
  <c r="G168" i="6"/>
  <c r="H168" i="6" s="1"/>
  <c r="F168" i="6"/>
  <c r="I168" i="6" s="1"/>
  <c r="B168" i="6"/>
  <c r="D168" i="6"/>
  <c r="E168" i="6" s="1"/>
  <c r="D167" i="6"/>
  <c r="E167" i="6" s="1"/>
  <c r="G167" i="6"/>
  <c r="H167" i="6" s="1"/>
  <c r="F167" i="6"/>
  <c r="I167" i="6" s="1"/>
  <c r="B167" i="6"/>
  <c r="B166" i="6"/>
  <c r="D166" i="6"/>
  <c r="E166" i="6" s="1"/>
  <c r="F166" i="6"/>
  <c r="I166" i="6" s="1"/>
  <c r="G166" i="6"/>
  <c r="H166" i="6" s="1"/>
  <c r="F165" i="6"/>
  <c r="I165" i="6" s="1"/>
  <c r="G165" i="6"/>
  <c r="H165" i="6" s="1"/>
  <c r="D165" i="6"/>
  <c r="E165" i="6" s="1"/>
  <c r="B165" i="6"/>
  <c r="F164" i="6"/>
  <c r="I164" i="6" s="1"/>
  <c r="D164" i="6"/>
  <c r="E164" i="6" s="1"/>
  <c r="B164" i="6"/>
  <c r="G164" i="6"/>
  <c r="H164" i="6" s="1"/>
  <c r="G163" i="6"/>
  <c r="H163" i="6" s="1"/>
  <c r="F163" i="6"/>
  <c r="I163" i="6" s="1"/>
  <c r="D163" i="6"/>
  <c r="E163" i="6" s="1"/>
  <c r="B163" i="6"/>
  <c r="G162" i="6"/>
  <c r="H162" i="6" s="1"/>
  <c r="F162" i="6"/>
  <c r="I162" i="6" s="1"/>
  <c r="D162" i="6"/>
  <c r="E162" i="6" s="1"/>
  <c r="B162" i="6"/>
  <c r="G161" i="6"/>
  <c r="H161" i="6" s="1"/>
  <c r="F161" i="6"/>
  <c r="I161" i="6" s="1"/>
  <c r="D161" i="6"/>
  <c r="E161" i="6" s="1"/>
  <c r="B161" i="6"/>
  <c r="G160" i="6"/>
  <c r="H160" i="6" s="1"/>
  <c r="F160" i="6"/>
  <c r="I160" i="6" s="1"/>
  <c r="D160" i="6"/>
  <c r="E160" i="6" s="1"/>
  <c r="B160" i="6"/>
  <c r="G159" i="6"/>
  <c r="H159" i="6" s="1"/>
  <c r="F159" i="6"/>
  <c r="I159" i="6" s="1"/>
  <c r="D159" i="6"/>
  <c r="E159" i="6" s="1"/>
  <c r="B159" i="6"/>
  <c r="G158" i="6"/>
  <c r="H158" i="6" s="1"/>
  <c r="F158" i="6"/>
  <c r="I158" i="6" s="1"/>
  <c r="D158" i="6"/>
  <c r="E158" i="6" s="1"/>
  <c r="B158" i="6"/>
  <c r="G157" i="6"/>
  <c r="H157" i="6" s="1"/>
  <c r="F157" i="6"/>
  <c r="I157" i="6" s="1"/>
  <c r="D157" i="6"/>
  <c r="E157" i="6" s="1"/>
  <c r="B157" i="6"/>
  <c r="G156" i="6"/>
  <c r="H156" i="6" s="1"/>
  <c r="F156" i="6"/>
  <c r="I156" i="6" s="1"/>
  <c r="D156" i="6"/>
  <c r="E156" i="6" s="1"/>
  <c r="B156" i="6"/>
  <c r="G155" i="6"/>
  <c r="H155" i="6" s="1"/>
  <c r="F155" i="6"/>
  <c r="I155" i="6" s="1"/>
  <c r="D155" i="6"/>
  <c r="E155" i="6" s="1"/>
  <c r="B155" i="6"/>
  <c r="G154" i="6"/>
  <c r="H154" i="6" s="1"/>
  <c r="D154" i="6"/>
  <c r="E154" i="6" s="1"/>
  <c r="B154" i="6"/>
  <c r="F154" i="6"/>
  <c r="I154" i="6" s="1"/>
  <c r="G153" i="6"/>
  <c r="H153" i="6" s="1"/>
  <c r="F153" i="6"/>
  <c r="I153" i="6" s="1"/>
  <c r="B153" i="6"/>
  <c r="D153" i="6"/>
  <c r="E153" i="6" s="1"/>
  <c r="G152" i="6"/>
  <c r="H152" i="6" s="1"/>
  <c r="F152" i="6"/>
  <c r="I152" i="6" s="1"/>
  <c r="D152" i="6"/>
  <c r="E152" i="6" s="1"/>
  <c r="B152" i="6"/>
  <c r="F151" i="6"/>
  <c r="I151" i="6" s="1"/>
  <c r="B151" i="6"/>
  <c r="D151" i="6"/>
  <c r="E151" i="6" s="1"/>
  <c r="G151" i="6"/>
  <c r="H151" i="6" s="1"/>
  <c r="B150" i="6"/>
  <c r="D150" i="6"/>
  <c r="E150" i="6" s="1"/>
  <c r="F150" i="6"/>
  <c r="I150" i="6" s="1"/>
  <c r="G150" i="6"/>
  <c r="H150" i="6" s="1"/>
  <c r="G149" i="6"/>
  <c r="H149" i="6" s="1"/>
  <c r="F149" i="6"/>
  <c r="I149" i="6" s="1"/>
  <c r="D149" i="6"/>
  <c r="E149" i="6" s="1"/>
  <c r="B149" i="6"/>
  <c r="D148" i="6"/>
  <c r="E148" i="6" s="1"/>
  <c r="B148" i="6"/>
  <c r="F147" i="6"/>
  <c r="I147" i="6" s="1"/>
  <c r="G147" i="6"/>
  <c r="H147" i="6" s="1"/>
  <c r="D147" i="6"/>
  <c r="E147" i="6" s="1"/>
  <c r="B147" i="6"/>
  <c r="B146" i="6"/>
  <c r="F146" i="6"/>
  <c r="I146" i="6" s="1"/>
  <c r="G146" i="6"/>
  <c r="H146" i="6" s="1"/>
  <c r="D146" i="6"/>
  <c r="E146" i="6" s="1"/>
  <c r="G145" i="6"/>
  <c r="H145" i="6" s="1"/>
  <c r="B145" i="6"/>
  <c r="D145" i="6"/>
  <c r="E145" i="6" s="1"/>
  <c r="F145" i="6"/>
  <c r="I145" i="6" s="1"/>
  <c r="G144" i="6"/>
  <c r="H144" i="6" s="1"/>
  <c r="D144" i="6"/>
  <c r="E144" i="6" s="1"/>
  <c r="B144" i="6"/>
  <c r="F144" i="6"/>
  <c r="I144" i="6" s="1"/>
  <c r="F143" i="6"/>
  <c r="I143" i="6" s="1"/>
  <c r="G143" i="6"/>
  <c r="H143" i="6" s="1"/>
  <c r="B143" i="6"/>
  <c r="D143" i="6"/>
  <c r="E143" i="6" s="1"/>
  <c r="D142" i="6"/>
  <c r="E142" i="6" s="1"/>
  <c r="B142" i="6"/>
  <c r="F142" i="6"/>
  <c r="I142" i="6" s="1"/>
  <c r="G142" i="6"/>
  <c r="H142" i="6" s="1"/>
  <c r="B141" i="6"/>
  <c r="D141" i="6"/>
  <c r="E141" i="6" s="1"/>
  <c r="F141" i="6"/>
  <c r="I141" i="6" s="1"/>
  <c r="G141" i="6"/>
  <c r="H141" i="6" s="1"/>
  <c r="B140" i="6"/>
  <c r="D140" i="6"/>
  <c r="E140" i="6" s="1"/>
  <c r="F140" i="6"/>
  <c r="I140" i="6" s="1"/>
  <c r="G140" i="6"/>
  <c r="H140" i="6" s="1"/>
  <c r="B139" i="6"/>
  <c r="G139" i="6"/>
  <c r="H139" i="6" s="1"/>
  <c r="F139" i="6"/>
  <c r="I139" i="6" s="1"/>
  <c r="D139" i="6"/>
  <c r="E139" i="6" s="1"/>
  <c r="B138" i="6"/>
  <c r="D138" i="6"/>
  <c r="E138" i="6" s="1"/>
  <c r="F138" i="6"/>
  <c r="I138" i="6" s="1"/>
  <c r="G138" i="6"/>
  <c r="H138" i="6" s="1"/>
  <c r="B137" i="6"/>
  <c r="G137" i="6"/>
  <c r="H137" i="6" s="1"/>
  <c r="F137" i="6"/>
  <c r="I137" i="6" s="1"/>
  <c r="D137" i="6"/>
  <c r="E137" i="6" s="1"/>
  <c r="G136" i="6"/>
  <c r="H136" i="6" s="1"/>
  <c r="F136" i="6"/>
  <c r="I136" i="6" s="1"/>
  <c r="D136" i="6"/>
  <c r="E136" i="6" s="1"/>
  <c r="B136" i="6"/>
  <c r="G135" i="6"/>
  <c r="H135" i="6" s="1"/>
  <c r="F135" i="6"/>
  <c r="I135" i="6" s="1"/>
  <c r="D135" i="6"/>
  <c r="E135" i="6" s="1"/>
  <c r="B135" i="6"/>
  <c r="D134" i="6"/>
  <c r="E134" i="6" s="1"/>
  <c r="F134" i="6"/>
  <c r="I134" i="6" s="1"/>
  <c r="G134" i="6"/>
  <c r="H134" i="6" s="1"/>
  <c r="B134" i="6"/>
  <c r="B133" i="6"/>
  <c r="D133" i="6"/>
  <c r="E133" i="6" s="1"/>
  <c r="F133" i="6"/>
  <c r="I133" i="6" s="1"/>
  <c r="G133" i="6"/>
  <c r="H133" i="6" s="1"/>
  <c r="B132" i="6"/>
  <c r="D132" i="6"/>
  <c r="E132" i="6" s="1"/>
  <c r="F132" i="6"/>
  <c r="I132" i="6" s="1"/>
  <c r="G132" i="6"/>
  <c r="H132" i="6" s="1"/>
  <c r="B131" i="6"/>
  <c r="D131" i="6"/>
  <c r="E131" i="6" s="1"/>
  <c r="F131" i="6"/>
  <c r="I131" i="6" s="1"/>
  <c r="G131" i="6"/>
  <c r="H131" i="6" s="1"/>
  <c r="D130" i="6"/>
  <c r="E130" i="6" s="1"/>
  <c r="F130" i="6"/>
  <c r="I130" i="6" s="1"/>
  <c r="G130" i="6"/>
  <c r="H130" i="6" s="1"/>
  <c r="B130" i="6"/>
  <c r="D129" i="6"/>
  <c r="E129" i="6" s="1"/>
  <c r="G129" i="6"/>
  <c r="H129" i="6" s="1"/>
  <c r="F129" i="6"/>
  <c r="I129" i="6" s="1"/>
  <c r="B129" i="6"/>
  <c r="D128" i="6"/>
  <c r="E128" i="6" s="1"/>
  <c r="B128" i="6"/>
  <c r="G128" i="6"/>
  <c r="H128" i="6" s="1"/>
  <c r="F128" i="6"/>
  <c r="I128" i="6" s="1"/>
  <c r="B127" i="6"/>
  <c r="G127" i="6"/>
  <c r="H127" i="6" s="1"/>
  <c r="F127" i="6"/>
  <c r="I127" i="6" s="1"/>
  <c r="D127" i="6"/>
  <c r="E127" i="6" s="1"/>
  <c r="G126" i="6"/>
  <c r="H126" i="6" s="1"/>
  <c r="B126" i="6"/>
  <c r="D126" i="6"/>
  <c r="E126" i="6" s="1"/>
  <c r="F126" i="6"/>
  <c r="I126" i="6" s="1"/>
  <c r="B125" i="6"/>
  <c r="D125" i="6"/>
  <c r="E125" i="6" s="1"/>
  <c r="F125" i="6"/>
  <c r="I125" i="6" s="1"/>
  <c r="G125" i="6"/>
  <c r="H125" i="6" s="1"/>
  <c r="D124" i="6"/>
  <c r="E124" i="6" s="1"/>
  <c r="B124" i="6"/>
  <c r="G124" i="6"/>
  <c r="H124" i="6" s="1"/>
  <c r="F124" i="6"/>
  <c r="I124" i="6" s="1"/>
  <c r="G123" i="6"/>
  <c r="H123" i="6" s="1"/>
  <c r="F123" i="6"/>
  <c r="I123" i="6" s="1"/>
  <c r="D123" i="6"/>
  <c r="E123" i="6" s="1"/>
  <c r="B123" i="6"/>
  <c r="G122" i="6"/>
  <c r="H122" i="6" s="1"/>
  <c r="F122" i="6"/>
  <c r="I122" i="6" s="1"/>
  <c r="D122" i="6"/>
  <c r="E122" i="6" s="1"/>
  <c r="B122" i="6"/>
  <c r="G121" i="6"/>
  <c r="H121" i="6" s="1"/>
  <c r="F121" i="6"/>
  <c r="I121" i="6" s="1"/>
  <c r="D121" i="6"/>
  <c r="E121" i="6" s="1"/>
  <c r="B121" i="6"/>
  <c r="G120" i="6"/>
  <c r="H120" i="6" s="1"/>
  <c r="F120" i="6"/>
  <c r="I120" i="6" s="1"/>
  <c r="D120" i="6"/>
  <c r="E120" i="6" s="1"/>
  <c r="B120" i="6"/>
  <c r="G119" i="6"/>
  <c r="H119" i="6" s="1"/>
  <c r="F119" i="6"/>
  <c r="I119" i="6" s="1"/>
  <c r="D119" i="6"/>
  <c r="E119" i="6" s="1"/>
  <c r="B119" i="6"/>
  <c r="G118" i="6"/>
  <c r="H118" i="6" s="1"/>
  <c r="F118" i="6"/>
  <c r="I118" i="6" s="1"/>
  <c r="D118" i="6"/>
  <c r="E118" i="6" s="1"/>
  <c r="B118" i="6"/>
  <c r="G117" i="6"/>
  <c r="H117" i="6" s="1"/>
  <c r="F117" i="6"/>
  <c r="I117" i="6" s="1"/>
  <c r="D117" i="6"/>
  <c r="E117" i="6" s="1"/>
  <c r="B117" i="6"/>
  <c r="G116" i="6"/>
  <c r="H116" i="6" s="1"/>
  <c r="F116" i="6"/>
  <c r="I116" i="6" s="1"/>
  <c r="D116" i="6"/>
  <c r="E116" i="6" s="1"/>
  <c r="B116" i="6"/>
  <c r="G115" i="6"/>
  <c r="H115" i="6" s="1"/>
  <c r="F115" i="6"/>
  <c r="I115" i="6" s="1"/>
  <c r="D115" i="6"/>
  <c r="E115" i="6" s="1"/>
  <c r="B115" i="6"/>
  <c r="G114" i="6"/>
  <c r="H114" i="6" s="1"/>
  <c r="F114" i="6"/>
  <c r="I114" i="6" s="1"/>
  <c r="D114" i="6"/>
  <c r="E114" i="6" s="1"/>
  <c r="B114" i="6"/>
  <c r="G113" i="6"/>
  <c r="H113" i="6" s="1"/>
  <c r="F113" i="6"/>
  <c r="I113" i="6" s="1"/>
  <c r="D113" i="6"/>
  <c r="E113" i="6" s="1"/>
  <c r="B113" i="6"/>
  <c r="D112" i="6"/>
  <c r="E112" i="6" s="1"/>
  <c r="G112" i="6"/>
  <c r="H112" i="6" s="1"/>
  <c r="F112" i="6"/>
  <c r="I112" i="6" s="1"/>
  <c r="B112" i="6"/>
  <c r="G111" i="6"/>
  <c r="H111" i="6" s="1"/>
  <c r="B111" i="6"/>
  <c r="D111" i="6"/>
  <c r="E111" i="6" s="1"/>
  <c r="F111" i="6"/>
  <c r="I111" i="6" s="1"/>
  <c r="B110" i="6"/>
  <c r="D110" i="6"/>
  <c r="E110" i="6" s="1"/>
  <c r="F110" i="6"/>
  <c r="I110" i="6" s="1"/>
  <c r="G110" i="6"/>
  <c r="H110" i="6" s="1"/>
  <c r="B109" i="6"/>
  <c r="D109" i="6"/>
  <c r="E109" i="6" s="1"/>
  <c r="F109" i="6"/>
  <c r="I109" i="6" s="1"/>
  <c r="G109" i="6"/>
  <c r="H109" i="6" s="1"/>
  <c r="G108" i="6"/>
  <c r="H108" i="6" s="1"/>
  <c r="B108" i="6"/>
  <c r="D108" i="6"/>
  <c r="E108" i="6" s="1"/>
  <c r="F108" i="6"/>
  <c r="I108" i="6" s="1"/>
  <c r="B107" i="6"/>
  <c r="D107" i="6"/>
  <c r="E107" i="6" s="1"/>
  <c r="F107" i="6"/>
  <c r="I107" i="6" s="1"/>
  <c r="G107" i="6"/>
  <c r="H107" i="6" s="1"/>
  <c r="B106" i="6"/>
  <c r="D106" i="6"/>
  <c r="E106" i="6" s="1"/>
  <c r="F106" i="6"/>
  <c r="I106" i="6" s="1"/>
  <c r="G106" i="6"/>
  <c r="H106" i="6" s="1"/>
  <c r="G105" i="6"/>
  <c r="H105" i="6" s="1"/>
  <c r="D105" i="6"/>
  <c r="E105" i="6" s="1"/>
  <c r="F105" i="6"/>
  <c r="I105" i="6" s="1"/>
  <c r="B105" i="6"/>
  <c r="F104" i="6"/>
  <c r="I104" i="6" s="1"/>
  <c r="G104" i="6"/>
  <c r="H104" i="6" s="1"/>
  <c r="B104" i="6"/>
  <c r="D104" i="6"/>
  <c r="E104" i="6" s="1"/>
  <c r="G103" i="6"/>
  <c r="H103" i="6" s="1"/>
  <c r="F103" i="6"/>
  <c r="I103" i="6" s="1"/>
  <c r="D103" i="6"/>
  <c r="E103" i="6" s="1"/>
  <c r="B103" i="6"/>
  <c r="B102" i="6"/>
  <c r="F102" i="6"/>
  <c r="I102" i="6" s="1"/>
  <c r="D102" i="6"/>
  <c r="E102" i="6" s="1"/>
  <c r="G102" i="6"/>
  <c r="H102" i="6" s="1"/>
  <c r="G101" i="6"/>
  <c r="H101" i="6" s="1"/>
  <c r="F101" i="6"/>
  <c r="I101" i="6" s="1"/>
  <c r="D101" i="6"/>
  <c r="E101" i="6" s="1"/>
  <c r="B101" i="6"/>
  <c r="G100" i="6"/>
  <c r="H100" i="6" s="1"/>
  <c r="F100" i="6"/>
  <c r="I100" i="6" s="1"/>
  <c r="D100" i="6"/>
  <c r="E100" i="6" s="1"/>
  <c r="B100" i="6"/>
  <c r="B99" i="6"/>
  <c r="G99" i="6"/>
  <c r="H99" i="6" s="1"/>
  <c r="F99" i="6"/>
  <c r="I99" i="6" s="1"/>
  <c r="D99" i="6"/>
  <c r="E99" i="6" s="1"/>
  <c r="B98" i="6"/>
  <c r="G98" i="6"/>
  <c r="H98" i="6" s="1"/>
  <c r="F98" i="6"/>
  <c r="I98" i="6" s="1"/>
  <c r="D98" i="6"/>
  <c r="E98" i="6" s="1"/>
  <c r="D97" i="6"/>
  <c r="E97" i="6" s="1"/>
  <c r="B97" i="6"/>
  <c r="G97" i="6"/>
  <c r="H97" i="6" s="1"/>
  <c r="F97" i="6"/>
  <c r="I97" i="6" s="1"/>
  <c r="G96" i="6"/>
  <c r="H96" i="6" s="1"/>
  <c r="F96" i="6"/>
  <c r="I96" i="6" s="1"/>
  <c r="D96" i="6"/>
  <c r="E96" i="6" s="1"/>
  <c r="B96" i="6"/>
  <c r="D95" i="6"/>
  <c r="E95" i="6" s="1"/>
  <c r="B95" i="6"/>
  <c r="F95" i="6"/>
  <c r="I95" i="6" s="1"/>
  <c r="G95" i="6"/>
  <c r="H95" i="6" s="1"/>
  <c r="G94" i="6"/>
  <c r="H94" i="6" s="1"/>
  <c r="F94" i="6"/>
  <c r="I94" i="6" s="1"/>
  <c r="D94" i="6"/>
  <c r="E94" i="6" s="1"/>
  <c r="B94" i="6"/>
  <c r="F93" i="6"/>
  <c r="I93" i="6" s="1"/>
  <c r="G93" i="6"/>
  <c r="H93" i="6" s="1"/>
  <c r="D93" i="6"/>
  <c r="E93" i="6" s="1"/>
  <c r="B93" i="6"/>
  <c r="B92" i="6"/>
  <c r="D92" i="6"/>
  <c r="E92" i="6" s="1"/>
  <c r="F92" i="6"/>
  <c r="I92" i="6" s="1"/>
  <c r="G92" i="6"/>
  <c r="H92" i="6" s="1"/>
  <c r="G91" i="6"/>
  <c r="H91" i="6" s="1"/>
  <c r="D91" i="6"/>
  <c r="E91" i="6" s="1"/>
  <c r="B91" i="6"/>
  <c r="F91" i="6"/>
  <c r="I91" i="6" s="1"/>
  <c r="F90" i="6"/>
  <c r="I90" i="6" s="1"/>
  <c r="D90" i="6"/>
  <c r="E90" i="6" s="1"/>
  <c r="B90" i="6"/>
  <c r="G90" i="6"/>
  <c r="H90" i="6" s="1"/>
  <c r="G89" i="6"/>
  <c r="H89" i="6" s="1"/>
  <c r="D89" i="6"/>
  <c r="E89" i="6" s="1"/>
  <c r="F89" i="6"/>
  <c r="I89" i="6" s="1"/>
  <c r="B89" i="6"/>
  <c r="G88" i="6"/>
  <c r="H88" i="6" s="1"/>
  <c r="F88" i="6"/>
  <c r="I88" i="6" s="1"/>
  <c r="D88" i="6"/>
  <c r="E88" i="6" s="1"/>
  <c r="B88" i="6"/>
  <c r="B87" i="6"/>
  <c r="D87" i="6"/>
  <c r="E87" i="6" s="1"/>
  <c r="F87" i="6"/>
  <c r="I87" i="6" s="1"/>
  <c r="G87" i="6"/>
  <c r="H87" i="6" s="1"/>
  <c r="B86" i="6"/>
  <c r="D86" i="6"/>
  <c r="E86" i="6" s="1"/>
  <c r="G86" i="6"/>
  <c r="H86" i="6" s="1"/>
  <c r="F86" i="6"/>
  <c r="I86" i="6" s="1"/>
  <c r="G85" i="6"/>
  <c r="H85" i="6" s="1"/>
  <c r="F85" i="6"/>
  <c r="I85" i="6" s="1"/>
  <c r="D85" i="6"/>
  <c r="E85" i="6" s="1"/>
  <c r="B85" i="6"/>
  <c r="B84" i="6"/>
  <c r="D84" i="6"/>
  <c r="E84" i="6" s="1"/>
  <c r="F84" i="6"/>
  <c r="I84" i="6" s="1"/>
  <c r="G84" i="6"/>
  <c r="H84" i="6" s="1"/>
  <c r="G83" i="6"/>
  <c r="H83" i="6" s="1"/>
  <c r="D83" i="6"/>
  <c r="E83" i="6" s="1"/>
  <c r="F83" i="6"/>
  <c r="I83" i="6" s="1"/>
  <c r="B83" i="6"/>
  <c r="B82" i="6"/>
  <c r="G82" i="6"/>
  <c r="H82" i="6" s="1"/>
  <c r="F82" i="6"/>
  <c r="I82" i="6" s="1"/>
  <c r="D82" i="6"/>
  <c r="E82" i="6" s="1"/>
  <c r="B81" i="6"/>
  <c r="D81" i="6"/>
  <c r="E81" i="6" s="1"/>
  <c r="F81" i="6"/>
  <c r="I81" i="6" s="1"/>
  <c r="G81" i="6"/>
  <c r="H81" i="6" s="1"/>
  <c r="B80" i="6"/>
  <c r="D80" i="6"/>
  <c r="E80" i="6" s="1"/>
  <c r="F80" i="6"/>
  <c r="I80" i="6" s="1"/>
  <c r="G80" i="6"/>
  <c r="H80" i="6" s="1"/>
  <c r="F79" i="6"/>
  <c r="I79" i="6" s="1"/>
  <c r="G79" i="6"/>
  <c r="H79" i="6" s="1"/>
  <c r="B79" i="6"/>
  <c r="D79" i="6"/>
  <c r="E79" i="6" s="1"/>
  <c r="B78" i="6"/>
  <c r="F78" i="6"/>
  <c r="I78" i="6" s="1"/>
  <c r="G78" i="6"/>
  <c r="H78" i="6" s="1"/>
  <c r="D78" i="6"/>
  <c r="E78" i="6" s="1"/>
  <c r="B77" i="6"/>
  <c r="G77" i="6"/>
  <c r="H77" i="6" s="1"/>
  <c r="F77" i="6"/>
  <c r="I77" i="6" s="1"/>
  <c r="D77" i="6"/>
  <c r="E77" i="6" s="1"/>
  <c r="B76" i="6"/>
  <c r="G76" i="6"/>
  <c r="H76" i="6" s="1"/>
  <c r="F76" i="6"/>
  <c r="I76" i="6" s="1"/>
  <c r="D76" i="6"/>
  <c r="E76" i="6" s="1"/>
  <c r="G75" i="6"/>
  <c r="H75" i="6" s="1"/>
  <c r="F75" i="6"/>
  <c r="I75" i="6" s="1"/>
  <c r="D75" i="6"/>
  <c r="E75" i="6" s="1"/>
  <c r="B75" i="6"/>
  <c r="G74" i="6"/>
  <c r="H74" i="6" s="1"/>
  <c r="F74" i="6"/>
  <c r="I74" i="6" s="1"/>
  <c r="D74" i="6"/>
  <c r="E74" i="6" s="1"/>
  <c r="B74" i="6"/>
  <c r="B73" i="6"/>
  <c r="D73" i="6"/>
  <c r="E73" i="6" s="1"/>
  <c r="F73" i="6"/>
  <c r="I73" i="6" s="1"/>
  <c r="G73" i="6"/>
  <c r="H73" i="6" s="1"/>
  <c r="B72" i="6"/>
  <c r="D72" i="6"/>
  <c r="E72" i="6" s="1"/>
  <c r="F72" i="6"/>
  <c r="I72" i="6" s="1"/>
  <c r="G72" i="6"/>
  <c r="H72" i="6" s="1"/>
  <c r="B71" i="6"/>
  <c r="D71" i="6"/>
  <c r="E71" i="6" s="1"/>
  <c r="F71" i="6"/>
  <c r="I71" i="6" s="1"/>
  <c r="G71" i="6"/>
  <c r="H71" i="6" s="1"/>
  <c r="D70" i="6"/>
  <c r="E70" i="6" s="1"/>
  <c r="F70" i="6"/>
  <c r="I70" i="6" s="1"/>
  <c r="G70" i="6"/>
  <c r="H70" i="6" s="1"/>
  <c r="B70" i="6"/>
  <c r="B69" i="6"/>
  <c r="D69" i="6"/>
  <c r="E69" i="6" s="1"/>
  <c r="F69" i="6"/>
  <c r="I69" i="6" s="1"/>
  <c r="G69" i="6"/>
  <c r="H69" i="6" s="1"/>
  <c r="G68" i="6"/>
  <c r="H68" i="6" s="1"/>
  <c r="B68" i="6"/>
  <c r="D68" i="6"/>
  <c r="E68" i="6" s="1"/>
  <c r="F68" i="6"/>
  <c r="I68" i="6" s="1"/>
  <c r="F67" i="6"/>
  <c r="I67" i="6" s="1"/>
  <c r="G67" i="6"/>
  <c r="H67" i="6" s="1"/>
  <c r="D67" i="6"/>
  <c r="E67" i="6" s="1"/>
  <c r="B67" i="6"/>
  <c r="F66" i="6"/>
  <c r="I66" i="6" s="1"/>
  <c r="B66" i="6"/>
  <c r="D66" i="6"/>
  <c r="E66" i="6" s="1"/>
  <c r="G66" i="6"/>
  <c r="H66" i="6" s="1"/>
  <c r="B65" i="6"/>
  <c r="D65" i="6"/>
  <c r="E65" i="6" s="1"/>
  <c r="F65" i="6"/>
  <c r="I65" i="6" s="1"/>
  <c r="G65" i="6"/>
  <c r="H65" i="6" s="1"/>
  <c r="B64" i="6"/>
  <c r="D64" i="6"/>
  <c r="E64" i="6" s="1"/>
  <c r="F64" i="6"/>
  <c r="I64" i="6" s="1"/>
  <c r="G64" i="6"/>
  <c r="H64" i="6" s="1"/>
  <c r="D63" i="6"/>
  <c r="E63" i="6" s="1"/>
  <c r="B63" i="6"/>
  <c r="G63" i="6"/>
  <c r="H63" i="6" s="1"/>
  <c r="F63" i="6"/>
  <c r="I63" i="6" s="1"/>
  <c r="G62" i="6"/>
  <c r="H62" i="6" s="1"/>
  <c r="F62" i="6"/>
  <c r="I62" i="6" s="1"/>
  <c r="D62" i="6"/>
  <c r="E62" i="6" s="1"/>
  <c r="B62" i="6"/>
  <c r="G61" i="6"/>
  <c r="H61" i="6" s="1"/>
  <c r="F61" i="6"/>
  <c r="I61" i="6" s="1"/>
  <c r="B61" i="6"/>
  <c r="D61" i="6"/>
  <c r="E61" i="6" s="1"/>
  <c r="G60" i="6"/>
  <c r="H60" i="6" s="1"/>
  <c r="F60" i="6"/>
  <c r="I60" i="6" s="1"/>
  <c r="D60" i="6"/>
  <c r="E60" i="6" s="1"/>
  <c r="B60" i="6"/>
  <c r="G59" i="6"/>
  <c r="H59" i="6" s="1"/>
  <c r="F59" i="6"/>
  <c r="I59" i="6" s="1"/>
  <c r="D59" i="6"/>
  <c r="E59" i="6" s="1"/>
  <c r="B59" i="6"/>
  <c r="G58" i="6"/>
  <c r="H58" i="6" s="1"/>
  <c r="F58" i="6"/>
  <c r="I58" i="6" s="1"/>
  <c r="D58" i="6"/>
  <c r="E58" i="6" s="1"/>
  <c r="B58" i="6"/>
  <c r="G57" i="6"/>
  <c r="H57" i="6" s="1"/>
  <c r="F57" i="6"/>
  <c r="I57" i="6" s="1"/>
  <c r="D57" i="6"/>
  <c r="E57" i="6" s="1"/>
  <c r="B57" i="6"/>
  <c r="G56" i="6"/>
  <c r="H56" i="6" s="1"/>
  <c r="F56" i="6"/>
  <c r="I56" i="6" s="1"/>
  <c r="D56" i="6"/>
  <c r="E56" i="6" s="1"/>
  <c r="B56" i="6"/>
  <c r="G55" i="6"/>
  <c r="H55" i="6" s="1"/>
  <c r="F55" i="6"/>
  <c r="I55" i="6" s="1"/>
  <c r="D55" i="6"/>
  <c r="E55" i="6" s="1"/>
  <c r="B55" i="6"/>
  <c r="G54" i="6"/>
  <c r="H54" i="6" s="1"/>
  <c r="F54" i="6"/>
  <c r="I54" i="6" s="1"/>
  <c r="D54" i="6"/>
  <c r="E54" i="6" s="1"/>
  <c r="B54" i="6"/>
  <c r="G53" i="6"/>
  <c r="H53" i="6" s="1"/>
  <c r="F53" i="6"/>
  <c r="I53" i="6" s="1"/>
  <c r="D53" i="6"/>
  <c r="E53" i="6" s="1"/>
  <c r="B53" i="6"/>
  <c r="G52" i="6"/>
  <c r="H52" i="6" s="1"/>
  <c r="F52" i="6"/>
  <c r="I52" i="6" s="1"/>
  <c r="D52" i="6"/>
  <c r="E52" i="6" s="1"/>
  <c r="B52" i="6"/>
  <c r="D51" i="6"/>
  <c r="E51" i="6" s="1"/>
  <c r="F51" i="6"/>
  <c r="I51" i="6" s="1"/>
  <c r="G51" i="6"/>
  <c r="H51" i="6" s="1"/>
  <c r="B51" i="6"/>
  <c r="B50" i="6"/>
  <c r="D50" i="6"/>
  <c r="E50" i="6" s="1"/>
  <c r="F50" i="6"/>
  <c r="I50" i="6" s="1"/>
  <c r="G50" i="6"/>
  <c r="H50" i="6" s="1"/>
  <c r="G49" i="6"/>
  <c r="H49" i="6" s="1"/>
  <c r="B49" i="6"/>
  <c r="D49" i="6"/>
  <c r="E49" i="6" s="1"/>
  <c r="F49" i="6"/>
  <c r="I49" i="6" s="1"/>
  <c r="B48" i="6"/>
  <c r="D48" i="6"/>
  <c r="E48" i="6" s="1"/>
  <c r="F48" i="6"/>
  <c r="I48" i="6" s="1"/>
  <c r="G48" i="6"/>
  <c r="H48" i="6" s="1"/>
  <c r="G47" i="6"/>
  <c r="H47" i="6" s="1"/>
  <c r="B47" i="6"/>
  <c r="D47" i="6"/>
  <c r="E47" i="6" s="1"/>
  <c r="F47" i="6"/>
  <c r="I47" i="6" s="1"/>
  <c r="F46" i="6"/>
  <c r="I46" i="6" s="1"/>
  <c r="G46" i="6"/>
  <c r="H46" i="6" s="1"/>
  <c r="D46" i="6"/>
  <c r="E46" i="6" s="1"/>
  <c r="B46" i="6"/>
  <c r="B45" i="6"/>
  <c r="D45" i="6"/>
  <c r="E45" i="6" s="1"/>
  <c r="G45" i="6"/>
  <c r="H45" i="6" s="1"/>
  <c r="F45" i="6"/>
  <c r="I45" i="6" s="1"/>
  <c r="G44" i="6"/>
  <c r="H44" i="6" s="1"/>
  <c r="B44" i="6"/>
  <c r="F44" i="6"/>
  <c r="I44" i="6" s="1"/>
  <c r="D44" i="6"/>
  <c r="E44" i="6" s="1"/>
  <c r="F43" i="6"/>
  <c r="I43" i="6" s="1"/>
  <c r="G43" i="6"/>
  <c r="H43" i="6" s="1"/>
  <c r="D43" i="6"/>
  <c r="E43" i="6" s="1"/>
  <c r="B43" i="6"/>
  <c r="F42" i="6"/>
  <c r="I42" i="6" s="1"/>
  <c r="G42" i="6"/>
  <c r="H42" i="6" s="1"/>
  <c r="D42" i="6"/>
  <c r="E42" i="6" s="1"/>
  <c r="B42" i="6"/>
  <c r="G41" i="6"/>
  <c r="H41" i="6" s="1"/>
  <c r="F41" i="6"/>
  <c r="I41" i="6" s="1"/>
  <c r="D41" i="6"/>
  <c r="E41" i="6" s="1"/>
  <c r="B41" i="6"/>
  <c r="B40" i="6"/>
  <c r="G40" i="6"/>
  <c r="H40" i="6" s="1"/>
  <c r="F40" i="6"/>
  <c r="I40" i="6" s="1"/>
  <c r="D40" i="6"/>
  <c r="E40" i="6" s="1"/>
  <c r="B39" i="6"/>
  <c r="G39" i="6"/>
  <c r="H39" i="6" s="1"/>
  <c r="F39" i="6"/>
  <c r="I39" i="6" s="1"/>
  <c r="D39" i="6"/>
  <c r="E39" i="6" s="1"/>
  <c r="B38" i="6"/>
  <c r="F38" i="6"/>
  <c r="I38" i="6" s="1"/>
  <c r="G38" i="6"/>
  <c r="H38" i="6" s="1"/>
  <c r="D38" i="6"/>
  <c r="E38" i="6" s="1"/>
  <c r="B37" i="6"/>
  <c r="D37" i="6"/>
  <c r="E37" i="6" s="1"/>
  <c r="F37" i="6"/>
  <c r="I37" i="6" s="1"/>
  <c r="G37" i="6"/>
  <c r="H37" i="6" s="1"/>
  <c r="D36" i="6"/>
  <c r="E36" i="6" s="1"/>
  <c r="F36" i="6"/>
  <c r="I36" i="6" s="1"/>
  <c r="G36" i="6"/>
  <c r="H36" i="6" s="1"/>
  <c r="B36" i="6"/>
  <c r="G35" i="6"/>
  <c r="H35" i="6" s="1"/>
  <c r="B35" i="6"/>
  <c r="D35" i="6"/>
  <c r="E35" i="6" s="1"/>
  <c r="F35" i="6"/>
  <c r="I35" i="6" s="1"/>
  <c r="B34" i="6"/>
  <c r="F34" i="6"/>
  <c r="I34" i="6" s="1"/>
  <c r="G34" i="6"/>
  <c r="H34" i="6" s="1"/>
  <c r="D34" i="6"/>
  <c r="E34" i="6" s="1"/>
  <c r="G33" i="6"/>
  <c r="H33" i="6" s="1"/>
  <c r="F33" i="6"/>
  <c r="I33" i="6" s="1"/>
  <c r="D33" i="6"/>
  <c r="E33" i="6" s="1"/>
  <c r="B33" i="6"/>
  <c r="D32" i="6"/>
  <c r="E32" i="6" s="1"/>
  <c r="B32" i="6"/>
  <c r="G32" i="6"/>
  <c r="H32" i="6" s="1"/>
  <c r="F32" i="6"/>
  <c r="I32" i="6" s="1"/>
  <c r="B31" i="6"/>
  <c r="D31" i="6"/>
  <c r="E31" i="6" s="1"/>
  <c r="F31" i="6"/>
  <c r="I31" i="6" s="1"/>
  <c r="G31" i="6"/>
  <c r="H31" i="6" s="1"/>
  <c r="B30" i="6"/>
  <c r="D30" i="6"/>
  <c r="E30" i="6" s="1"/>
  <c r="F30" i="6"/>
  <c r="I30" i="6" s="1"/>
  <c r="G30" i="6"/>
  <c r="H30" i="6" s="1"/>
  <c r="B29" i="6"/>
  <c r="D29" i="6"/>
  <c r="E29" i="6" s="1"/>
  <c r="F29" i="6"/>
  <c r="I29" i="6" s="1"/>
  <c r="G29" i="6"/>
  <c r="H29" i="6" s="1"/>
  <c r="D28" i="6"/>
  <c r="E28" i="6" s="1"/>
  <c r="F28" i="6"/>
  <c r="I28" i="6" s="1"/>
  <c r="G28" i="6"/>
  <c r="H28" i="6" s="1"/>
  <c r="B28" i="6"/>
  <c r="G27" i="6"/>
  <c r="H27" i="6" s="1"/>
  <c r="F27" i="6"/>
  <c r="I27" i="6" s="1"/>
  <c r="D27" i="6"/>
  <c r="E27" i="6" s="1"/>
  <c r="B27" i="6"/>
  <c r="B26" i="6"/>
  <c r="F26" i="6"/>
  <c r="I26" i="6" s="1"/>
  <c r="G26" i="6"/>
  <c r="H26" i="6" s="1"/>
  <c r="D26" i="6"/>
  <c r="E26" i="6" s="1"/>
  <c r="F25" i="6"/>
  <c r="I25" i="6" s="1"/>
  <c r="D25" i="6"/>
  <c r="E25" i="6" s="1"/>
  <c r="B25" i="6"/>
  <c r="G25" i="6"/>
  <c r="H25" i="6" s="1"/>
  <c r="B24" i="6"/>
  <c r="D24" i="6"/>
  <c r="E24" i="6" s="1"/>
  <c r="F24" i="6"/>
  <c r="I24" i="6" s="1"/>
  <c r="G24" i="6"/>
  <c r="H24" i="6" s="1"/>
  <c r="C23" i="6"/>
  <c r="F23" i="6"/>
  <c r="I23" i="6" s="1"/>
  <c r="G23" i="6"/>
  <c r="H23" i="6" s="1"/>
  <c r="D23" i="6"/>
  <c r="E23" i="6" s="1"/>
  <c r="J23" i="6" s="1"/>
  <c r="C22" i="6"/>
  <c r="G22" i="6"/>
  <c r="H22" i="6" s="1"/>
  <c r="F22" i="6"/>
  <c r="I22" i="6" s="1"/>
  <c r="D22" i="6"/>
  <c r="E22" i="6" s="1"/>
  <c r="J22" i="6" s="1"/>
  <c r="B21" i="6"/>
  <c r="G21" i="6"/>
  <c r="H21" i="6" s="1"/>
  <c r="D21" i="6"/>
  <c r="E21" i="6" s="1"/>
  <c r="F21" i="6"/>
  <c r="I21" i="6" s="1"/>
  <c r="F20" i="6"/>
  <c r="I20" i="6" s="1"/>
  <c r="G20" i="6"/>
  <c r="H20" i="6" s="1"/>
  <c r="D20" i="6"/>
  <c r="E20" i="6" s="1"/>
  <c r="B20" i="6"/>
  <c r="C19" i="6"/>
  <c r="D19" i="6"/>
  <c r="E19" i="6" s="1"/>
  <c r="J19" i="6" s="1"/>
  <c r="G19" i="6"/>
  <c r="H19" i="6" s="1"/>
  <c r="F19" i="6"/>
  <c r="I19" i="6" s="1"/>
  <c r="G18" i="6"/>
  <c r="H18" i="6" s="1"/>
  <c r="D18" i="6"/>
  <c r="E18" i="6" s="1"/>
  <c r="B18" i="6"/>
  <c r="F18" i="6"/>
  <c r="I18" i="6" s="1"/>
  <c r="B17" i="6"/>
  <c r="F17" i="6"/>
  <c r="I17" i="6" s="1"/>
  <c r="D17" i="6"/>
  <c r="E17" i="6" s="1"/>
  <c r="G17" i="6"/>
  <c r="H17" i="6" s="1"/>
  <c r="C16" i="6"/>
  <c r="D16" i="6"/>
  <c r="E16" i="6" s="1"/>
  <c r="J16" i="6" s="1"/>
  <c r="G16" i="6"/>
  <c r="H16" i="6" s="1"/>
  <c r="F16" i="6"/>
  <c r="I16" i="6" s="1"/>
  <c r="C15" i="6"/>
  <c r="G15" i="6"/>
  <c r="H15" i="6" s="1"/>
  <c r="F15" i="6"/>
  <c r="I15" i="6" s="1"/>
  <c r="D15" i="6"/>
  <c r="E15" i="6" s="1"/>
  <c r="J15" i="6" s="1"/>
  <c r="F14" i="6"/>
  <c r="I14" i="6" s="1"/>
  <c r="D14" i="6"/>
  <c r="E14" i="6" s="1"/>
  <c r="B14" i="6"/>
  <c r="G14" i="6"/>
  <c r="H14" i="6" s="1"/>
  <c r="B13" i="6"/>
  <c r="F13" i="6"/>
  <c r="I13" i="6" s="1"/>
  <c r="G13" i="6"/>
  <c r="H13" i="6" s="1"/>
  <c r="D13" i="6"/>
  <c r="E13" i="6" s="1"/>
  <c r="G12" i="6"/>
  <c r="H12" i="6" s="1"/>
  <c r="B12" i="6"/>
  <c r="D12" i="6"/>
  <c r="E12" i="6" s="1"/>
  <c r="F12" i="6"/>
  <c r="I12" i="6" s="1"/>
  <c r="F11" i="6"/>
  <c r="I11" i="6" s="1"/>
  <c r="B11" i="6"/>
  <c r="G11" i="6"/>
  <c r="H11" i="6" s="1"/>
  <c r="D11" i="6"/>
  <c r="E11" i="6" s="1"/>
  <c r="G10" i="6"/>
  <c r="H10" i="6" s="1"/>
  <c r="D10" i="6"/>
  <c r="E10" i="6" s="1"/>
  <c r="F10" i="6"/>
  <c r="I10" i="6" s="1"/>
  <c r="B10" i="6"/>
  <c r="G9" i="6"/>
  <c r="H9" i="6" s="1"/>
  <c r="F9" i="6"/>
  <c r="I9" i="6" s="1"/>
  <c r="B9" i="6"/>
  <c r="D9" i="6"/>
  <c r="E9" i="6" s="1"/>
  <c r="F8" i="6"/>
  <c r="I8" i="6" s="1"/>
  <c r="B8" i="6"/>
  <c r="G8" i="6"/>
  <c r="H8" i="6" s="1"/>
  <c r="D8" i="6"/>
  <c r="E8" i="6" s="1"/>
  <c r="F7" i="6"/>
  <c r="I7" i="6" s="1"/>
  <c r="B7" i="6"/>
  <c r="G7" i="6"/>
  <c r="H7" i="6" s="1"/>
  <c r="D7" i="6"/>
  <c r="E7" i="6" s="1"/>
  <c r="G6" i="6"/>
  <c r="H6" i="6" s="1"/>
  <c r="B6" i="6"/>
  <c r="D6" i="6"/>
  <c r="E6" i="6" s="1"/>
  <c r="F6" i="6"/>
  <c r="I6" i="6" s="1"/>
  <c r="B5" i="6"/>
  <c r="F5" i="6"/>
  <c r="I5" i="6" s="1"/>
  <c r="G5" i="6"/>
  <c r="H5" i="6" s="1"/>
  <c r="D5" i="6"/>
  <c r="E5" i="6" s="1"/>
  <c r="G34" i="5"/>
  <c r="E34" i="5"/>
  <c r="B34" i="5"/>
  <c r="H34" i="5"/>
  <c r="D34" i="5"/>
  <c r="F34" i="5"/>
  <c r="C34" i="5"/>
  <c r="F33" i="5"/>
  <c r="C33" i="5"/>
  <c r="E33" i="5"/>
  <c r="G33" i="5"/>
  <c r="D33" i="5"/>
  <c r="H33" i="5"/>
  <c r="B33" i="5"/>
  <c r="C32" i="5"/>
  <c r="F32" i="5"/>
  <c r="H32" i="5"/>
  <c r="B32" i="5"/>
  <c r="D32" i="5"/>
  <c r="E32" i="5"/>
  <c r="G32" i="5"/>
  <c r="D31" i="5"/>
  <c r="B31" i="5"/>
  <c r="C31" i="5"/>
  <c r="E31" i="5"/>
  <c r="F31" i="5"/>
  <c r="G31" i="5"/>
  <c r="H31" i="5"/>
  <c r="B30" i="5"/>
  <c r="F30" i="5"/>
  <c r="G30" i="5"/>
  <c r="H30" i="5"/>
  <c r="D30" i="5"/>
  <c r="C30" i="5"/>
  <c r="E30" i="5"/>
  <c r="G29" i="5"/>
  <c r="H29" i="5"/>
  <c r="E29" i="5"/>
  <c r="D29" i="5"/>
  <c r="C29" i="5"/>
  <c r="B29" i="5"/>
  <c r="F29" i="5"/>
  <c r="C28" i="5"/>
  <c r="G28" i="5"/>
  <c r="B28" i="5"/>
  <c r="D28" i="5"/>
  <c r="E28" i="5"/>
  <c r="F28" i="5"/>
  <c r="H28" i="5"/>
  <c r="G27" i="5"/>
  <c r="H27" i="5"/>
  <c r="C27" i="5"/>
  <c r="D27" i="5"/>
  <c r="E27" i="5"/>
  <c r="F27" i="5"/>
  <c r="F26" i="5"/>
  <c r="G26" i="5"/>
  <c r="H26" i="5"/>
  <c r="E26" i="5"/>
  <c r="D26" i="5"/>
  <c r="B26" i="5"/>
  <c r="C26" i="5"/>
  <c r="H25" i="5"/>
  <c r="F25" i="5"/>
  <c r="B25" i="5"/>
  <c r="G25" i="5"/>
  <c r="E25" i="5"/>
  <c r="C25" i="5"/>
  <c r="D25" i="5"/>
  <c r="D24" i="5"/>
  <c r="F24" i="5"/>
  <c r="H24" i="5"/>
  <c r="E24" i="5"/>
  <c r="C24" i="5"/>
  <c r="G24" i="5"/>
  <c r="B24" i="5"/>
  <c r="E18" i="5"/>
  <c r="F18" i="5"/>
  <c r="H18" i="5"/>
  <c r="D18" i="5"/>
  <c r="G18" i="5"/>
  <c r="I18" i="5"/>
  <c r="D17" i="5"/>
  <c r="F17" i="5"/>
  <c r="F19" i="5" s="1"/>
  <c r="H17" i="5"/>
  <c r="G17" i="5"/>
  <c r="G19" i="5" s="1"/>
  <c r="E17" i="5"/>
  <c r="E19" i="5" s="1"/>
  <c r="I17" i="5"/>
  <c r="I19" i="5" s="1"/>
  <c r="D19" i="5"/>
  <c r="J16" i="5"/>
  <c r="B11" i="5"/>
  <c r="C5" i="5" s="1"/>
  <c r="D38" i="8"/>
  <c r="C38" i="8"/>
  <c r="E38" i="8" s="1"/>
  <c r="D37" i="8"/>
  <c r="C37" i="8"/>
  <c r="E37" i="8" s="1"/>
  <c r="D36" i="8"/>
  <c r="C36" i="8"/>
  <c r="E36" i="8" s="1"/>
  <c r="D35" i="8"/>
  <c r="C35" i="8"/>
  <c r="E35" i="8" s="1"/>
  <c r="C34" i="8"/>
  <c r="E34" i="8" s="1"/>
  <c r="D34" i="8"/>
  <c r="D33" i="8"/>
  <c r="C33" i="8"/>
  <c r="E33" i="8" s="1"/>
  <c r="D32" i="8"/>
  <c r="C32" i="8"/>
  <c r="E32" i="8" s="1"/>
  <c r="C31" i="8"/>
  <c r="E31" i="8" s="1"/>
  <c r="D31" i="8"/>
  <c r="D30" i="8"/>
  <c r="C30" i="8"/>
  <c r="E30" i="8" s="1"/>
  <c r="C29" i="8"/>
  <c r="E29" i="8" s="1"/>
  <c r="D29" i="8"/>
  <c r="D28" i="8"/>
  <c r="C28" i="8"/>
  <c r="E28" i="8" s="1"/>
  <c r="C11" i="8"/>
  <c r="C13" i="8"/>
  <c r="C14" i="8"/>
  <c r="C15" i="8"/>
  <c r="C16" i="8"/>
  <c r="C12" i="8"/>
  <c r="L6" i="8"/>
  <c r="C23" i="8"/>
  <c r="C22" i="8"/>
  <c r="B6" i="8"/>
  <c r="D6" i="8" s="1"/>
  <c r="H6" i="8"/>
  <c r="J6" i="8"/>
  <c r="F6" i="8"/>
  <c r="C21" i="8"/>
  <c r="C1363" i="6" l="1"/>
  <c r="J1363" i="6"/>
  <c r="C1362" i="6"/>
  <c r="J1362" i="6"/>
  <c r="C1361" i="6"/>
  <c r="J1361" i="6"/>
  <c r="C1360" i="6"/>
  <c r="J1360" i="6"/>
  <c r="C1358" i="6"/>
  <c r="J1358" i="6"/>
  <c r="J1357" i="6"/>
  <c r="C1357" i="6"/>
  <c r="C1356" i="6"/>
  <c r="J1356" i="6"/>
  <c r="C1355" i="6"/>
  <c r="J1355" i="6"/>
  <c r="J1354" i="6"/>
  <c r="C1354" i="6"/>
  <c r="C1353" i="6"/>
  <c r="J1353" i="6"/>
  <c r="C1352" i="6"/>
  <c r="J1352" i="6"/>
  <c r="J1351" i="6"/>
  <c r="C1351" i="6"/>
  <c r="C1350" i="6"/>
  <c r="J1350" i="6"/>
  <c r="J1349" i="6"/>
  <c r="C1349" i="6"/>
  <c r="J1348" i="6"/>
  <c r="C1348" i="6"/>
  <c r="C1347" i="6"/>
  <c r="J1347" i="6"/>
  <c r="J1346" i="6"/>
  <c r="C1346" i="6"/>
  <c r="C1345" i="6"/>
  <c r="J1345" i="6"/>
  <c r="C1344" i="6"/>
  <c r="J1344" i="6"/>
  <c r="C1343" i="6"/>
  <c r="J1343" i="6"/>
  <c r="J1342" i="6"/>
  <c r="C1342" i="6"/>
  <c r="C1341" i="6"/>
  <c r="J1341" i="6"/>
  <c r="J1340" i="6"/>
  <c r="C1340" i="6"/>
  <c r="C1339" i="6"/>
  <c r="J1339" i="6"/>
  <c r="C1338" i="6"/>
  <c r="J1338" i="6"/>
  <c r="J1337" i="6"/>
  <c r="C1337" i="6"/>
  <c r="J1336" i="6"/>
  <c r="C1336" i="6"/>
  <c r="C1335" i="6"/>
  <c r="J1335" i="6"/>
  <c r="J1334" i="6"/>
  <c r="C1334" i="6"/>
  <c r="C1333" i="6"/>
  <c r="J1333" i="6"/>
  <c r="J1332" i="6"/>
  <c r="C1332" i="6"/>
  <c r="J1331" i="6"/>
  <c r="C1331" i="6"/>
  <c r="J1330" i="6"/>
  <c r="C1330" i="6"/>
  <c r="C1329" i="6"/>
  <c r="J1329" i="6"/>
  <c r="C1328" i="6"/>
  <c r="J1328" i="6"/>
  <c r="C1327" i="6"/>
  <c r="J1327" i="6"/>
  <c r="C1326" i="6"/>
  <c r="J1326" i="6"/>
  <c r="C1325" i="6"/>
  <c r="J1325" i="6"/>
  <c r="J1324" i="6"/>
  <c r="C1324" i="6"/>
  <c r="J1323" i="6"/>
  <c r="C1323" i="6"/>
  <c r="C1322" i="6"/>
  <c r="J1322" i="6"/>
  <c r="C1321" i="6"/>
  <c r="J1321" i="6"/>
  <c r="C1320" i="6"/>
  <c r="J1320" i="6"/>
  <c r="C1319" i="6"/>
  <c r="J1319" i="6"/>
  <c r="C1318" i="6"/>
  <c r="J1318" i="6"/>
  <c r="C1317" i="6"/>
  <c r="J1317" i="6"/>
  <c r="C1316" i="6"/>
  <c r="J1316" i="6"/>
  <c r="C1315" i="6"/>
  <c r="J1315" i="6"/>
  <c r="C1314" i="6"/>
  <c r="J1314" i="6"/>
  <c r="J1313" i="6"/>
  <c r="C1313" i="6"/>
  <c r="C1312" i="6"/>
  <c r="J1312" i="6"/>
  <c r="J1311" i="6"/>
  <c r="C1311" i="6"/>
  <c r="C1310" i="6"/>
  <c r="J1310" i="6"/>
  <c r="C1308" i="6"/>
  <c r="J1308" i="6"/>
  <c r="J1307" i="6"/>
  <c r="C1307" i="6"/>
  <c r="J1305" i="6"/>
  <c r="C1305" i="6"/>
  <c r="C1304" i="6"/>
  <c r="J1304" i="6"/>
  <c r="J1303" i="6"/>
  <c r="C1303" i="6"/>
  <c r="J1302" i="6"/>
  <c r="C1302" i="6"/>
  <c r="C1301" i="6"/>
  <c r="J1301" i="6"/>
  <c r="C1299" i="6"/>
  <c r="J1299" i="6"/>
  <c r="J1298" i="6"/>
  <c r="C1298" i="6"/>
  <c r="J1297" i="6"/>
  <c r="C1297" i="6"/>
  <c r="J1296" i="6"/>
  <c r="C1296" i="6"/>
  <c r="J1295" i="6"/>
  <c r="C1295" i="6"/>
  <c r="C1294" i="6"/>
  <c r="J1294" i="6"/>
  <c r="C1293" i="6"/>
  <c r="J1293" i="6"/>
  <c r="C1292" i="6"/>
  <c r="J1292" i="6"/>
  <c r="J1291" i="6"/>
  <c r="C1291" i="6"/>
  <c r="C1290" i="6"/>
  <c r="J1290" i="6"/>
  <c r="C1289" i="6"/>
  <c r="J1289" i="6"/>
  <c r="J1288" i="6"/>
  <c r="C1288" i="6"/>
  <c r="C1287" i="6"/>
  <c r="J1287" i="6"/>
  <c r="C1286" i="6"/>
  <c r="J1286" i="6"/>
  <c r="J1285" i="6"/>
  <c r="C1285" i="6"/>
  <c r="C1284" i="6"/>
  <c r="J1284" i="6"/>
  <c r="C1282" i="6"/>
  <c r="J1282" i="6"/>
  <c r="C1281" i="6"/>
  <c r="J1281" i="6"/>
  <c r="C1280" i="6"/>
  <c r="J1280" i="6"/>
  <c r="J1279" i="6"/>
  <c r="C1279" i="6"/>
  <c r="C1278" i="6"/>
  <c r="J1278" i="6"/>
  <c r="C1277" i="6"/>
  <c r="J1277" i="6"/>
  <c r="C1276" i="6"/>
  <c r="J1276" i="6"/>
  <c r="J1275" i="6"/>
  <c r="C1275" i="6"/>
  <c r="J1274" i="6"/>
  <c r="C1274" i="6"/>
  <c r="C1273" i="6"/>
  <c r="J1273" i="6"/>
  <c r="J1271" i="6"/>
  <c r="C1271" i="6"/>
  <c r="C1270" i="6"/>
  <c r="J1270" i="6"/>
  <c r="J1269" i="6"/>
  <c r="C1269" i="6"/>
  <c r="C1268" i="6"/>
  <c r="J1268" i="6"/>
  <c r="C1267" i="6"/>
  <c r="J1267" i="6"/>
  <c r="J1266" i="6"/>
  <c r="C1266" i="6"/>
  <c r="J1265" i="6"/>
  <c r="C1265" i="6"/>
  <c r="J1264" i="6"/>
  <c r="C1264" i="6"/>
  <c r="C1263" i="6"/>
  <c r="J1263" i="6"/>
  <c r="C1262" i="6"/>
  <c r="J1262" i="6"/>
  <c r="J1261" i="6"/>
  <c r="C1261" i="6"/>
  <c r="J1260" i="6"/>
  <c r="C1260" i="6"/>
  <c r="C1259" i="6"/>
  <c r="J1259" i="6"/>
  <c r="C1258" i="6"/>
  <c r="J1258" i="6"/>
  <c r="C1257" i="6"/>
  <c r="J1257" i="6"/>
  <c r="J1256" i="6"/>
  <c r="C1256" i="6"/>
  <c r="C1255" i="6"/>
  <c r="J1255" i="6"/>
  <c r="J1254" i="6"/>
  <c r="C1254" i="6"/>
  <c r="C1252" i="6"/>
  <c r="J1252" i="6"/>
  <c r="C1250" i="6"/>
  <c r="J1250" i="6"/>
  <c r="C1249" i="6"/>
  <c r="J1249" i="6"/>
  <c r="C1248" i="6"/>
  <c r="J1248" i="6"/>
  <c r="J1247" i="6"/>
  <c r="C1247" i="6"/>
  <c r="C1246" i="6"/>
  <c r="J1246" i="6"/>
  <c r="C1245" i="6"/>
  <c r="J1245" i="6"/>
  <c r="J1244" i="6"/>
  <c r="C1244" i="6"/>
  <c r="J1243" i="6"/>
  <c r="C1243" i="6"/>
  <c r="J1242" i="6"/>
  <c r="C1242" i="6"/>
  <c r="C1240" i="6"/>
  <c r="J1240" i="6"/>
  <c r="J1239" i="6"/>
  <c r="C1239" i="6"/>
  <c r="C1238" i="6"/>
  <c r="J1238" i="6"/>
  <c r="C1237" i="6"/>
  <c r="J1237" i="6"/>
  <c r="C1236" i="6"/>
  <c r="J1236" i="6"/>
  <c r="J1235" i="6"/>
  <c r="C1235" i="6"/>
  <c r="J1234" i="6"/>
  <c r="C1234" i="6"/>
  <c r="C1233" i="6"/>
  <c r="J1233" i="6"/>
  <c r="C1232" i="6"/>
  <c r="J1232" i="6"/>
  <c r="J1231" i="6"/>
  <c r="C1231" i="6"/>
  <c r="C1230" i="6"/>
  <c r="J1230" i="6"/>
  <c r="J1229" i="6"/>
  <c r="C1229" i="6"/>
  <c r="C1227" i="6"/>
  <c r="J1227" i="6"/>
  <c r="C1226" i="6"/>
  <c r="J1226" i="6"/>
  <c r="J1224" i="6"/>
  <c r="C1224" i="6"/>
  <c r="J1223" i="6"/>
  <c r="C1223" i="6"/>
  <c r="C1222" i="6"/>
  <c r="J1222" i="6"/>
  <c r="C1221" i="6"/>
  <c r="J1221" i="6"/>
  <c r="C1220" i="6"/>
  <c r="J1220" i="6"/>
  <c r="C1219" i="6"/>
  <c r="J1219" i="6"/>
  <c r="C1217" i="6"/>
  <c r="J1217" i="6"/>
  <c r="C1216" i="6"/>
  <c r="J1216" i="6"/>
  <c r="C1215" i="6"/>
  <c r="J1215" i="6"/>
  <c r="J1214" i="6"/>
  <c r="C1214" i="6"/>
  <c r="C1213" i="6"/>
  <c r="J1213" i="6"/>
  <c r="C1212" i="6"/>
  <c r="J1212" i="6"/>
  <c r="C1211" i="6"/>
  <c r="J1211" i="6"/>
  <c r="J1210" i="6"/>
  <c r="C1210" i="6"/>
  <c r="J1209" i="6"/>
  <c r="C1209" i="6"/>
  <c r="C1208" i="6"/>
  <c r="J1208" i="6"/>
  <c r="C1207" i="6"/>
  <c r="J1207" i="6"/>
  <c r="J1206" i="6"/>
  <c r="C1206" i="6"/>
  <c r="J1205" i="6"/>
  <c r="C1205" i="6"/>
  <c r="C1204" i="6"/>
  <c r="J1204" i="6"/>
  <c r="C1203" i="6"/>
  <c r="J1203" i="6"/>
  <c r="C1202" i="6"/>
  <c r="J1202" i="6"/>
  <c r="C1201" i="6"/>
  <c r="J1201" i="6"/>
  <c r="C1200" i="6"/>
  <c r="J1200" i="6"/>
  <c r="C1199" i="6"/>
  <c r="J1199" i="6"/>
  <c r="C1198" i="6"/>
  <c r="J1198" i="6"/>
  <c r="C1197" i="6"/>
  <c r="J1197" i="6"/>
  <c r="C1196" i="6"/>
  <c r="J1196" i="6"/>
  <c r="C1195" i="6"/>
  <c r="J1195" i="6"/>
  <c r="C1194" i="6"/>
  <c r="J1194" i="6"/>
  <c r="C1193" i="6"/>
  <c r="J1193" i="6"/>
  <c r="C1192" i="6"/>
  <c r="J1192" i="6"/>
  <c r="C1191" i="6"/>
  <c r="J1191" i="6"/>
  <c r="C1190" i="6"/>
  <c r="J1190" i="6"/>
  <c r="C1189" i="6"/>
  <c r="J1189" i="6"/>
  <c r="C1188" i="6"/>
  <c r="J1188" i="6"/>
  <c r="C1187" i="6"/>
  <c r="J1187" i="6"/>
  <c r="C1186" i="6"/>
  <c r="J1186" i="6"/>
  <c r="C1185" i="6"/>
  <c r="J1185" i="6"/>
  <c r="C1184" i="6"/>
  <c r="J1184" i="6"/>
  <c r="C1183" i="6"/>
  <c r="J1183" i="6"/>
  <c r="C1182" i="6"/>
  <c r="J1182" i="6"/>
  <c r="C1181" i="6"/>
  <c r="J1181" i="6"/>
  <c r="C1180" i="6"/>
  <c r="J1180" i="6"/>
  <c r="C1179" i="6"/>
  <c r="J1179" i="6"/>
  <c r="C1178" i="6"/>
  <c r="J1178" i="6"/>
  <c r="C1177" i="6"/>
  <c r="J1177" i="6"/>
  <c r="C1176" i="6"/>
  <c r="J1176" i="6"/>
  <c r="C1175" i="6"/>
  <c r="J1175" i="6"/>
  <c r="C1174" i="6"/>
  <c r="J1174" i="6"/>
  <c r="C1173" i="6"/>
  <c r="J1173" i="6"/>
  <c r="C1172" i="6"/>
  <c r="J1172" i="6"/>
  <c r="C1171" i="6"/>
  <c r="J1171" i="6"/>
  <c r="C1170" i="6"/>
  <c r="J1170" i="6"/>
  <c r="C1169" i="6"/>
  <c r="J1169" i="6"/>
  <c r="C1168" i="6"/>
  <c r="J1168" i="6"/>
  <c r="C1167" i="6"/>
  <c r="J1167" i="6"/>
  <c r="C1166" i="6"/>
  <c r="J1166" i="6"/>
  <c r="C1165" i="6"/>
  <c r="J1165" i="6"/>
  <c r="C1164" i="6"/>
  <c r="J1164" i="6"/>
  <c r="C1163" i="6"/>
  <c r="J1163" i="6"/>
  <c r="C1162" i="6"/>
  <c r="J1162" i="6"/>
  <c r="C1161" i="6"/>
  <c r="J1161" i="6"/>
  <c r="C1160" i="6"/>
  <c r="J1160" i="6"/>
  <c r="C1159" i="6"/>
  <c r="J1159" i="6"/>
  <c r="C1158" i="6"/>
  <c r="J1158" i="6"/>
  <c r="C1157" i="6"/>
  <c r="J1157" i="6"/>
  <c r="C1156" i="6"/>
  <c r="J1156" i="6"/>
  <c r="C1155" i="6"/>
  <c r="J1155" i="6"/>
  <c r="C1154" i="6"/>
  <c r="J1154" i="6"/>
  <c r="C1153" i="6"/>
  <c r="J1153" i="6"/>
  <c r="C1152" i="6"/>
  <c r="J1152" i="6"/>
  <c r="C1151" i="6"/>
  <c r="J1151" i="6"/>
  <c r="C1150" i="6"/>
  <c r="J1150" i="6"/>
  <c r="C1149" i="6"/>
  <c r="J1149" i="6"/>
  <c r="C1148" i="6"/>
  <c r="J1148" i="6"/>
  <c r="C1147" i="6"/>
  <c r="J1147" i="6"/>
  <c r="C1146" i="6"/>
  <c r="J1146" i="6"/>
  <c r="C1145" i="6"/>
  <c r="J1145" i="6"/>
  <c r="C1144" i="6"/>
  <c r="J1144" i="6"/>
  <c r="C1143" i="6"/>
  <c r="J1143" i="6"/>
  <c r="C1142" i="6"/>
  <c r="J1142" i="6"/>
  <c r="C1141" i="6"/>
  <c r="J1141" i="6"/>
  <c r="C1140" i="6"/>
  <c r="J1140" i="6"/>
  <c r="C1139" i="6"/>
  <c r="J1139" i="6"/>
  <c r="C1138" i="6"/>
  <c r="J1138" i="6"/>
  <c r="C1137" i="6"/>
  <c r="J1137" i="6"/>
  <c r="C1136" i="6"/>
  <c r="J1136" i="6"/>
  <c r="C1135" i="6"/>
  <c r="J1135" i="6"/>
  <c r="C1134" i="6"/>
  <c r="J1134" i="6"/>
  <c r="C1133" i="6"/>
  <c r="J1133" i="6"/>
  <c r="C1132" i="6"/>
  <c r="J1132" i="6"/>
  <c r="C1131" i="6"/>
  <c r="J1131" i="6"/>
  <c r="C1130" i="6"/>
  <c r="J1130" i="6"/>
  <c r="C1129" i="6"/>
  <c r="J1129" i="6"/>
  <c r="C1128" i="6"/>
  <c r="J1128" i="6"/>
  <c r="C1127" i="6"/>
  <c r="J1127" i="6"/>
  <c r="C1126" i="6"/>
  <c r="J1126" i="6"/>
  <c r="C1125" i="6"/>
  <c r="J1125" i="6"/>
  <c r="C1124" i="6"/>
  <c r="J1124" i="6"/>
  <c r="C1123" i="6"/>
  <c r="J1123" i="6"/>
  <c r="C1122" i="6"/>
  <c r="J1122" i="6"/>
  <c r="C1121" i="6"/>
  <c r="J1121" i="6"/>
  <c r="C1120" i="6"/>
  <c r="J1120" i="6"/>
  <c r="C1119" i="6"/>
  <c r="J1119" i="6"/>
  <c r="C1118" i="6"/>
  <c r="J1118" i="6"/>
  <c r="C1117" i="6"/>
  <c r="J1117" i="6"/>
  <c r="C1116" i="6"/>
  <c r="J1116" i="6"/>
  <c r="C1115" i="6"/>
  <c r="J1115" i="6"/>
  <c r="C1114" i="6"/>
  <c r="J1114" i="6"/>
  <c r="C1113" i="6"/>
  <c r="J1113" i="6"/>
  <c r="C1112" i="6"/>
  <c r="J1112" i="6"/>
  <c r="C1111" i="6"/>
  <c r="J1111" i="6"/>
  <c r="C1110" i="6"/>
  <c r="J1110" i="6"/>
  <c r="C1109" i="6"/>
  <c r="J1109" i="6"/>
  <c r="C1108" i="6"/>
  <c r="J1108" i="6"/>
  <c r="C1107" i="6"/>
  <c r="J1107" i="6"/>
  <c r="C1106" i="6"/>
  <c r="J1106" i="6"/>
  <c r="C1105" i="6"/>
  <c r="J1105" i="6"/>
  <c r="C1104" i="6"/>
  <c r="J1104" i="6"/>
  <c r="C1103" i="6"/>
  <c r="J1103" i="6"/>
  <c r="C1102" i="6"/>
  <c r="J1102" i="6"/>
  <c r="C1101" i="6"/>
  <c r="J1101" i="6"/>
  <c r="C1100" i="6"/>
  <c r="J1100" i="6"/>
  <c r="C1099" i="6"/>
  <c r="J1099" i="6"/>
  <c r="C1098" i="6"/>
  <c r="J1098" i="6"/>
  <c r="C1097" i="6"/>
  <c r="J1097" i="6"/>
  <c r="C1096" i="6"/>
  <c r="J1096" i="6"/>
  <c r="C1095" i="6"/>
  <c r="J1095" i="6"/>
  <c r="C1094" i="6"/>
  <c r="J1094" i="6"/>
  <c r="C1093" i="6"/>
  <c r="J1093" i="6"/>
  <c r="C1092" i="6"/>
  <c r="J1092" i="6"/>
  <c r="C1091" i="6"/>
  <c r="J1091" i="6"/>
  <c r="C1090" i="6"/>
  <c r="J1090" i="6"/>
  <c r="C1089" i="6"/>
  <c r="J1089" i="6"/>
  <c r="C1088" i="6"/>
  <c r="J1088" i="6"/>
  <c r="C1087" i="6"/>
  <c r="J1087" i="6"/>
  <c r="C1086" i="6"/>
  <c r="J1086" i="6"/>
  <c r="C1085" i="6"/>
  <c r="J1085" i="6"/>
  <c r="C1084" i="6"/>
  <c r="J1084" i="6"/>
  <c r="C1083" i="6"/>
  <c r="J1083" i="6"/>
  <c r="C1082" i="6"/>
  <c r="J1082" i="6"/>
  <c r="C1081" i="6"/>
  <c r="J1081" i="6"/>
  <c r="C1080" i="6"/>
  <c r="J1080" i="6"/>
  <c r="C1079" i="6"/>
  <c r="J1079" i="6"/>
  <c r="C1078" i="6"/>
  <c r="J1078" i="6"/>
  <c r="C1077" i="6"/>
  <c r="J1077" i="6"/>
  <c r="C1076" i="6"/>
  <c r="J1076" i="6"/>
  <c r="C1075" i="6"/>
  <c r="J1075" i="6"/>
  <c r="C1074" i="6"/>
  <c r="J1074" i="6"/>
  <c r="C1073" i="6"/>
  <c r="J1073" i="6"/>
  <c r="C1072" i="6"/>
  <c r="J1072" i="6"/>
  <c r="C1071" i="6"/>
  <c r="J1071" i="6"/>
  <c r="C1070" i="6"/>
  <c r="J1070" i="6"/>
  <c r="C1069" i="6"/>
  <c r="J1069" i="6"/>
  <c r="C1068" i="6"/>
  <c r="J1068" i="6"/>
  <c r="C1067" i="6"/>
  <c r="J1067" i="6"/>
  <c r="C1066" i="6"/>
  <c r="J1066" i="6"/>
  <c r="C1065" i="6"/>
  <c r="J1065" i="6"/>
  <c r="C1064" i="6"/>
  <c r="J1064" i="6"/>
  <c r="C1063" i="6"/>
  <c r="J1063" i="6"/>
  <c r="C1062" i="6"/>
  <c r="J1062" i="6"/>
  <c r="C1061" i="6"/>
  <c r="J1061" i="6"/>
  <c r="C1060" i="6"/>
  <c r="J1060" i="6"/>
  <c r="C1059" i="6"/>
  <c r="J1059" i="6"/>
  <c r="C1058" i="6"/>
  <c r="J1058" i="6"/>
  <c r="C1057" i="6"/>
  <c r="J1057" i="6"/>
  <c r="C1056" i="6"/>
  <c r="J1056" i="6"/>
  <c r="C1055" i="6"/>
  <c r="J1055" i="6"/>
  <c r="C1054" i="6"/>
  <c r="J1054" i="6"/>
  <c r="C1053" i="6"/>
  <c r="J1053" i="6"/>
  <c r="C1052" i="6"/>
  <c r="J1052" i="6"/>
  <c r="C1051" i="6"/>
  <c r="J1051" i="6"/>
  <c r="C1050" i="6"/>
  <c r="J1050" i="6"/>
  <c r="C1049" i="6"/>
  <c r="J1049" i="6"/>
  <c r="C1048" i="6"/>
  <c r="J1048" i="6"/>
  <c r="C1047" i="6"/>
  <c r="J1047" i="6"/>
  <c r="C1046" i="6"/>
  <c r="J1046" i="6"/>
  <c r="C1045" i="6"/>
  <c r="J1045" i="6"/>
  <c r="C1044" i="6"/>
  <c r="J1044" i="6"/>
  <c r="C1043" i="6"/>
  <c r="J1043" i="6"/>
  <c r="C1042" i="6"/>
  <c r="J1042" i="6"/>
  <c r="C1041" i="6"/>
  <c r="J1041" i="6"/>
  <c r="C1040" i="6"/>
  <c r="J1040" i="6"/>
  <c r="C1039" i="6"/>
  <c r="J1039" i="6"/>
  <c r="C1038" i="6"/>
  <c r="J1038" i="6"/>
  <c r="C1037" i="6"/>
  <c r="J1037" i="6"/>
  <c r="C1036" i="6"/>
  <c r="J1036" i="6"/>
  <c r="C1035" i="6"/>
  <c r="J1035" i="6"/>
  <c r="C1034" i="6"/>
  <c r="J1034" i="6"/>
  <c r="C1033" i="6"/>
  <c r="J1033" i="6"/>
  <c r="C1032" i="6"/>
  <c r="J1032" i="6"/>
  <c r="C1031" i="6"/>
  <c r="J1031" i="6"/>
  <c r="C1030" i="6"/>
  <c r="J1030" i="6"/>
  <c r="C1029" i="6"/>
  <c r="J1029" i="6"/>
  <c r="C1028" i="6"/>
  <c r="J1028" i="6"/>
  <c r="C1027" i="6"/>
  <c r="J1027" i="6"/>
  <c r="C1026" i="6"/>
  <c r="J1026" i="6"/>
  <c r="C1025" i="6"/>
  <c r="J1025" i="6"/>
  <c r="C1024" i="6"/>
  <c r="J1024" i="6"/>
  <c r="C1023" i="6"/>
  <c r="J1023" i="6"/>
  <c r="C1022" i="6"/>
  <c r="J1022" i="6"/>
  <c r="C1021" i="6"/>
  <c r="J1021" i="6"/>
  <c r="C1020" i="6"/>
  <c r="J1020" i="6"/>
  <c r="C1019" i="6"/>
  <c r="J1019" i="6"/>
  <c r="C1018" i="6"/>
  <c r="J1018" i="6"/>
  <c r="C1017" i="6"/>
  <c r="J1017" i="6"/>
  <c r="C1016" i="6"/>
  <c r="J1016" i="6"/>
  <c r="C1015" i="6"/>
  <c r="J1015" i="6"/>
  <c r="C1014" i="6"/>
  <c r="J1014" i="6"/>
  <c r="C1013" i="6"/>
  <c r="J1013" i="6"/>
  <c r="C1012" i="6"/>
  <c r="J1012" i="6"/>
  <c r="C1011" i="6"/>
  <c r="J1011" i="6"/>
  <c r="C1010" i="6"/>
  <c r="J1010" i="6"/>
  <c r="C1009" i="6"/>
  <c r="J1009" i="6"/>
  <c r="C1008" i="6"/>
  <c r="J1008" i="6"/>
  <c r="C1007" i="6"/>
  <c r="J1007" i="6"/>
  <c r="C1006" i="6"/>
  <c r="J1006" i="6"/>
  <c r="C1005" i="6"/>
  <c r="J1005" i="6"/>
  <c r="C1004" i="6"/>
  <c r="J1004" i="6"/>
  <c r="C1003" i="6"/>
  <c r="J1003" i="6"/>
  <c r="C1002" i="6"/>
  <c r="J1002" i="6"/>
  <c r="C1001" i="6"/>
  <c r="J1001" i="6"/>
  <c r="C1000" i="6"/>
  <c r="J1000" i="6"/>
  <c r="C999" i="6"/>
  <c r="J999" i="6"/>
  <c r="C998" i="6"/>
  <c r="J998" i="6"/>
  <c r="C997" i="6"/>
  <c r="J997" i="6"/>
  <c r="C996" i="6"/>
  <c r="J996" i="6"/>
  <c r="C995" i="6"/>
  <c r="J995" i="6"/>
  <c r="C994" i="6"/>
  <c r="J994" i="6"/>
  <c r="C993" i="6"/>
  <c r="J993" i="6"/>
  <c r="C992" i="6"/>
  <c r="J992" i="6"/>
  <c r="C991" i="6"/>
  <c r="J991" i="6"/>
  <c r="C990" i="6"/>
  <c r="J990" i="6"/>
  <c r="C989" i="6"/>
  <c r="J989" i="6"/>
  <c r="C988" i="6"/>
  <c r="J988" i="6"/>
  <c r="C987" i="6"/>
  <c r="J987" i="6"/>
  <c r="C986" i="6"/>
  <c r="J986" i="6"/>
  <c r="C985" i="6"/>
  <c r="J985" i="6"/>
  <c r="C984" i="6"/>
  <c r="J984" i="6"/>
  <c r="C983" i="6"/>
  <c r="J983" i="6"/>
  <c r="C982" i="6"/>
  <c r="J982" i="6"/>
  <c r="C981" i="6"/>
  <c r="J981" i="6"/>
  <c r="C980" i="6"/>
  <c r="J980" i="6"/>
  <c r="C979" i="6"/>
  <c r="J979" i="6"/>
  <c r="C978" i="6"/>
  <c r="J978" i="6"/>
  <c r="C977" i="6"/>
  <c r="J977" i="6"/>
  <c r="C976" i="6"/>
  <c r="J976" i="6"/>
  <c r="C975" i="6"/>
  <c r="J975" i="6"/>
  <c r="C974" i="6"/>
  <c r="J974" i="6"/>
  <c r="C973" i="6"/>
  <c r="J973" i="6"/>
  <c r="C972" i="6"/>
  <c r="J972" i="6"/>
  <c r="C971" i="6"/>
  <c r="J971" i="6"/>
  <c r="C970" i="6"/>
  <c r="J970" i="6"/>
  <c r="C969" i="6"/>
  <c r="J969" i="6"/>
  <c r="C968" i="6"/>
  <c r="J968" i="6"/>
  <c r="C967" i="6"/>
  <c r="J967" i="6"/>
  <c r="C966" i="6"/>
  <c r="J966" i="6"/>
  <c r="C965" i="6"/>
  <c r="J965" i="6"/>
  <c r="C964" i="6"/>
  <c r="J964" i="6"/>
  <c r="C963" i="6"/>
  <c r="J963" i="6"/>
  <c r="C962" i="6"/>
  <c r="J962" i="6"/>
  <c r="C961" i="6"/>
  <c r="J961" i="6"/>
  <c r="C960" i="6"/>
  <c r="J960" i="6"/>
  <c r="C959" i="6"/>
  <c r="J959" i="6"/>
  <c r="C958" i="6"/>
  <c r="J958" i="6"/>
  <c r="C957" i="6"/>
  <c r="J957" i="6"/>
  <c r="C956" i="6"/>
  <c r="J956" i="6"/>
  <c r="C955" i="6"/>
  <c r="J955" i="6"/>
  <c r="C954" i="6"/>
  <c r="J954" i="6"/>
  <c r="C953" i="6"/>
  <c r="J953" i="6"/>
  <c r="C952" i="6"/>
  <c r="J952" i="6"/>
  <c r="C951" i="6"/>
  <c r="J951" i="6"/>
  <c r="C950" i="6"/>
  <c r="J950" i="6"/>
  <c r="C949" i="6"/>
  <c r="J949" i="6"/>
  <c r="C948" i="6"/>
  <c r="J948" i="6"/>
  <c r="C947" i="6"/>
  <c r="J947" i="6"/>
  <c r="C946" i="6"/>
  <c r="J946" i="6"/>
  <c r="C945" i="6"/>
  <c r="J945" i="6"/>
  <c r="C944" i="6"/>
  <c r="J944" i="6"/>
  <c r="C943" i="6"/>
  <c r="J943" i="6"/>
  <c r="C942" i="6"/>
  <c r="J942" i="6"/>
  <c r="C941" i="6"/>
  <c r="J941" i="6"/>
  <c r="C940" i="6"/>
  <c r="J940" i="6"/>
  <c r="C939" i="6"/>
  <c r="J939" i="6"/>
  <c r="C938" i="6"/>
  <c r="J938" i="6"/>
  <c r="C937" i="6"/>
  <c r="J937" i="6"/>
  <c r="C936" i="6"/>
  <c r="J936" i="6"/>
  <c r="C935" i="6"/>
  <c r="J935" i="6"/>
  <c r="C934" i="6"/>
  <c r="J934" i="6"/>
  <c r="C933" i="6"/>
  <c r="J933" i="6"/>
  <c r="C932" i="6"/>
  <c r="J932" i="6"/>
  <c r="C931" i="6"/>
  <c r="J931" i="6"/>
  <c r="C930" i="6"/>
  <c r="J930" i="6"/>
  <c r="C929" i="6"/>
  <c r="J929" i="6"/>
  <c r="C928" i="6"/>
  <c r="J928" i="6"/>
  <c r="C927" i="6"/>
  <c r="J927" i="6"/>
  <c r="C926" i="6"/>
  <c r="J926" i="6"/>
  <c r="C925" i="6"/>
  <c r="J925" i="6"/>
  <c r="C924" i="6"/>
  <c r="J924" i="6"/>
  <c r="C923" i="6"/>
  <c r="J923" i="6"/>
  <c r="C922" i="6"/>
  <c r="J922" i="6"/>
  <c r="C921" i="6"/>
  <c r="J921" i="6"/>
  <c r="C920" i="6"/>
  <c r="J920" i="6"/>
  <c r="C919" i="6"/>
  <c r="J919" i="6"/>
  <c r="C918" i="6"/>
  <c r="J918" i="6"/>
  <c r="C917" i="6"/>
  <c r="J917" i="6"/>
  <c r="C916" i="6"/>
  <c r="J916" i="6"/>
  <c r="C915" i="6"/>
  <c r="J915" i="6"/>
  <c r="C914" i="6"/>
  <c r="J914" i="6"/>
  <c r="C913" i="6"/>
  <c r="J913" i="6"/>
  <c r="C912" i="6"/>
  <c r="J912" i="6"/>
  <c r="C911" i="6"/>
  <c r="J911" i="6"/>
  <c r="C910" i="6"/>
  <c r="J910" i="6"/>
  <c r="C909" i="6"/>
  <c r="J909" i="6"/>
  <c r="C908" i="6"/>
  <c r="J908" i="6"/>
  <c r="C907" i="6"/>
  <c r="J907" i="6"/>
  <c r="C906" i="6"/>
  <c r="J906" i="6"/>
  <c r="C905" i="6"/>
  <c r="J905" i="6"/>
  <c r="C904" i="6"/>
  <c r="J904" i="6"/>
  <c r="C903" i="6"/>
  <c r="J903" i="6"/>
  <c r="C902" i="6"/>
  <c r="J902" i="6"/>
  <c r="C901" i="6"/>
  <c r="J901" i="6"/>
  <c r="C900" i="6"/>
  <c r="J900" i="6"/>
  <c r="C899" i="6"/>
  <c r="J899" i="6"/>
  <c r="C898" i="6"/>
  <c r="J898" i="6"/>
  <c r="C897" i="6"/>
  <c r="J897" i="6"/>
  <c r="C896" i="6"/>
  <c r="J896" i="6"/>
  <c r="C895" i="6"/>
  <c r="J895" i="6"/>
  <c r="C894" i="6"/>
  <c r="J894" i="6"/>
  <c r="C893" i="6"/>
  <c r="J893" i="6"/>
  <c r="C892" i="6"/>
  <c r="J892" i="6"/>
  <c r="C891" i="6"/>
  <c r="J891" i="6"/>
  <c r="C890" i="6"/>
  <c r="J890" i="6"/>
  <c r="C889" i="6"/>
  <c r="J889" i="6"/>
  <c r="C888" i="6"/>
  <c r="J888" i="6"/>
  <c r="C887" i="6"/>
  <c r="J887" i="6"/>
  <c r="C886" i="6"/>
  <c r="J886" i="6"/>
  <c r="C885" i="6"/>
  <c r="J885" i="6"/>
  <c r="C884" i="6"/>
  <c r="J884" i="6"/>
  <c r="C883" i="6"/>
  <c r="J883" i="6"/>
  <c r="C882" i="6"/>
  <c r="J882" i="6"/>
  <c r="C881" i="6"/>
  <c r="J881" i="6"/>
  <c r="C880" i="6"/>
  <c r="J880" i="6"/>
  <c r="C879" i="6"/>
  <c r="J879" i="6"/>
  <c r="C878" i="6"/>
  <c r="J878" i="6"/>
  <c r="C877" i="6"/>
  <c r="J877" i="6"/>
  <c r="C876" i="6"/>
  <c r="J876" i="6"/>
  <c r="C875" i="6"/>
  <c r="J875" i="6"/>
  <c r="C874" i="6"/>
  <c r="J874" i="6"/>
  <c r="C873" i="6"/>
  <c r="J873" i="6"/>
  <c r="C872" i="6"/>
  <c r="J872" i="6"/>
  <c r="C871" i="6"/>
  <c r="J871" i="6"/>
  <c r="C870" i="6"/>
  <c r="J870" i="6"/>
  <c r="C869" i="6"/>
  <c r="J869" i="6"/>
  <c r="C868" i="6"/>
  <c r="J868" i="6"/>
  <c r="C867" i="6"/>
  <c r="J867" i="6"/>
  <c r="C866" i="6"/>
  <c r="J866" i="6"/>
  <c r="C865" i="6"/>
  <c r="J865" i="6"/>
  <c r="C864" i="6"/>
  <c r="J864" i="6"/>
  <c r="C863" i="6"/>
  <c r="J863" i="6"/>
  <c r="C862" i="6"/>
  <c r="J862" i="6"/>
  <c r="C861" i="6"/>
  <c r="J861" i="6"/>
  <c r="C860" i="6"/>
  <c r="J860" i="6"/>
  <c r="C859" i="6"/>
  <c r="J859" i="6"/>
  <c r="C858" i="6"/>
  <c r="J858" i="6"/>
  <c r="C857" i="6"/>
  <c r="J857" i="6"/>
  <c r="C856" i="6"/>
  <c r="J856" i="6"/>
  <c r="C855" i="6"/>
  <c r="J855" i="6"/>
  <c r="C854" i="6"/>
  <c r="J854" i="6"/>
  <c r="C853" i="6"/>
  <c r="J853" i="6"/>
  <c r="C852" i="6"/>
  <c r="J852" i="6"/>
  <c r="C851" i="6"/>
  <c r="J851" i="6"/>
  <c r="C850" i="6"/>
  <c r="J850" i="6"/>
  <c r="C849" i="6"/>
  <c r="J849" i="6"/>
  <c r="C848" i="6"/>
  <c r="J848" i="6"/>
  <c r="C847" i="6"/>
  <c r="J847" i="6"/>
  <c r="C846" i="6"/>
  <c r="J846" i="6"/>
  <c r="C845" i="6"/>
  <c r="J845" i="6"/>
  <c r="C844" i="6"/>
  <c r="J844" i="6"/>
  <c r="C843" i="6"/>
  <c r="J843" i="6"/>
  <c r="C842" i="6"/>
  <c r="J842" i="6"/>
  <c r="C841" i="6"/>
  <c r="J841" i="6"/>
  <c r="C840" i="6"/>
  <c r="J840" i="6"/>
  <c r="C839" i="6"/>
  <c r="J839" i="6"/>
  <c r="C838" i="6"/>
  <c r="J838" i="6"/>
  <c r="C837" i="6"/>
  <c r="J837" i="6"/>
  <c r="C836" i="6"/>
  <c r="J836" i="6"/>
  <c r="C835" i="6"/>
  <c r="J835" i="6"/>
  <c r="C834" i="6"/>
  <c r="J834" i="6"/>
  <c r="C833" i="6"/>
  <c r="J833" i="6"/>
  <c r="C832" i="6"/>
  <c r="J832" i="6"/>
  <c r="C831" i="6"/>
  <c r="J831" i="6"/>
  <c r="C830" i="6"/>
  <c r="J830" i="6"/>
  <c r="C829" i="6"/>
  <c r="J829" i="6"/>
  <c r="C828" i="6"/>
  <c r="J828" i="6"/>
  <c r="C827" i="6"/>
  <c r="J827" i="6"/>
  <c r="C826" i="6"/>
  <c r="J826" i="6"/>
  <c r="C825" i="6"/>
  <c r="J825" i="6"/>
  <c r="C824" i="6"/>
  <c r="J824" i="6"/>
  <c r="C823" i="6"/>
  <c r="J823" i="6"/>
  <c r="C822" i="6"/>
  <c r="J822" i="6"/>
  <c r="C821" i="6"/>
  <c r="J821" i="6"/>
  <c r="C820" i="6"/>
  <c r="J820" i="6"/>
  <c r="C819" i="6"/>
  <c r="J819" i="6"/>
  <c r="C818" i="6"/>
  <c r="J818" i="6"/>
  <c r="C817" i="6"/>
  <c r="J817" i="6"/>
  <c r="C816" i="6"/>
  <c r="J816" i="6"/>
  <c r="C815" i="6"/>
  <c r="J815" i="6"/>
  <c r="C814" i="6"/>
  <c r="J814" i="6"/>
  <c r="C813" i="6"/>
  <c r="J813" i="6"/>
  <c r="C812" i="6"/>
  <c r="J812" i="6"/>
  <c r="C811" i="6"/>
  <c r="J811" i="6"/>
  <c r="C810" i="6"/>
  <c r="J810" i="6"/>
  <c r="C809" i="6"/>
  <c r="J809" i="6"/>
  <c r="C808" i="6"/>
  <c r="J808" i="6"/>
  <c r="C807" i="6"/>
  <c r="J807" i="6"/>
  <c r="C806" i="6"/>
  <c r="J806" i="6"/>
  <c r="C805" i="6"/>
  <c r="J805" i="6"/>
  <c r="C804" i="6"/>
  <c r="J804" i="6"/>
  <c r="C803" i="6"/>
  <c r="J803" i="6"/>
  <c r="C802" i="6"/>
  <c r="J802" i="6"/>
  <c r="C801" i="6"/>
  <c r="J801" i="6"/>
  <c r="C800" i="6"/>
  <c r="J800" i="6"/>
  <c r="C799" i="6"/>
  <c r="J799" i="6"/>
  <c r="C798" i="6"/>
  <c r="J798" i="6"/>
  <c r="C797" i="6"/>
  <c r="J797" i="6"/>
  <c r="C796" i="6"/>
  <c r="J796" i="6"/>
  <c r="C795" i="6"/>
  <c r="J795" i="6"/>
  <c r="C794" i="6"/>
  <c r="J794" i="6"/>
  <c r="C793" i="6"/>
  <c r="J793" i="6"/>
  <c r="C792" i="6"/>
  <c r="J792" i="6"/>
  <c r="C791" i="6"/>
  <c r="J791" i="6"/>
  <c r="C790" i="6"/>
  <c r="J790" i="6"/>
  <c r="C789" i="6"/>
  <c r="J789" i="6"/>
  <c r="C788" i="6"/>
  <c r="J788" i="6"/>
  <c r="C787" i="6"/>
  <c r="J787" i="6"/>
  <c r="C786" i="6"/>
  <c r="J786" i="6"/>
  <c r="C785" i="6"/>
  <c r="J785" i="6"/>
  <c r="C784" i="6"/>
  <c r="J784" i="6"/>
  <c r="C783" i="6"/>
  <c r="J783" i="6"/>
  <c r="C782" i="6"/>
  <c r="J782" i="6"/>
  <c r="C781" i="6"/>
  <c r="J781" i="6"/>
  <c r="C780" i="6"/>
  <c r="J780" i="6"/>
  <c r="C779" i="6"/>
  <c r="J779" i="6"/>
  <c r="C778" i="6"/>
  <c r="J778" i="6"/>
  <c r="C777" i="6"/>
  <c r="J777" i="6"/>
  <c r="C776" i="6"/>
  <c r="J776" i="6"/>
  <c r="C775" i="6"/>
  <c r="J775" i="6"/>
  <c r="C774" i="6"/>
  <c r="J774" i="6"/>
  <c r="C773" i="6"/>
  <c r="J773" i="6"/>
  <c r="C772" i="6"/>
  <c r="J772" i="6"/>
  <c r="C771" i="6"/>
  <c r="J771" i="6"/>
  <c r="C770" i="6"/>
  <c r="J770" i="6"/>
  <c r="C769" i="6"/>
  <c r="J769" i="6"/>
  <c r="C768" i="6"/>
  <c r="J768" i="6"/>
  <c r="C767" i="6"/>
  <c r="J767" i="6"/>
  <c r="C766" i="6"/>
  <c r="J766" i="6"/>
  <c r="C765" i="6"/>
  <c r="J765" i="6"/>
  <c r="C764" i="6"/>
  <c r="J764" i="6"/>
  <c r="C763" i="6"/>
  <c r="J763" i="6"/>
  <c r="C762" i="6"/>
  <c r="J762" i="6"/>
  <c r="C761" i="6"/>
  <c r="J761" i="6"/>
  <c r="C760" i="6"/>
  <c r="J760" i="6"/>
  <c r="C759" i="6"/>
  <c r="J759" i="6"/>
  <c r="C758" i="6"/>
  <c r="J758" i="6"/>
  <c r="C757" i="6"/>
  <c r="J757" i="6"/>
  <c r="C756" i="6"/>
  <c r="J756" i="6"/>
  <c r="C755" i="6"/>
  <c r="J755" i="6"/>
  <c r="C754" i="6"/>
  <c r="J754" i="6"/>
  <c r="C753" i="6"/>
  <c r="J753" i="6"/>
  <c r="C752" i="6"/>
  <c r="J752" i="6"/>
  <c r="C751" i="6"/>
  <c r="J751" i="6"/>
  <c r="C750" i="6"/>
  <c r="J750" i="6"/>
  <c r="C749" i="6"/>
  <c r="J749" i="6"/>
  <c r="C748" i="6"/>
  <c r="J748" i="6"/>
  <c r="C747" i="6"/>
  <c r="J747" i="6"/>
  <c r="C746" i="6"/>
  <c r="J746" i="6"/>
  <c r="C745" i="6"/>
  <c r="J745" i="6"/>
  <c r="C744" i="6"/>
  <c r="J744" i="6"/>
  <c r="C743" i="6"/>
  <c r="J743" i="6"/>
  <c r="C742" i="6"/>
  <c r="J742" i="6"/>
  <c r="C741" i="6"/>
  <c r="J741" i="6"/>
  <c r="C740" i="6"/>
  <c r="J740" i="6"/>
  <c r="C739" i="6"/>
  <c r="J739" i="6"/>
  <c r="C738" i="6"/>
  <c r="J738" i="6"/>
  <c r="C737" i="6"/>
  <c r="J737" i="6"/>
  <c r="C736" i="6"/>
  <c r="J736" i="6"/>
  <c r="C735" i="6"/>
  <c r="J735" i="6"/>
  <c r="C734" i="6"/>
  <c r="J734" i="6"/>
  <c r="C733" i="6"/>
  <c r="J733" i="6"/>
  <c r="C732" i="6"/>
  <c r="J732" i="6"/>
  <c r="C731" i="6"/>
  <c r="J731" i="6"/>
  <c r="C730" i="6"/>
  <c r="J730" i="6"/>
  <c r="C729" i="6"/>
  <c r="J729" i="6"/>
  <c r="C728" i="6"/>
  <c r="J728" i="6"/>
  <c r="C727" i="6"/>
  <c r="J727" i="6"/>
  <c r="C726" i="6"/>
  <c r="J726" i="6"/>
  <c r="C725" i="6"/>
  <c r="J725" i="6"/>
  <c r="C724" i="6"/>
  <c r="J724" i="6"/>
  <c r="C723" i="6"/>
  <c r="J723" i="6"/>
  <c r="C722" i="6"/>
  <c r="J722" i="6"/>
  <c r="C721" i="6"/>
  <c r="J721" i="6"/>
  <c r="C720" i="6"/>
  <c r="J720" i="6"/>
  <c r="C719" i="6"/>
  <c r="J719" i="6"/>
  <c r="C718" i="6"/>
  <c r="J718" i="6"/>
  <c r="C717" i="6"/>
  <c r="J717" i="6"/>
  <c r="C716" i="6"/>
  <c r="J716" i="6"/>
  <c r="C715" i="6"/>
  <c r="J715" i="6"/>
  <c r="C714" i="6"/>
  <c r="J714" i="6"/>
  <c r="C713" i="6"/>
  <c r="J713" i="6"/>
  <c r="C712" i="6"/>
  <c r="J712" i="6"/>
  <c r="C711" i="6"/>
  <c r="J711" i="6"/>
  <c r="C710" i="6"/>
  <c r="J710" i="6"/>
  <c r="C709" i="6"/>
  <c r="J709" i="6"/>
  <c r="C708" i="6"/>
  <c r="J708" i="6"/>
  <c r="C707" i="6"/>
  <c r="J707" i="6"/>
  <c r="C706" i="6"/>
  <c r="J706" i="6"/>
  <c r="C705" i="6"/>
  <c r="J705" i="6"/>
  <c r="C704" i="6"/>
  <c r="J704" i="6"/>
  <c r="C703" i="6"/>
  <c r="J703" i="6"/>
  <c r="C702" i="6"/>
  <c r="J702" i="6"/>
  <c r="C701" i="6"/>
  <c r="J701" i="6"/>
  <c r="C700" i="6"/>
  <c r="J700" i="6"/>
  <c r="C699" i="6"/>
  <c r="J699" i="6"/>
  <c r="C698" i="6"/>
  <c r="J698" i="6"/>
  <c r="C697" i="6"/>
  <c r="J697" i="6"/>
  <c r="C696" i="6"/>
  <c r="J696" i="6"/>
  <c r="C695" i="6"/>
  <c r="J695" i="6"/>
  <c r="C694" i="6"/>
  <c r="J694" i="6"/>
  <c r="C693" i="6"/>
  <c r="J693" i="6"/>
  <c r="C692" i="6"/>
  <c r="J692" i="6"/>
  <c r="C691" i="6"/>
  <c r="J691" i="6"/>
  <c r="C690" i="6"/>
  <c r="J690" i="6"/>
  <c r="C689" i="6"/>
  <c r="J689" i="6"/>
  <c r="C688" i="6"/>
  <c r="J688" i="6"/>
  <c r="C687" i="6"/>
  <c r="J687" i="6"/>
  <c r="C686" i="6"/>
  <c r="J686" i="6"/>
  <c r="C685" i="6"/>
  <c r="J685" i="6"/>
  <c r="C684" i="6"/>
  <c r="J684" i="6"/>
  <c r="C683" i="6"/>
  <c r="J683" i="6"/>
  <c r="C682" i="6"/>
  <c r="J682" i="6"/>
  <c r="C681" i="6"/>
  <c r="J681" i="6"/>
  <c r="C680" i="6"/>
  <c r="J680" i="6"/>
  <c r="C679" i="6"/>
  <c r="J679" i="6"/>
  <c r="C678" i="6"/>
  <c r="J678" i="6"/>
  <c r="C677" i="6"/>
  <c r="J677" i="6"/>
  <c r="C676" i="6"/>
  <c r="J676" i="6"/>
  <c r="C675" i="6"/>
  <c r="J675" i="6"/>
  <c r="C674" i="6"/>
  <c r="J674" i="6"/>
  <c r="C673" i="6"/>
  <c r="J673" i="6"/>
  <c r="C672" i="6"/>
  <c r="J672" i="6"/>
  <c r="C671" i="6"/>
  <c r="J671" i="6"/>
  <c r="C670" i="6"/>
  <c r="J670" i="6"/>
  <c r="C669" i="6"/>
  <c r="J669" i="6"/>
  <c r="C668" i="6"/>
  <c r="J668" i="6"/>
  <c r="C667" i="6"/>
  <c r="J667" i="6"/>
  <c r="C666" i="6"/>
  <c r="J666" i="6"/>
  <c r="C665" i="6"/>
  <c r="J665" i="6"/>
  <c r="C664" i="6"/>
  <c r="J664" i="6"/>
  <c r="C663" i="6"/>
  <c r="J663" i="6"/>
  <c r="C662" i="6"/>
  <c r="J662" i="6"/>
  <c r="C661" i="6"/>
  <c r="J661" i="6"/>
  <c r="C660" i="6"/>
  <c r="J660" i="6"/>
  <c r="C659" i="6"/>
  <c r="J659" i="6"/>
  <c r="C658" i="6"/>
  <c r="J658" i="6"/>
  <c r="C657" i="6"/>
  <c r="J657" i="6"/>
  <c r="C656" i="6"/>
  <c r="J656" i="6"/>
  <c r="C655" i="6"/>
  <c r="J655" i="6"/>
  <c r="C654" i="6"/>
  <c r="J654" i="6"/>
  <c r="C653" i="6"/>
  <c r="J653" i="6"/>
  <c r="C652" i="6"/>
  <c r="J652" i="6"/>
  <c r="C651" i="6"/>
  <c r="J651" i="6"/>
  <c r="C650" i="6"/>
  <c r="J650" i="6"/>
  <c r="C649" i="6"/>
  <c r="J649" i="6"/>
  <c r="C648" i="6"/>
  <c r="J648" i="6"/>
  <c r="C647" i="6"/>
  <c r="J647" i="6"/>
  <c r="C646" i="6"/>
  <c r="J646" i="6"/>
  <c r="C645" i="6"/>
  <c r="J645" i="6"/>
  <c r="C644" i="6"/>
  <c r="J644" i="6"/>
  <c r="C643" i="6"/>
  <c r="J643" i="6"/>
  <c r="C642" i="6"/>
  <c r="J642" i="6"/>
  <c r="C641" i="6"/>
  <c r="J641" i="6"/>
  <c r="C640" i="6"/>
  <c r="J640" i="6"/>
  <c r="C639" i="6"/>
  <c r="J639" i="6"/>
  <c r="C638" i="6"/>
  <c r="J638" i="6"/>
  <c r="C637" i="6"/>
  <c r="J637" i="6"/>
  <c r="C636" i="6"/>
  <c r="J636" i="6"/>
  <c r="C635" i="6"/>
  <c r="J635" i="6"/>
  <c r="C634" i="6"/>
  <c r="J634" i="6"/>
  <c r="C633" i="6"/>
  <c r="J633" i="6"/>
  <c r="C632" i="6"/>
  <c r="J632" i="6"/>
  <c r="C631" i="6"/>
  <c r="J631" i="6"/>
  <c r="C630" i="6"/>
  <c r="J630" i="6"/>
  <c r="C629" i="6"/>
  <c r="J629" i="6"/>
  <c r="C628" i="6"/>
  <c r="J628" i="6"/>
  <c r="C627" i="6"/>
  <c r="J627" i="6"/>
  <c r="C626" i="6"/>
  <c r="J626" i="6"/>
  <c r="C625" i="6"/>
  <c r="J625" i="6"/>
  <c r="C624" i="6"/>
  <c r="J624" i="6"/>
  <c r="C623" i="6"/>
  <c r="J623" i="6"/>
  <c r="C622" i="6"/>
  <c r="J622" i="6"/>
  <c r="C621" i="6"/>
  <c r="J621" i="6"/>
  <c r="C620" i="6"/>
  <c r="J620" i="6"/>
  <c r="C619" i="6"/>
  <c r="J619" i="6"/>
  <c r="C618" i="6"/>
  <c r="J618" i="6"/>
  <c r="C617" i="6"/>
  <c r="J617" i="6"/>
  <c r="C616" i="6"/>
  <c r="J616" i="6"/>
  <c r="C615" i="6"/>
  <c r="J615" i="6"/>
  <c r="C614" i="6"/>
  <c r="J614" i="6"/>
  <c r="C613" i="6"/>
  <c r="J613" i="6"/>
  <c r="C612" i="6"/>
  <c r="J612" i="6"/>
  <c r="C611" i="6"/>
  <c r="J611" i="6"/>
  <c r="C610" i="6"/>
  <c r="J610" i="6"/>
  <c r="C609" i="6"/>
  <c r="J609" i="6"/>
  <c r="C608" i="6"/>
  <c r="J608" i="6"/>
  <c r="C607" i="6"/>
  <c r="J607" i="6"/>
  <c r="C606" i="6"/>
  <c r="J606" i="6"/>
  <c r="C605" i="6"/>
  <c r="J605" i="6"/>
  <c r="C604" i="6"/>
  <c r="J604" i="6"/>
  <c r="C603" i="6"/>
  <c r="J603" i="6"/>
  <c r="C602" i="6"/>
  <c r="J602" i="6"/>
  <c r="C601" i="6"/>
  <c r="J601" i="6"/>
  <c r="C600" i="6"/>
  <c r="J600" i="6"/>
  <c r="C599" i="6"/>
  <c r="J599" i="6"/>
  <c r="C598" i="6"/>
  <c r="J598" i="6"/>
  <c r="C597" i="6"/>
  <c r="J597" i="6"/>
  <c r="C596" i="6"/>
  <c r="J596" i="6"/>
  <c r="C595" i="6"/>
  <c r="J595" i="6"/>
  <c r="C594" i="6"/>
  <c r="J594" i="6"/>
  <c r="C593" i="6"/>
  <c r="J593" i="6"/>
  <c r="C592" i="6"/>
  <c r="J592" i="6"/>
  <c r="C591" i="6"/>
  <c r="J591" i="6"/>
  <c r="C590" i="6"/>
  <c r="J590" i="6"/>
  <c r="C589" i="6"/>
  <c r="J589" i="6"/>
  <c r="C588" i="6"/>
  <c r="J588" i="6"/>
  <c r="C587" i="6"/>
  <c r="J587" i="6"/>
  <c r="C586" i="6"/>
  <c r="J586" i="6"/>
  <c r="C585" i="6"/>
  <c r="J585" i="6"/>
  <c r="C584" i="6"/>
  <c r="J584" i="6"/>
  <c r="C583" i="6"/>
  <c r="J583" i="6"/>
  <c r="C582" i="6"/>
  <c r="J582" i="6"/>
  <c r="C581" i="6"/>
  <c r="J581" i="6"/>
  <c r="C580" i="6"/>
  <c r="J580" i="6"/>
  <c r="C579" i="6"/>
  <c r="J579" i="6"/>
  <c r="C578" i="6"/>
  <c r="J578" i="6"/>
  <c r="C577" i="6"/>
  <c r="J577" i="6"/>
  <c r="C576" i="6"/>
  <c r="J576" i="6"/>
  <c r="C575" i="6"/>
  <c r="J575" i="6"/>
  <c r="C574" i="6"/>
  <c r="J574" i="6"/>
  <c r="C573" i="6"/>
  <c r="J573" i="6"/>
  <c r="C572" i="6"/>
  <c r="J572" i="6"/>
  <c r="C571" i="6"/>
  <c r="J571" i="6"/>
  <c r="C570" i="6"/>
  <c r="J570" i="6"/>
  <c r="C569" i="6"/>
  <c r="J569" i="6"/>
  <c r="C568" i="6"/>
  <c r="J568" i="6"/>
  <c r="C567" i="6"/>
  <c r="J567" i="6"/>
  <c r="C566" i="6"/>
  <c r="J566" i="6"/>
  <c r="C565" i="6"/>
  <c r="J565" i="6"/>
  <c r="C564" i="6"/>
  <c r="J564" i="6"/>
  <c r="C563" i="6"/>
  <c r="J563" i="6"/>
  <c r="C562" i="6"/>
  <c r="J562" i="6"/>
  <c r="C561" i="6"/>
  <c r="J561" i="6"/>
  <c r="C560" i="6"/>
  <c r="J560" i="6"/>
  <c r="C559" i="6"/>
  <c r="J559" i="6"/>
  <c r="C558" i="6"/>
  <c r="J558" i="6"/>
  <c r="C557" i="6"/>
  <c r="J557" i="6"/>
  <c r="C556" i="6"/>
  <c r="J556" i="6"/>
  <c r="C555" i="6"/>
  <c r="J555" i="6"/>
  <c r="C554" i="6"/>
  <c r="J554" i="6"/>
  <c r="C553" i="6"/>
  <c r="J553" i="6"/>
  <c r="C552" i="6"/>
  <c r="J552" i="6"/>
  <c r="C551" i="6"/>
  <c r="J551" i="6"/>
  <c r="C550" i="6"/>
  <c r="J550" i="6"/>
  <c r="C549" i="6"/>
  <c r="J549" i="6"/>
  <c r="C548" i="6"/>
  <c r="J548" i="6"/>
  <c r="C547" i="6"/>
  <c r="J547" i="6"/>
  <c r="C546" i="6"/>
  <c r="J546" i="6"/>
  <c r="C545" i="6"/>
  <c r="J545" i="6"/>
  <c r="C544" i="6"/>
  <c r="J544" i="6"/>
  <c r="C543" i="6"/>
  <c r="J543" i="6"/>
  <c r="C542" i="6"/>
  <c r="J542" i="6"/>
  <c r="C541" i="6"/>
  <c r="J541" i="6"/>
  <c r="C540" i="6"/>
  <c r="J540" i="6"/>
  <c r="C539" i="6"/>
  <c r="J539" i="6"/>
  <c r="C538" i="6"/>
  <c r="J538" i="6"/>
  <c r="C537" i="6"/>
  <c r="J537" i="6"/>
  <c r="C536" i="6"/>
  <c r="J536" i="6"/>
  <c r="C535" i="6"/>
  <c r="J535" i="6"/>
  <c r="C534" i="6"/>
  <c r="J534" i="6"/>
  <c r="C533" i="6"/>
  <c r="J533" i="6"/>
  <c r="C532" i="6"/>
  <c r="J532" i="6"/>
  <c r="C531" i="6"/>
  <c r="J531" i="6"/>
  <c r="C530" i="6"/>
  <c r="J530" i="6"/>
  <c r="C529" i="6"/>
  <c r="J529" i="6"/>
  <c r="C528" i="6"/>
  <c r="J528" i="6"/>
  <c r="C527" i="6"/>
  <c r="J527" i="6"/>
  <c r="C526" i="6"/>
  <c r="J526" i="6"/>
  <c r="C525" i="6"/>
  <c r="J525" i="6"/>
  <c r="C524" i="6"/>
  <c r="J524" i="6"/>
  <c r="C523" i="6"/>
  <c r="J523" i="6"/>
  <c r="J522" i="6"/>
  <c r="C522" i="6"/>
  <c r="C521" i="6"/>
  <c r="J521" i="6"/>
  <c r="J520" i="6"/>
  <c r="C520" i="6"/>
  <c r="J519" i="6"/>
  <c r="C519" i="6"/>
  <c r="C518" i="6"/>
  <c r="J518" i="6"/>
  <c r="C517" i="6"/>
  <c r="J517" i="6"/>
  <c r="C515" i="6"/>
  <c r="J515" i="6"/>
  <c r="C514" i="6"/>
  <c r="J514" i="6"/>
  <c r="C513" i="6"/>
  <c r="J513" i="6"/>
  <c r="C512" i="6"/>
  <c r="J512" i="6"/>
  <c r="C511" i="6"/>
  <c r="J511" i="6"/>
  <c r="C510" i="6"/>
  <c r="J510" i="6"/>
  <c r="J509" i="6"/>
  <c r="C509" i="6"/>
  <c r="C508" i="6"/>
  <c r="J508" i="6"/>
  <c r="J507" i="6"/>
  <c r="C507" i="6"/>
  <c r="C506" i="6"/>
  <c r="J506" i="6"/>
  <c r="C505" i="6"/>
  <c r="J505" i="6"/>
  <c r="C504" i="6"/>
  <c r="J504" i="6"/>
  <c r="C503" i="6"/>
  <c r="J503" i="6"/>
  <c r="C502" i="6"/>
  <c r="J502" i="6"/>
  <c r="J501" i="6"/>
  <c r="C501" i="6"/>
  <c r="C500" i="6"/>
  <c r="J500" i="6"/>
  <c r="C499" i="6"/>
  <c r="J499" i="6"/>
  <c r="C498" i="6"/>
  <c r="J498" i="6"/>
  <c r="C497" i="6"/>
  <c r="J497" i="6"/>
  <c r="C496" i="6"/>
  <c r="J496" i="6"/>
  <c r="C495" i="6"/>
  <c r="J495" i="6"/>
  <c r="C494" i="6"/>
  <c r="J494" i="6"/>
  <c r="C493" i="6"/>
  <c r="J493" i="6"/>
  <c r="C492" i="6"/>
  <c r="J492" i="6"/>
  <c r="C491" i="6"/>
  <c r="J491" i="6"/>
  <c r="C490" i="6"/>
  <c r="J490" i="6"/>
  <c r="C489" i="6"/>
  <c r="J489" i="6"/>
  <c r="C488" i="6"/>
  <c r="J488" i="6"/>
  <c r="C487" i="6"/>
  <c r="J487" i="6"/>
  <c r="C486" i="6"/>
  <c r="J486" i="6"/>
  <c r="C485" i="6"/>
  <c r="J485" i="6"/>
  <c r="C484" i="6"/>
  <c r="J484" i="6"/>
  <c r="C483" i="6"/>
  <c r="J483" i="6"/>
  <c r="C482" i="6"/>
  <c r="J482" i="6"/>
  <c r="C481" i="6"/>
  <c r="J481" i="6"/>
  <c r="C480" i="6"/>
  <c r="J480" i="6"/>
  <c r="C479" i="6"/>
  <c r="J479" i="6"/>
  <c r="C478" i="6"/>
  <c r="J478" i="6"/>
  <c r="C477" i="6"/>
  <c r="J477" i="6"/>
  <c r="C476" i="6"/>
  <c r="J476" i="6"/>
  <c r="C475" i="6"/>
  <c r="J475" i="6"/>
  <c r="C474" i="6"/>
  <c r="J474" i="6"/>
  <c r="C473" i="6"/>
  <c r="J473" i="6"/>
  <c r="C472" i="6"/>
  <c r="J472" i="6"/>
  <c r="C471" i="6"/>
  <c r="J471" i="6"/>
  <c r="C470" i="6"/>
  <c r="J470" i="6"/>
  <c r="C469" i="6"/>
  <c r="J469" i="6"/>
  <c r="C468" i="6"/>
  <c r="J468" i="6"/>
  <c r="C467" i="6"/>
  <c r="J467" i="6"/>
  <c r="C466" i="6"/>
  <c r="J466" i="6"/>
  <c r="C465" i="6"/>
  <c r="J465" i="6"/>
  <c r="C464" i="6"/>
  <c r="J464" i="6"/>
  <c r="C463" i="6"/>
  <c r="J463" i="6"/>
  <c r="C462" i="6"/>
  <c r="J462" i="6"/>
  <c r="C461" i="6"/>
  <c r="J461" i="6"/>
  <c r="C460" i="6"/>
  <c r="J460" i="6"/>
  <c r="C459" i="6"/>
  <c r="J459" i="6"/>
  <c r="C458" i="6"/>
  <c r="J458" i="6"/>
  <c r="C457" i="6"/>
  <c r="J457" i="6"/>
  <c r="C456" i="6"/>
  <c r="J456" i="6"/>
  <c r="C455" i="6"/>
  <c r="J455" i="6"/>
  <c r="C454" i="6"/>
  <c r="J454" i="6"/>
  <c r="C453" i="6"/>
  <c r="J453" i="6"/>
  <c r="C452" i="6"/>
  <c r="J452" i="6"/>
  <c r="C451" i="6"/>
  <c r="J451" i="6"/>
  <c r="C450" i="6"/>
  <c r="J450" i="6"/>
  <c r="C449" i="6"/>
  <c r="J449" i="6"/>
  <c r="C448" i="6"/>
  <c r="J448" i="6"/>
  <c r="C447" i="6"/>
  <c r="J447" i="6"/>
  <c r="C446" i="6"/>
  <c r="J446" i="6"/>
  <c r="C445" i="6"/>
  <c r="J445" i="6"/>
  <c r="C444" i="6"/>
  <c r="J444" i="6"/>
  <c r="C443" i="6"/>
  <c r="J443" i="6"/>
  <c r="C442" i="6"/>
  <c r="J442" i="6"/>
  <c r="C441" i="6"/>
  <c r="J441" i="6"/>
  <c r="C440" i="6"/>
  <c r="J440" i="6"/>
  <c r="C439" i="6"/>
  <c r="J439" i="6"/>
  <c r="C438" i="6"/>
  <c r="J438" i="6"/>
  <c r="C437" i="6"/>
  <c r="J437" i="6"/>
  <c r="C436" i="6"/>
  <c r="J436" i="6"/>
  <c r="C435" i="6"/>
  <c r="J435" i="6"/>
  <c r="C434" i="6"/>
  <c r="J434" i="6"/>
  <c r="C433" i="6"/>
  <c r="J433" i="6"/>
  <c r="C432" i="6"/>
  <c r="J432" i="6"/>
  <c r="C431" i="6"/>
  <c r="J431" i="6"/>
  <c r="C430" i="6"/>
  <c r="J430" i="6"/>
  <c r="C429" i="6"/>
  <c r="J429" i="6"/>
  <c r="C428" i="6"/>
  <c r="J428" i="6"/>
  <c r="C427" i="6"/>
  <c r="J427" i="6"/>
  <c r="C426" i="6"/>
  <c r="J426" i="6"/>
  <c r="C425" i="6"/>
  <c r="J425" i="6"/>
  <c r="C424" i="6"/>
  <c r="J424" i="6"/>
  <c r="C423" i="6"/>
  <c r="J423" i="6"/>
  <c r="C422" i="6"/>
  <c r="J422" i="6"/>
  <c r="C421" i="6"/>
  <c r="J421" i="6"/>
  <c r="C420" i="6"/>
  <c r="J420" i="6"/>
  <c r="C419" i="6"/>
  <c r="J419" i="6"/>
  <c r="C418" i="6"/>
  <c r="J418" i="6"/>
  <c r="C417" i="6"/>
  <c r="J417" i="6"/>
  <c r="C416" i="6"/>
  <c r="J416" i="6"/>
  <c r="C415" i="6"/>
  <c r="J415" i="6"/>
  <c r="C414" i="6"/>
  <c r="J414" i="6"/>
  <c r="C413" i="6"/>
  <c r="J413" i="6"/>
  <c r="C412" i="6"/>
  <c r="J412" i="6"/>
  <c r="C411" i="6"/>
  <c r="J411" i="6"/>
  <c r="C410" i="6"/>
  <c r="J410" i="6"/>
  <c r="C409" i="6"/>
  <c r="J409" i="6"/>
  <c r="C408" i="6"/>
  <c r="J408" i="6"/>
  <c r="C407" i="6"/>
  <c r="J407" i="6"/>
  <c r="C406" i="6"/>
  <c r="J406" i="6"/>
  <c r="C405" i="6"/>
  <c r="J405" i="6"/>
  <c r="C404" i="6"/>
  <c r="J404" i="6"/>
  <c r="C403" i="6"/>
  <c r="J403" i="6"/>
  <c r="C402" i="6"/>
  <c r="J402" i="6"/>
  <c r="C401" i="6"/>
  <c r="J401" i="6"/>
  <c r="C400" i="6"/>
  <c r="J400" i="6"/>
  <c r="C399" i="6"/>
  <c r="J399" i="6"/>
  <c r="C398" i="6"/>
  <c r="J398" i="6"/>
  <c r="C397" i="6"/>
  <c r="J397" i="6"/>
  <c r="C396" i="6"/>
  <c r="J396" i="6"/>
  <c r="C395" i="6"/>
  <c r="J395" i="6"/>
  <c r="C394" i="6"/>
  <c r="J394" i="6"/>
  <c r="C393" i="6"/>
  <c r="J393" i="6"/>
  <c r="C392" i="6"/>
  <c r="J392" i="6"/>
  <c r="C391" i="6"/>
  <c r="J391" i="6"/>
  <c r="C390" i="6"/>
  <c r="J390" i="6"/>
  <c r="C389" i="6"/>
  <c r="J389" i="6"/>
  <c r="C388" i="6"/>
  <c r="J388" i="6"/>
  <c r="C387" i="6"/>
  <c r="J387" i="6"/>
  <c r="C386" i="6"/>
  <c r="J386" i="6"/>
  <c r="C385" i="6"/>
  <c r="J385" i="6"/>
  <c r="C384" i="6"/>
  <c r="J384" i="6"/>
  <c r="C383" i="6"/>
  <c r="J383" i="6"/>
  <c r="C382" i="6"/>
  <c r="J382" i="6"/>
  <c r="C381" i="6"/>
  <c r="J381" i="6"/>
  <c r="C380" i="6"/>
  <c r="J380" i="6"/>
  <c r="C379" i="6"/>
  <c r="J379" i="6"/>
  <c r="C378" i="6"/>
  <c r="J378" i="6"/>
  <c r="C377" i="6"/>
  <c r="J377" i="6"/>
  <c r="C376" i="6"/>
  <c r="J376" i="6"/>
  <c r="C375" i="6"/>
  <c r="J375" i="6"/>
  <c r="C374" i="6"/>
  <c r="J374" i="6"/>
  <c r="C373" i="6"/>
  <c r="J373" i="6"/>
  <c r="C372" i="6"/>
  <c r="J372" i="6"/>
  <c r="C371" i="6"/>
  <c r="J371" i="6"/>
  <c r="C370" i="6"/>
  <c r="J370" i="6"/>
  <c r="C369" i="6"/>
  <c r="J369" i="6"/>
  <c r="C368" i="6"/>
  <c r="J368" i="6"/>
  <c r="C367" i="6"/>
  <c r="J367" i="6"/>
  <c r="C366" i="6"/>
  <c r="J366" i="6"/>
  <c r="C365" i="6"/>
  <c r="J365" i="6"/>
  <c r="C364" i="6"/>
  <c r="J364" i="6"/>
  <c r="C363" i="6"/>
  <c r="J363" i="6"/>
  <c r="C362" i="6"/>
  <c r="J362" i="6"/>
  <c r="C361" i="6"/>
  <c r="J361" i="6"/>
  <c r="C360" i="6"/>
  <c r="J360" i="6"/>
  <c r="C359" i="6"/>
  <c r="J359" i="6"/>
  <c r="C358" i="6"/>
  <c r="J358" i="6"/>
  <c r="C357" i="6"/>
  <c r="J357" i="6"/>
  <c r="C356" i="6"/>
  <c r="J356" i="6"/>
  <c r="C355" i="6"/>
  <c r="J355" i="6"/>
  <c r="C354" i="6"/>
  <c r="J354" i="6"/>
  <c r="C353" i="6"/>
  <c r="J353" i="6"/>
  <c r="C352" i="6"/>
  <c r="J352" i="6"/>
  <c r="C351" i="6"/>
  <c r="J351" i="6"/>
  <c r="C350" i="6"/>
  <c r="J350" i="6"/>
  <c r="C349" i="6"/>
  <c r="J349" i="6"/>
  <c r="C348" i="6"/>
  <c r="J348" i="6"/>
  <c r="C347" i="6"/>
  <c r="J347" i="6"/>
  <c r="C346" i="6"/>
  <c r="J346" i="6"/>
  <c r="C345" i="6"/>
  <c r="J345" i="6"/>
  <c r="C344" i="6"/>
  <c r="J344" i="6"/>
  <c r="C343" i="6"/>
  <c r="J343" i="6"/>
  <c r="C342" i="6"/>
  <c r="J342" i="6"/>
  <c r="C341" i="6"/>
  <c r="J341" i="6"/>
  <c r="C340" i="6"/>
  <c r="J340" i="6"/>
  <c r="C339" i="6"/>
  <c r="J339" i="6"/>
  <c r="C338" i="6"/>
  <c r="J338" i="6"/>
  <c r="C337" i="6"/>
  <c r="J337" i="6"/>
  <c r="C336" i="6"/>
  <c r="J336" i="6"/>
  <c r="C335" i="6"/>
  <c r="J335" i="6"/>
  <c r="C334" i="6"/>
  <c r="J334" i="6"/>
  <c r="C333" i="6"/>
  <c r="J333" i="6"/>
  <c r="C332" i="6"/>
  <c r="J332" i="6"/>
  <c r="C331" i="6"/>
  <c r="J331" i="6"/>
  <c r="C330" i="6"/>
  <c r="J330" i="6"/>
  <c r="C329" i="6"/>
  <c r="J329" i="6"/>
  <c r="C328" i="6"/>
  <c r="J328" i="6"/>
  <c r="C327" i="6"/>
  <c r="J327" i="6"/>
  <c r="C326" i="6"/>
  <c r="J326" i="6"/>
  <c r="C325" i="6"/>
  <c r="J325" i="6"/>
  <c r="C324" i="6"/>
  <c r="J324" i="6"/>
  <c r="C323" i="6"/>
  <c r="J323" i="6"/>
  <c r="C322" i="6"/>
  <c r="J322" i="6"/>
  <c r="C321" i="6"/>
  <c r="J321" i="6"/>
  <c r="C320" i="6"/>
  <c r="J320" i="6"/>
  <c r="C319" i="6"/>
  <c r="J319" i="6"/>
  <c r="C318" i="6"/>
  <c r="J318" i="6"/>
  <c r="C317" i="6"/>
  <c r="J317" i="6"/>
  <c r="C316" i="6"/>
  <c r="J316" i="6"/>
  <c r="C315" i="6"/>
  <c r="J315" i="6"/>
  <c r="C314" i="6"/>
  <c r="J314" i="6"/>
  <c r="C313" i="6"/>
  <c r="J313" i="6"/>
  <c r="C312" i="6"/>
  <c r="J312" i="6"/>
  <c r="C311" i="6"/>
  <c r="J311" i="6"/>
  <c r="C310" i="6"/>
  <c r="J310" i="6"/>
  <c r="C309" i="6"/>
  <c r="J309" i="6"/>
  <c r="C308" i="6"/>
  <c r="J308" i="6"/>
  <c r="C307" i="6"/>
  <c r="J307" i="6"/>
  <c r="C306" i="6"/>
  <c r="J306" i="6"/>
  <c r="C305" i="6"/>
  <c r="J305" i="6"/>
  <c r="C304" i="6"/>
  <c r="J304" i="6"/>
  <c r="C303" i="6"/>
  <c r="J303" i="6"/>
  <c r="C302" i="6"/>
  <c r="J302" i="6"/>
  <c r="C301" i="6"/>
  <c r="J301" i="6"/>
  <c r="C300" i="6"/>
  <c r="J300" i="6"/>
  <c r="C299" i="6"/>
  <c r="J299" i="6"/>
  <c r="C298" i="6"/>
  <c r="J298" i="6"/>
  <c r="C297" i="6"/>
  <c r="J297" i="6"/>
  <c r="C296" i="6"/>
  <c r="J296" i="6"/>
  <c r="C295" i="6"/>
  <c r="J295" i="6"/>
  <c r="C294" i="6"/>
  <c r="J294" i="6"/>
  <c r="C293" i="6"/>
  <c r="J293" i="6"/>
  <c r="C292" i="6"/>
  <c r="J292" i="6"/>
  <c r="C291" i="6"/>
  <c r="J291" i="6"/>
  <c r="C290" i="6"/>
  <c r="J290" i="6"/>
  <c r="C289" i="6"/>
  <c r="J289" i="6"/>
  <c r="C288" i="6"/>
  <c r="J288" i="6"/>
  <c r="C287" i="6"/>
  <c r="J287" i="6"/>
  <c r="C286" i="6"/>
  <c r="J286" i="6"/>
  <c r="C285" i="6"/>
  <c r="J285" i="6"/>
  <c r="C284" i="6"/>
  <c r="J284" i="6"/>
  <c r="C283" i="6"/>
  <c r="J283" i="6"/>
  <c r="C282" i="6"/>
  <c r="J282" i="6"/>
  <c r="C281" i="6"/>
  <c r="J281" i="6"/>
  <c r="C280" i="6"/>
  <c r="J280" i="6"/>
  <c r="C279" i="6"/>
  <c r="J279" i="6"/>
  <c r="C278" i="6"/>
  <c r="J278" i="6"/>
  <c r="C277" i="6"/>
  <c r="J277" i="6"/>
  <c r="C276" i="6"/>
  <c r="J276" i="6"/>
  <c r="C275" i="6"/>
  <c r="J275" i="6"/>
  <c r="C274" i="6"/>
  <c r="J274" i="6"/>
  <c r="C273" i="6"/>
  <c r="J273" i="6"/>
  <c r="C272" i="6"/>
  <c r="J272" i="6"/>
  <c r="C271" i="6"/>
  <c r="J271" i="6"/>
  <c r="C270" i="6"/>
  <c r="J270" i="6"/>
  <c r="C269" i="6"/>
  <c r="J269" i="6"/>
  <c r="C268" i="6"/>
  <c r="J268" i="6"/>
  <c r="C267" i="6"/>
  <c r="J267" i="6"/>
  <c r="C266" i="6"/>
  <c r="J266" i="6"/>
  <c r="C265" i="6"/>
  <c r="J265" i="6"/>
  <c r="C264" i="6"/>
  <c r="J264" i="6"/>
  <c r="C263" i="6"/>
  <c r="J263" i="6"/>
  <c r="C262" i="6"/>
  <c r="J262" i="6"/>
  <c r="C261" i="6"/>
  <c r="J261" i="6"/>
  <c r="C260" i="6"/>
  <c r="J260" i="6"/>
  <c r="C259" i="6"/>
  <c r="J259" i="6"/>
  <c r="C258" i="6"/>
  <c r="J258" i="6"/>
  <c r="C257" i="6"/>
  <c r="J257" i="6"/>
  <c r="C256" i="6"/>
  <c r="J256" i="6"/>
  <c r="C255" i="6"/>
  <c r="J255" i="6"/>
  <c r="C254" i="6"/>
  <c r="J254" i="6"/>
  <c r="C253" i="6"/>
  <c r="J253" i="6"/>
  <c r="C252" i="6"/>
  <c r="J252" i="6"/>
  <c r="C251" i="6"/>
  <c r="J251" i="6"/>
  <c r="C250" i="6"/>
  <c r="J250" i="6"/>
  <c r="C249" i="6"/>
  <c r="J249" i="6"/>
  <c r="C248" i="6"/>
  <c r="J248" i="6"/>
  <c r="C247" i="6"/>
  <c r="J247" i="6"/>
  <c r="C246" i="6"/>
  <c r="J246" i="6"/>
  <c r="C245" i="6"/>
  <c r="J245" i="6"/>
  <c r="C244" i="6"/>
  <c r="J244" i="6"/>
  <c r="C243" i="6"/>
  <c r="J243" i="6"/>
  <c r="C242" i="6"/>
  <c r="J242" i="6"/>
  <c r="C241" i="6"/>
  <c r="J241" i="6"/>
  <c r="C240" i="6"/>
  <c r="J240" i="6"/>
  <c r="C239" i="6"/>
  <c r="J239" i="6"/>
  <c r="C238" i="6"/>
  <c r="J238" i="6"/>
  <c r="C237" i="6"/>
  <c r="J237" i="6"/>
  <c r="C236" i="6"/>
  <c r="J236" i="6"/>
  <c r="C235" i="6"/>
  <c r="J235" i="6"/>
  <c r="C234" i="6"/>
  <c r="J234" i="6"/>
  <c r="C233" i="6"/>
  <c r="J233" i="6"/>
  <c r="C232" i="6"/>
  <c r="J232" i="6"/>
  <c r="C231" i="6"/>
  <c r="J231" i="6"/>
  <c r="C230" i="6"/>
  <c r="J230" i="6"/>
  <c r="C229" i="6"/>
  <c r="J229" i="6"/>
  <c r="C228" i="6"/>
  <c r="J228" i="6"/>
  <c r="C227" i="6"/>
  <c r="J227" i="6"/>
  <c r="C226" i="6"/>
  <c r="J226" i="6"/>
  <c r="C225" i="6"/>
  <c r="J225" i="6"/>
  <c r="C224" i="6"/>
  <c r="J224" i="6"/>
  <c r="C223" i="6"/>
  <c r="J223" i="6"/>
  <c r="C222" i="6"/>
  <c r="J222" i="6"/>
  <c r="C221" i="6"/>
  <c r="J221" i="6"/>
  <c r="C220" i="6"/>
  <c r="J220" i="6"/>
  <c r="C219" i="6"/>
  <c r="J219" i="6"/>
  <c r="C218" i="6"/>
  <c r="J218" i="6"/>
  <c r="C217" i="6"/>
  <c r="J217" i="6"/>
  <c r="C216" i="6"/>
  <c r="J216" i="6"/>
  <c r="C215" i="6"/>
  <c r="J215" i="6"/>
  <c r="C214" i="6"/>
  <c r="J214" i="6"/>
  <c r="C213" i="6"/>
  <c r="J213" i="6"/>
  <c r="C212" i="6"/>
  <c r="J212" i="6"/>
  <c r="C211" i="6"/>
  <c r="J211" i="6"/>
  <c r="C210" i="6"/>
  <c r="J210" i="6"/>
  <c r="C209" i="6"/>
  <c r="J209" i="6"/>
  <c r="C208" i="6"/>
  <c r="J208" i="6"/>
  <c r="C207" i="6"/>
  <c r="J207" i="6"/>
  <c r="C206" i="6"/>
  <c r="J206" i="6"/>
  <c r="C205" i="6"/>
  <c r="J205" i="6"/>
  <c r="C204" i="6"/>
  <c r="J204" i="6"/>
  <c r="C203" i="6"/>
  <c r="J203" i="6"/>
  <c r="C202" i="6"/>
  <c r="J202" i="6"/>
  <c r="C201" i="6"/>
  <c r="J201" i="6"/>
  <c r="C200" i="6"/>
  <c r="J200" i="6"/>
  <c r="C199" i="6"/>
  <c r="J199" i="6"/>
  <c r="C198" i="6"/>
  <c r="J198" i="6"/>
  <c r="C197" i="6"/>
  <c r="J197" i="6"/>
  <c r="C196" i="6"/>
  <c r="J196" i="6"/>
  <c r="C195" i="6"/>
  <c r="J195" i="6"/>
  <c r="C194" i="6"/>
  <c r="J194" i="6"/>
  <c r="C193" i="6"/>
  <c r="J193" i="6"/>
  <c r="C192" i="6"/>
  <c r="J192" i="6"/>
  <c r="C191" i="6"/>
  <c r="J191" i="6"/>
  <c r="C190" i="6"/>
  <c r="J190" i="6"/>
  <c r="C189" i="6"/>
  <c r="J189" i="6"/>
  <c r="C188" i="6"/>
  <c r="J188" i="6"/>
  <c r="C187" i="6"/>
  <c r="J187" i="6"/>
  <c r="C186" i="6"/>
  <c r="J186" i="6"/>
  <c r="C185" i="6"/>
  <c r="J185" i="6"/>
  <c r="C184" i="6"/>
  <c r="J184" i="6"/>
  <c r="C183" i="6"/>
  <c r="J183" i="6"/>
  <c r="C182" i="6"/>
  <c r="J182" i="6"/>
  <c r="C181" i="6"/>
  <c r="J181" i="6"/>
  <c r="C180" i="6"/>
  <c r="J180" i="6"/>
  <c r="C179" i="6"/>
  <c r="J179" i="6"/>
  <c r="C178" i="6"/>
  <c r="J178" i="6"/>
  <c r="C177" i="6"/>
  <c r="J177" i="6"/>
  <c r="C176" i="6"/>
  <c r="J176" i="6"/>
  <c r="C175" i="6"/>
  <c r="J175" i="6"/>
  <c r="C174" i="6"/>
  <c r="J174" i="6"/>
  <c r="C173" i="6"/>
  <c r="J173" i="6"/>
  <c r="C172" i="6"/>
  <c r="J172" i="6"/>
  <c r="C171" i="6"/>
  <c r="J171" i="6"/>
  <c r="C170" i="6"/>
  <c r="J170" i="6"/>
  <c r="C169" i="6"/>
  <c r="J169" i="6"/>
  <c r="C168" i="6"/>
  <c r="J168" i="6"/>
  <c r="C167" i="6"/>
  <c r="J167" i="6"/>
  <c r="C166" i="6"/>
  <c r="J166" i="6"/>
  <c r="C165" i="6"/>
  <c r="J165" i="6"/>
  <c r="C164" i="6"/>
  <c r="J164" i="6"/>
  <c r="C163" i="6"/>
  <c r="J163" i="6"/>
  <c r="C162" i="6"/>
  <c r="J162" i="6"/>
  <c r="C161" i="6"/>
  <c r="J161" i="6"/>
  <c r="C160" i="6"/>
  <c r="J160" i="6"/>
  <c r="C159" i="6"/>
  <c r="J159" i="6"/>
  <c r="C158" i="6"/>
  <c r="J158" i="6"/>
  <c r="C157" i="6"/>
  <c r="J157" i="6"/>
  <c r="C156" i="6"/>
  <c r="J156" i="6"/>
  <c r="C155" i="6"/>
  <c r="J155" i="6"/>
  <c r="C154" i="6"/>
  <c r="J154" i="6"/>
  <c r="C153" i="6"/>
  <c r="J153" i="6"/>
  <c r="C152" i="6"/>
  <c r="J152" i="6"/>
  <c r="C151" i="6"/>
  <c r="J151" i="6"/>
  <c r="C150" i="6"/>
  <c r="J150" i="6"/>
  <c r="C149" i="6"/>
  <c r="J149" i="6"/>
  <c r="C148" i="6"/>
  <c r="J148" i="6"/>
  <c r="C147" i="6"/>
  <c r="J147" i="6"/>
  <c r="C146" i="6"/>
  <c r="J146" i="6"/>
  <c r="C145" i="6"/>
  <c r="J145" i="6"/>
  <c r="C144" i="6"/>
  <c r="J144" i="6"/>
  <c r="C143" i="6"/>
  <c r="J143" i="6"/>
  <c r="C142" i="6"/>
  <c r="J142" i="6"/>
  <c r="C141" i="6"/>
  <c r="J141" i="6"/>
  <c r="C140" i="6"/>
  <c r="J140" i="6"/>
  <c r="C139" i="6"/>
  <c r="J139" i="6"/>
  <c r="C138" i="6"/>
  <c r="J138" i="6"/>
  <c r="C137" i="6"/>
  <c r="J137" i="6"/>
  <c r="C136" i="6"/>
  <c r="J136" i="6"/>
  <c r="C135" i="6"/>
  <c r="J135" i="6"/>
  <c r="C134" i="6"/>
  <c r="J134" i="6"/>
  <c r="C133" i="6"/>
  <c r="J133" i="6"/>
  <c r="C132" i="6"/>
  <c r="J132" i="6"/>
  <c r="C131" i="6"/>
  <c r="J131" i="6"/>
  <c r="C130" i="6"/>
  <c r="J130" i="6"/>
  <c r="C129" i="6"/>
  <c r="J129" i="6"/>
  <c r="C128" i="6"/>
  <c r="J128" i="6"/>
  <c r="C127" i="6"/>
  <c r="J127" i="6"/>
  <c r="C126" i="6"/>
  <c r="J126" i="6"/>
  <c r="C125" i="6"/>
  <c r="J125" i="6"/>
  <c r="C124" i="6"/>
  <c r="J124" i="6"/>
  <c r="C123" i="6"/>
  <c r="J123" i="6"/>
  <c r="C122" i="6"/>
  <c r="J122" i="6"/>
  <c r="C121" i="6"/>
  <c r="J121" i="6"/>
  <c r="C120" i="6"/>
  <c r="J120" i="6"/>
  <c r="C119" i="6"/>
  <c r="J119" i="6"/>
  <c r="C118" i="6"/>
  <c r="J118" i="6"/>
  <c r="C117" i="6"/>
  <c r="J117" i="6"/>
  <c r="C116" i="6"/>
  <c r="J116" i="6"/>
  <c r="C115" i="6"/>
  <c r="J115" i="6"/>
  <c r="C114" i="6"/>
  <c r="J114" i="6"/>
  <c r="C113" i="6"/>
  <c r="J113" i="6"/>
  <c r="C112" i="6"/>
  <c r="J112" i="6"/>
  <c r="C111" i="6"/>
  <c r="J111" i="6"/>
  <c r="C110" i="6"/>
  <c r="J110" i="6"/>
  <c r="C109" i="6"/>
  <c r="J109" i="6"/>
  <c r="C108" i="6"/>
  <c r="J108" i="6"/>
  <c r="C107" i="6"/>
  <c r="J107" i="6"/>
  <c r="C106" i="6"/>
  <c r="J106" i="6"/>
  <c r="C105" i="6"/>
  <c r="J105" i="6"/>
  <c r="C104" i="6"/>
  <c r="J104" i="6"/>
  <c r="C103" i="6"/>
  <c r="J103" i="6"/>
  <c r="C102" i="6"/>
  <c r="J102" i="6"/>
  <c r="C101" i="6"/>
  <c r="J101" i="6"/>
  <c r="C100" i="6"/>
  <c r="J100" i="6"/>
  <c r="C99" i="6"/>
  <c r="J99" i="6"/>
  <c r="C98" i="6"/>
  <c r="J98" i="6"/>
  <c r="C97" i="6"/>
  <c r="J97" i="6"/>
  <c r="C96" i="6"/>
  <c r="J96" i="6"/>
  <c r="C95" i="6"/>
  <c r="J95" i="6"/>
  <c r="C94" i="6"/>
  <c r="J94" i="6"/>
  <c r="C93" i="6"/>
  <c r="J93" i="6"/>
  <c r="C92" i="6"/>
  <c r="J92" i="6"/>
  <c r="C91" i="6"/>
  <c r="J91" i="6"/>
  <c r="C90" i="6"/>
  <c r="J90" i="6"/>
  <c r="C89" i="6"/>
  <c r="J89" i="6"/>
  <c r="C88" i="6"/>
  <c r="J88" i="6"/>
  <c r="C87" i="6"/>
  <c r="J87" i="6"/>
  <c r="C86" i="6"/>
  <c r="J86" i="6"/>
  <c r="C85" i="6"/>
  <c r="J85" i="6"/>
  <c r="C84" i="6"/>
  <c r="J84" i="6"/>
  <c r="C83" i="6"/>
  <c r="J83" i="6"/>
  <c r="C82" i="6"/>
  <c r="J82" i="6"/>
  <c r="C81" i="6"/>
  <c r="J81" i="6"/>
  <c r="C80" i="6"/>
  <c r="J80" i="6"/>
  <c r="C79" i="6"/>
  <c r="J79" i="6"/>
  <c r="C78" i="6"/>
  <c r="J78" i="6"/>
  <c r="C77" i="6"/>
  <c r="J77" i="6"/>
  <c r="C76" i="6"/>
  <c r="J76" i="6"/>
  <c r="C75" i="6"/>
  <c r="J75" i="6"/>
  <c r="C74" i="6"/>
  <c r="J74" i="6"/>
  <c r="C73" i="6"/>
  <c r="J73" i="6"/>
  <c r="C72" i="6"/>
  <c r="J72" i="6"/>
  <c r="C71" i="6"/>
  <c r="J71" i="6"/>
  <c r="C70" i="6"/>
  <c r="J70" i="6"/>
  <c r="C69" i="6"/>
  <c r="J69" i="6"/>
  <c r="C68" i="6"/>
  <c r="J68" i="6"/>
  <c r="C67" i="6"/>
  <c r="J67" i="6"/>
  <c r="C66" i="6"/>
  <c r="J66" i="6"/>
  <c r="C65" i="6"/>
  <c r="J65" i="6"/>
  <c r="C64" i="6"/>
  <c r="J64" i="6"/>
  <c r="C63" i="6"/>
  <c r="J63" i="6"/>
  <c r="C62" i="6"/>
  <c r="J62" i="6"/>
  <c r="C61" i="6"/>
  <c r="J61" i="6"/>
  <c r="C60" i="6"/>
  <c r="J60" i="6"/>
  <c r="C59" i="6"/>
  <c r="J59" i="6"/>
  <c r="C58" i="6"/>
  <c r="J58" i="6"/>
  <c r="C57" i="6"/>
  <c r="J57" i="6"/>
  <c r="C56" i="6"/>
  <c r="J56" i="6"/>
  <c r="C55" i="6"/>
  <c r="J55" i="6"/>
  <c r="C54" i="6"/>
  <c r="J54" i="6"/>
  <c r="C53" i="6"/>
  <c r="J53" i="6"/>
  <c r="C52" i="6"/>
  <c r="J52" i="6"/>
  <c r="C51" i="6"/>
  <c r="J51" i="6"/>
  <c r="C50" i="6"/>
  <c r="J50" i="6"/>
  <c r="C49" i="6"/>
  <c r="J49" i="6"/>
  <c r="C48" i="6"/>
  <c r="J48" i="6"/>
  <c r="C47" i="6"/>
  <c r="J47" i="6"/>
  <c r="C46" i="6"/>
  <c r="J46" i="6"/>
  <c r="C45" i="6"/>
  <c r="J45" i="6"/>
  <c r="C44" i="6"/>
  <c r="J44" i="6"/>
  <c r="C43" i="6"/>
  <c r="J43" i="6"/>
  <c r="C42" i="6"/>
  <c r="J42" i="6"/>
  <c r="C41" i="6"/>
  <c r="J41" i="6"/>
  <c r="C40" i="6"/>
  <c r="J40" i="6"/>
  <c r="C39" i="6"/>
  <c r="J39" i="6"/>
  <c r="C38" i="6"/>
  <c r="J38" i="6"/>
  <c r="C37" i="6"/>
  <c r="J37" i="6"/>
  <c r="C36" i="6"/>
  <c r="J36" i="6"/>
  <c r="C35" i="6"/>
  <c r="J35" i="6"/>
  <c r="C34" i="6"/>
  <c r="J34" i="6"/>
  <c r="C33" i="6"/>
  <c r="J33" i="6"/>
  <c r="C32" i="6"/>
  <c r="J32" i="6"/>
  <c r="C31" i="6"/>
  <c r="J31" i="6"/>
  <c r="C30" i="6"/>
  <c r="J30" i="6"/>
  <c r="C29" i="6"/>
  <c r="J29" i="6"/>
  <c r="M27" i="6" s="1"/>
  <c r="C28" i="6"/>
  <c r="J28" i="6"/>
  <c r="C27" i="6"/>
  <c r="J27" i="6"/>
  <c r="C26" i="6"/>
  <c r="J26" i="6"/>
  <c r="C25" i="6"/>
  <c r="J25" i="6"/>
  <c r="C24" i="6"/>
  <c r="J24" i="6"/>
  <c r="C21" i="6"/>
  <c r="J21" i="6"/>
  <c r="C20" i="6"/>
  <c r="J20" i="6"/>
  <c r="C18" i="6"/>
  <c r="J18" i="6"/>
  <c r="J17" i="6"/>
  <c r="C17" i="6"/>
  <c r="C14" i="6"/>
  <c r="J14" i="6"/>
  <c r="J13" i="6"/>
  <c r="C13" i="6"/>
  <c r="C12" i="6"/>
  <c r="J12" i="6"/>
  <c r="C11" i="6"/>
  <c r="J11" i="6"/>
  <c r="C10" i="6"/>
  <c r="J10" i="6"/>
  <c r="C9" i="6"/>
  <c r="J9" i="6"/>
  <c r="J8" i="6"/>
  <c r="C8" i="6"/>
  <c r="C7" i="6"/>
  <c r="J7" i="6"/>
  <c r="J6" i="6"/>
  <c r="C6" i="6"/>
  <c r="C5" i="6"/>
  <c r="J5" i="6"/>
  <c r="C6" i="5"/>
  <c r="C7" i="5"/>
  <c r="C8" i="5"/>
  <c r="C9" i="5"/>
  <c r="C10" i="5"/>
  <c r="C17" i="8"/>
  <c r="D11" i="8" s="1"/>
  <c r="C24" i="8"/>
  <c r="D21" i="8" s="1"/>
  <c r="J17" i="5"/>
  <c r="H19" i="5"/>
  <c r="J18" i="5"/>
  <c r="D13" i="8" l="1"/>
  <c r="D14" i="8"/>
  <c r="D16" i="8"/>
  <c r="D15" i="8"/>
  <c r="D12" i="8"/>
  <c r="D23" i="8"/>
  <c r="D22" i="8"/>
  <c r="C11" i="5"/>
  <c r="J19" i="5"/>
  <c r="D24" i="8" l="1"/>
  <c r="D17" i="8"/>
</calcChain>
</file>

<file path=xl/sharedStrings.xml><?xml version="1.0" encoding="utf-8"?>
<sst xmlns="http://schemas.openxmlformats.org/spreadsheetml/2006/main" count="468" uniqueCount="343">
  <si>
    <t>fixed acidity</t>
  </si>
  <si>
    <t>volatile acidity</t>
  </si>
  <si>
    <t>citric acid</t>
  </si>
  <si>
    <t>residual sugar</t>
  </si>
  <si>
    <t>chlorides</t>
  </si>
  <si>
    <t>free sulfur dioxide</t>
  </si>
  <si>
    <t>total sulfur dioxide</t>
  </si>
  <si>
    <t>density</t>
  </si>
  <si>
    <t>pH</t>
  </si>
  <si>
    <t>sulphates</t>
  </si>
  <si>
    <t>alcohol</t>
  </si>
  <si>
    <t>quality</t>
  </si>
  <si>
    <t>Wine_ID</t>
  </si>
  <si>
    <t>Fixed_Acidity</t>
  </si>
  <si>
    <t>Volatile_Acidity</t>
  </si>
  <si>
    <t>Citric_Acid</t>
  </si>
  <si>
    <t>Residual_Sugar</t>
  </si>
  <si>
    <t>Chlorides</t>
  </si>
  <si>
    <t>Free_Sulfur_Dioxide</t>
  </si>
  <si>
    <t>Total_Sulfur_Dioxide</t>
  </si>
  <si>
    <t>Density</t>
  </si>
  <si>
    <t>Sulphates</t>
  </si>
  <si>
    <t>Alcohol</t>
  </si>
  <si>
    <t>Quality</t>
  </si>
  <si>
    <t>Data Cleaning Log</t>
  </si>
  <si>
    <t>All values below are live formulas that audit 1_Raw_Data and 2_Clean_Data.</t>
  </si>
  <si>
    <t>Check</t>
  </si>
  <si>
    <t>Value</t>
  </si>
  <si>
    <t>What it means</t>
  </si>
  <si>
    <t>Rows in raw data</t>
  </si>
  <si>
    <t>Imported from winequality-red.csv (semicolon-delimited)</t>
  </si>
  <si>
    <t>Rows in clean data</t>
  </si>
  <si>
    <t>After removing exact duplicate rows (first occurrence kept)</t>
  </si>
  <si>
    <t>Duplicate rows removed</t>
  </si>
  <si>
    <t>Raw rows minus clean rows</t>
  </si>
  <si>
    <t>% of raw rows removed</t>
  </si>
  <si>
    <t>Share of raw dataset that was duplicated</t>
  </si>
  <si>
    <t>Missing cells - raw</t>
  </si>
  <si>
    <t>No blanks found, so no imputation was needed</t>
  </si>
  <si>
    <t>Missing cells - clean</t>
  </si>
  <si>
    <t>Must be 0 after cleaning</t>
  </si>
  <si>
    <t>Non-numeric cells - clean</t>
  </si>
  <si>
    <t>Must be 0: every measurement is stored as a number</t>
  </si>
  <si>
    <t>Column-level data type &amp; range check (clean data)</t>
  </si>
  <si>
    <t>Column</t>
  </si>
  <si>
    <t>Count</t>
  </si>
  <si>
    <t>Missing</t>
  </si>
  <si>
    <t>Min</t>
  </si>
  <si>
    <t>Max</t>
  </si>
  <si>
    <t>Mean</t>
  </si>
  <si>
    <t>Type check</t>
  </si>
  <si>
    <t>Format applied</t>
  </si>
  <si>
    <t>Number, 1 decimal</t>
  </si>
  <si>
    <t>Number, 3 decimals</t>
  </si>
  <si>
    <t>Number, 2 decimals</t>
  </si>
  <si>
    <t>Number, 5 decimals</t>
  </si>
  <si>
    <t>Whole number</t>
  </si>
  <si>
    <t>Native Excel PivotTables</t>
  </si>
  <si>
    <t>PivotTable 1 - Quality summary   (source: 2_Clean_Data)</t>
  </si>
  <si>
    <t>Filter</t>
  </si>
  <si>
    <t>Data</t>
  </si>
  <si>
    <t>Count - Wine_ID</t>
  </si>
  <si>
    <t>Average - Alcohol</t>
  </si>
  <si>
    <t>Average - Volatile_Acidity</t>
  </si>
  <si>
    <t>Average - pH</t>
  </si>
  <si>
    <t>Average - Sulphates</t>
  </si>
  <si>
    <t>Total Result</t>
  </si>
  <si>
    <t>PivotTable 2 - Alcohol band x Quality, wine count   (source: 4_Formulas)</t>
  </si>
  <si>
    <t>Alcohol_Band</t>
  </si>
  <si>
    <t>High</t>
  </si>
  <si>
    <t>Low</t>
  </si>
  <si>
    <t>Medium</t>
  </si>
  <si>
    <t>PivotTable 3 - Wine profile summary   (source: 4_Formulas)</t>
  </si>
  <si>
    <t>Wine_Profile</t>
  </si>
  <si>
    <t>Average - Quality</t>
  </si>
  <si>
    <t>Poor</t>
  </si>
  <si>
    <t>Premium</t>
  </si>
  <si>
    <t>Solid</t>
  </si>
  <si>
    <t>Standard</t>
  </si>
  <si>
    <t>PivotTable 4 - Quality grade x Acidity flag, wine count   (source: 4_Formulas)</t>
  </si>
  <si>
    <t>Acidity_Flag</t>
  </si>
  <si>
    <t>Quality_Grade</t>
  </si>
  <si>
    <t>Above limit</t>
  </si>
  <si>
    <t>OK</t>
  </si>
  <si>
    <t>Above Average</t>
  </si>
  <si>
    <t>Average</t>
  </si>
  <si>
    <t>Excellent</t>
  </si>
  <si>
    <t>Good</t>
  </si>
  <si>
    <t>Summary Tables (formula-driven)</t>
  </si>
  <si>
    <t>Live COUNTIFS / AVERAGEIFS tables on dynamic named ranges. They feed the charts and dashboard. Native PivotTables are on 3_Pivot_Tables.</t>
  </si>
  <si>
    <t>Summary 1 - Quality summary</t>
  </si>
  <si>
    <t>Wine_Count</t>
  </si>
  <si>
    <t>% of Total</t>
  </si>
  <si>
    <t>Avg_Alcohol</t>
  </si>
  <si>
    <t>Avg_Volatile_Acidity</t>
  </si>
  <si>
    <t>Avg_Citric_Acid</t>
  </si>
  <si>
    <t>Avg_pH</t>
  </si>
  <si>
    <t>Avg_Sulphates</t>
  </si>
  <si>
    <t>Grand Total</t>
  </si>
  <si>
    <t>Summary 2 - Alcohol band x Quality (wine count)</t>
  </si>
  <si>
    <t>Lower (&gt;=)</t>
  </si>
  <si>
    <t>Upper (&lt;)</t>
  </si>
  <si>
    <t>Total</t>
  </si>
  <si>
    <t>Blue cells are the band cut-offs (% alcohol by volume). Change them and every sheet that uses bands updates.</t>
  </si>
  <si>
    <t>Summary 3 - Average of each property by quality</t>
  </si>
  <si>
    <t>Property</t>
  </si>
  <si>
    <t>All wines</t>
  </si>
  <si>
    <t>Advanced Formulas</t>
  </si>
  <si>
    <t>VLOOKUP, INDEX-MATCH, IF and nested IF/AND applied to every clean wine record.</t>
  </si>
  <si>
    <t>Method: link</t>
  </si>
  <si>
    <t>Method: INDEX-MATCH</t>
  </si>
  <si>
    <t>Method: VLOOKUP</t>
  </si>
  <si>
    <t>Method: nested IF</t>
  </si>
  <si>
    <t>Method: IF</t>
  </si>
  <si>
    <t>Method: nested IF + AND</t>
  </si>
  <si>
    <t>Total_SO2</t>
  </si>
  <si>
    <t>Sulfur_Risk</t>
  </si>
  <si>
    <t>Parameters (editable)</t>
  </si>
  <si>
    <t>Blue = hardcoded assumption (chosen by me, not from the dataset)</t>
  </si>
  <si>
    <t>Volatile acidity limit (g/dm3)</t>
  </si>
  <si>
    <t>Total SO2 moderate above (mg/dm3)</t>
  </si>
  <si>
    <t>Total SO2 high above (mg/dm3)</t>
  </si>
  <si>
    <t>Lookup table: quality score to grade</t>
  </si>
  <si>
    <t>Quality_Code</t>
  </si>
  <si>
    <t>Grade</t>
  </si>
  <si>
    <t>Band</t>
  </si>
  <si>
    <t>Wine finder</t>
  </si>
  <si>
    <t>Enter Wine_ID (1-1359)</t>
  </si>
  <si>
    <t>Field</t>
  </si>
  <si>
    <t>Result</t>
  </si>
  <si>
    <t>Method</t>
  </si>
  <si>
    <t>VLOOKUP</t>
  </si>
  <si>
    <t>Alcohol (%)</t>
  </si>
  <si>
    <t>INDEX-MATCH</t>
  </si>
  <si>
    <t>VLOOKUP on lookup table</t>
  </si>
  <si>
    <t>Profile</t>
  </si>
  <si>
    <t>INDEX-MATCH on formula column</t>
  </si>
  <si>
    <t>Data Visualization</t>
  </si>
  <si>
    <t>Charts read from 3_Summary_Tables. The heat map below is a live CORREL matrix with conditional formatting.</t>
  </si>
  <si>
    <t>Correlation matrix (red = positive, blue = negative)</t>
  </si>
  <si>
    <t>Red Wine Quality Dashboard</t>
  </si>
  <si>
    <t>Pick values in the yellow cells - every card, table and chart below updates.</t>
  </si>
  <si>
    <t>Filter helpers (do not edit)</t>
  </si>
  <si>
    <t>Quality score</t>
  </si>
  <si>
    <t>Alcohol band</t>
  </si>
  <si>
    <t>Quality min</t>
  </si>
  <si>
    <t>Quality max</t>
  </si>
  <si>
    <t>Wines in selection</t>
  </si>
  <si>
    <t>% of all wines</t>
  </si>
  <si>
    <t>Avg quality</t>
  </si>
  <si>
    <t>Avg alcohol %</t>
  </si>
  <si>
    <t>Avg pH</t>
  </si>
  <si>
    <t>Avg volatile acidity</t>
  </si>
  <si>
    <t>Alcohol from</t>
  </si>
  <si>
    <t>Alcohol below</t>
  </si>
  <si>
    <t>Quality mix (uses the Alcohol band filter)</t>
  </si>
  <si>
    <t>Wines</t>
  </si>
  <si>
    <t>Share</t>
  </si>
  <si>
    <t>Alcohol mix (uses the Quality filter)</t>
  </si>
  <si>
    <t>Selection profile vs all wines</t>
  </si>
  <si>
    <t>Selection avg</t>
  </si>
  <si>
    <t>All wines avg</t>
  </si>
  <si>
    <t>Difference %</t>
  </si>
  <si>
    <t>Documentation</t>
  </si>
  <si>
    <t>Red Wine Quality - Excel Practical Exam | Prepared by: kishal | File: kishal_ExcelDashboard.xlsx</t>
  </si>
  <si>
    <t>1. Purpose and how the workbook flows</t>
  </si>
  <si>
    <t>Item</t>
  </si>
  <si>
    <t>Detail</t>
  </si>
  <si>
    <t>Purpose</t>
  </si>
  <si>
    <t>Analyse the Red Wine Quality dataset and present the results in an interactive dashboard. Built for the "Final Practical Exam" (7 tasks).</t>
  </si>
  <si>
    <t>Author / file</t>
  </si>
  <si>
    <t>kishal - kishal_ExcelDashboard.xlsx</t>
  </si>
  <si>
    <t>Flow of the workbook</t>
  </si>
  <si>
    <t>1_Raw_Data (untouched import)  &gt;  2_Clean_Data (duplicates removed, formatted)  &gt;  3_Pivot_Tables and 3_Summary_Tables (summaries)  &gt;  4_Formulas (lookups and logic)  &gt;  5_Visualization (charts)  &gt;  6_Dashboard (interactive view)  &gt;  7_Documentation (this sheet).</t>
  </si>
  <si>
    <t>Where to start</t>
  </si>
  <si>
    <t>Open 6_Dashboard for the interactive view. Use the yellow cells to change filters. Everything else is supporting work in task order.</t>
  </si>
  <si>
    <t>2. Dataset</t>
  </si>
  <si>
    <t>Name</t>
  </si>
  <si>
    <t>Red Wine Quality (UCI Machine Learning Repository / Kaggle), file winequality-red.csv.</t>
  </si>
  <si>
    <t>Content</t>
  </si>
  <si>
    <t>1,599 samples of Portuguese "Vinho Verde" red wine, 11 physico-chemical measurements plus a sensory quality score. The CSV uses semicolons as separators.</t>
  </si>
  <si>
    <t>Rows after cleaning</t>
  </si>
  <si>
    <t>1,359 unique wines (240 exact duplicates removed). Each wine received a Wine_ID from 1 to 1,359.</t>
  </si>
  <si>
    <t>2a. Column dictionary</t>
  </si>
  <si>
    <t>Unit</t>
  </si>
  <si>
    <t>Meaning</t>
  </si>
  <si>
    <t>g/dm3</t>
  </si>
  <si>
    <t>Non-volatile acids (mainly tartaric acid). They do not evaporate readily.</t>
  </si>
  <si>
    <t>Acetic acid. Too much gives an unpleasant vinegar taste.</t>
  </si>
  <si>
    <t>Adds freshness and flavour in small amounts.</t>
  </si>
  <si>
    <t>Sugar left after fermentation.</t>
  </si>
  <si>
    <t>Salt content of the wine.</t>
  </si>
  <si>
    <t>mg/dm3</t>
  </si>
  <si>
    <t>SO2 that is free to protect against microbes and oxidation.</t>
  </si>
  <si>
    <t>Free plus bound SO2. High levels can be noticeable in taste and smell.</t>
  </si>
  <si>
    <t>g/cm3</t>
  </si>
  <si>
    <t>Depends mainly on alcohol and sugar content.</t>
  </si>
  <si>
    <t>pH units</t>
  </si>
  <si>
    <t>Acidity level: lower pH means more acidic.</t>
  </si>
  <si>
    <t>Potassium sulphate, a preservative additive.</t>
  </si>
  <si>
    <t>% by volume</t>
  </si>
  <si>
    <t>Alcohol content.</t>
  </si>
  <si>
    <t>score 3 to 8</t>
  </si>
  <si>
    <t>Median sensory rating by wine tasters (the scale is 0-10; this data only contains 3 to 8).</t>
  </si>
  <si>
    <t>3. Sheet guide (task order)</t>
  </si>
  <si>
    <t>Sheet</t>
  </si>
  <si>
    <t>Task</t>
  </si>
  <si>
    <t>1_Raw_Data</t>
  </si>
  <si>
    <t>Task 1</t>
  </si>
  <si>
    <t>Direct import of the CSV: 1,599 rows, original column names. Never edited, so cleaning can always be checked against it.</t>
  </si>
  <si>
    <t>2_Clean_Data</t>
  </si>
  <si>
    <t>Task 2</t>
  </si>
  <si>
    <t>Cleaned table of 1,359 rows with Wine_ID. This is the source for formulas, named ranges, charts and the dashboard. Filters are enabled on the header row.</t>
  </si>
  <si>
    <t>2_Cleaning_Log</t>
  </si>
  <si>
    <t>Live audit formulas: rows before/after, duplicates removed, missing cells, and a type/range check for each column.</t>
  </si>
  <si>
    <t>3_Pivot_Tables</t>
  </si>
  <si>
    <t>Task 3</t>
  </si>
  <si>
    <t>Four native Excel PivotTables.</t>
  </si>
  <si>
    <t>3_Summary_Tables</t>
  </si>
  <si>
    <t>Formula-driven summary tables (COUNTIFS / AVERAGEIFS). They feed the charts and also hold the editable alcohol band cut-offs.</t>
  </si>
  <si>
    <t>4_Formulas</t>
  </si>
  <si>
    <t>Task 4</t>
  </si>
  <si>
    <t>INDEX-MATCH, VLOOKUP, IF and nested IF/AND formulas for all 1,359 wines, plus the parameter cells, grade lookup table and a Wine finder.</t>
  </si>
  <si>
    <t>5_Visualization</t>
  </si>
  <si>
    <t>Task 5</t>
  </si>
  <si>
    <t>Correlation heat map and four charts.</t>
  </si>
  <si>
    <t>6_Dashboard</t>
  </si>
  <si>
    <t>Task 6</t>
  </si>
  <si>
    <t>Interactive dashboard with two dropdown filters, KPI cards, two charts and two tables.</t>
  </si>
  <si>
    <t>7_Documentation</t>
  </si>
  <si>
    <t>Task 7</t>
  </si>
  <si>
    <t>This sheet.</t>
  </si>
  <si>
    <t>4. Data cleaning steps (Task 2)</t>
  </si>
  <si>
    <t>Step</t>
  </si>
  <si>
    <t>What was done</t>
  </si>
  <si>
    <t>Step 1 - Import</t>
  </si>
  <si>
    <t>Imported winequality-red.csv with a semicolon delimiter (Data &gt; From Text/CSV) into 1_Raw_Data. All 1,599 rows and 12 columns arrived as numbers.</t>
  </si>
  <si>
    <t>Step 2 - Keep raw intact</t>
  </si>
  <si>
    <t>Raw data was copied to 2_Clean_Data and the cleaning was done there, so 1_Raw_Data stays as evidence.</t>
  </si>
  <si>
    <t>Step 3 - Remove duplicates</t>
  </si>
  <si>
    <t>Removed rows that are identical in all 12 columns (Data &gt; Remove Duplicates equivalent), keeping the first occurrence. 240 rows removed (15.0%), leaving 1,359.</t>
  </si>
  <si>
    <t>Step 4 - Missing values</t>
  </si>
  <si>
    <t>Checked every column with COUNTBLANK: there are 0 missing values, so no imputation or deletion was needed. The check stays live in 2_Cleaning_Log.</t>
  </si>
  <si>
    <t>Step 5 - Data types and formats</t>
  </si>
  <si>
    <t>Every column is numeric. Quality is a whole number; every other column has a fixed number of decimals (e.g. Density 5, Chlorides 3, pH 2, both SO2 columns 1 because the source contains values such as 5.5). Shown in the last column of 2_Cleaning_Log.</t>
  </si>
  <si>
    <t>Step 6 - Naming and ID</t>
  </si>
  <si>
    <t>Headers renamed to Title_Case_With_Underscores (e.g. "volatile acidity" became Volatile_Acidity). Added Wine_ID (1 to 1,359) as a unique key for lookups.</t>
  </si>
  <si>
    <t>Step 7 - Verify</t>
  </si>
  <si>
    <t>2_Cleaning_Log confirms raw rows 1,599, clean rows 1,359, duplicates removed 240, missing cells 0, and "Numeric OK" for all 12 columns.</t>
  </si>
  <si>
    <t>5. Pivot tables (Task 3)</t>
  </si>
  <si>
    <t>PivotTable 1</t>
  </si>
  <si>
    <t>Source 2_Clean_Data. Rows: Quality. Values: count of wines, average Alcohol, Volatile_Acidity, pH and Sulphates for each quality score.</t>
  </si>
  <si>
    <t>PivotTable 2</t>
  </si>
  <si>
    <t>Source 4_Formulas. Rows: Alcohol_Band. Columns: Quality. Values: count of wines. Shows how quality is spread across alcohol bands.</t>
  </si>
  <si>
    <t>PivotTable 3</t>
  </si>
  <si>
    <t>Source 4_Formulas. Rows: Wine_Profile (Premium, Solid, Standard, Poor). Values: wine count, average Alcohol, average Quality.</t>
  </si>
  <si>
    <t>PivotTable 4</t>
  </si>
  <si>
    <t>Source 4_Formulas. Rows: Quality_Grade. Columns: Acidity_Flag. Values: wine count. Shows how many wines in each grade exceed the volatile acidity limit.</t>
  </si>
  <si>
    <t>Refreshing</t>
  </si>
  <si>
    <t>PivotTables do not update by themselves. After changing source data, right-click inside a PivotTable &gt; Refresh, or Data &gt; Refresh All.</t>
  </si>
  <si>
    <t>Same style of summary built with formulas, so they always recalculate and can feed charts and the dashboard. Summary 1: by quality. Summary 2: alcohol band x quality (cut-offs in blue cells C16:C18). Summary 3: every property averaged by quality.</t>
  </si>
  <si>
    <t>6. Formulas (Task 4) - sheet 4_Formulas</t>
  </si>
  <si>
    <t>Column / item</t>
  </si>
  <si>
    <t>Function used</t>
  </si>
  <si>
    <t>How it works</t>
  </si>
  <si>
    <t>Formula: =INDEX(Clean Quality column, MATCH(Wine_ID, Clean Wine_ID column, 0)). Finds the quality of the wine whose ID is in column A.</t>
  </si>
  <si>
    <t>Formula: =VLOOKUP(Quality, lookup table L12:N17, 2, FALSE). Translates the score into Poor / Average / Above Average / Good / Excellent.</t>
  </si>
  <si>
    <t>Same pattern as Quality, using the Alcohol column.</t>
  </si>
  <si>
    <t>Nested IF</t>
  </si>
  <si>
    <t>Formula: =IF(Alcohol &lt; Low cut-off, "Low", IF(Alcohol &lt; Medium cut-off, "Medium", "High")). Cut-offs come from 3_Summary_Tables C16 and C17.</t>
  </si>
  <si>
    <t>Volatile_Acidity / Total_SO2</t>
  </si>
  <si>
    <t>Same pattern, pulling the Volatile_Acidity and Total_Sulfur_Dioxide columns.</t>
  </si>
  <si>
    <t>Formula: =IF(Total_SO2 &gt; M8, "High", IF(Total_SO2 &gt; M7, "Moderate", "Low")). M7 and M8 are editable parameters.</t>
  </si>
  <si>
    <t>IF</t>
  </si>
  <si>
    <t>Formula: =IF(Volatile_Acidity &gt; M6, "Above limit", "OK"). M6 is an editable parameter.</t>
  </si>
  <si>
    <t>Nested IF + AND</t>
  </si>
  <si>
    <t>Premium if Quality &gt;= 7 AND Alcohol_Band is High; otherwise Solid if Quality &gt;= 6 AND Acidity_Flag is OK; otherwise Poor if Quality &lt;= 4; otherwise Standard.</t>
  </si>
  <si>
    <t>Parameters (blue cells)</t>
  </si>
  <si>
    <t>M6:M8</t>
  </si>
  <si>
    <t>Volatile acidity limit 0.7 g/dm3, total SO2 moderate above 50 mg/dm3, high above 100 mg/dm3. These are my own cut-offs, not from the dataset.</t>
  </si>
  <si>
    <t>L20:N27</t>
  </si>
  <si>
    <t>Type a Wine_ID (1 to 1,359) in the yellow cell M21. It returns Quality, Alcohol, pH (VLOOKUP / INDEX-MATCH), Grade (VLOOKUP) and Profile (INDEX-MATCH). Shows "Not found" for an invalid ID.</t>
  </si>
  <si>
    <t>Conditional formatting</t>
  </si>
  <si>
    <t>Sheet 4</t>
  </si>
  <si>
    <t>Premium green, Poor red; High sulfur risk red, Moderate amber; "Above limit" red; data bars on Alcohol.</t>
  </si>
  <si>
    <t>7. Charts and visuals (Task 5) - sheet 5_Visualization</t>
  </si>
  <si>
    <t>Visual</t>
  </si>
  <si>
    <t>What it shows</t>
  </si>
  <si>
    <t>Correlation heat map</t>
  </si>
  <si>
    <t>Live CORREL formulas for all 12 variables. Red = positive, blue = negative. Key reading: Alcohol has the strongest positive link with Quality (about +0.48); Volatile_Acidity the strongest negative (about -0.39).</t>
  </si>
  <si>
    <t>Chart 1 - Number of wines by quality score</t>
  </si>
  <si>
    <t>Column chart from Summary 1 (Wine_Count). Most wines are quality 5 or 6; very few are 3 or 8.</t>
  </si>
  <si>
    <t>Chart 2 - Average alcohol % by quality score</t>
  </si>
  <si>
    <t>Column chart from Summary 1 (Avg_Alcohol). Higher-quality wines tend to have more alcohol. The vertical axis starts at 8 to make differences visible.</t>
  </si>
  <si>
    <t>Chart 3 - Wine count by alcohol band, stacked by quality</t>
  </si>
  <si>
    <t>Stacked column from Summary 2. Shows which qualities dominate each alcohol band.</t>
  </si>
  <si>
    <t>Chart 4 - Volatile acidity and sulphates by quality score</t>
  </si>
  <si>
    <t>Line chart from Summary 1. Volatile acidity falls and sulphates rise as quality increases.</t>
  </si>
  <si>
    <t>Other conditional formatting</t>
  </si>
  <si>
    <t>Heat-map colours on the band x quality counts and the property x quality averages (3_Summary_Tables); data bars on counts; colour scale on the dashboard profile table.</t>
  </si>
  <si>
    <t>8. Dashboard and filters (Task 6) - sheet 6_Dashboard</t>
  </si>
  <si>
    <t>Element</t>
  </si>
  <si>
    <t>Behaviour</t>
  </si>
  <si>
    <t>Quality score filter (C3)</t>
  </si>
  <si>
    <t>Yellow dropdown: All, 3, 4, 5, 6, 7 or 8. Restricts the wines being analysed to that quality score.</t>
  </si>
  <si>
    <t>Alcohol band filter (F3)</t>
  </si>
  <si>
    <t>Yellow dropdown: All, Low, Medium or High. Restricts to wines in that alcohol band (cut-offs on 3_Summary_Tables).</t>
  </si>
  <si>
    <t>KPI cards (row 5-7)</t>
  </si>
  <si>
    <t>Respond to BOTH filters: wines in selection, share of all wines, average quality, alcohol, pH and volatile acidity. Shows "n/a" when no wine matches.</t>
  </si>
  <si>
    <t>Quality mix table and chart</t>
  </si>
  <si>
    <t>Respond to the Alcohol band filter only. They show the quality distribution, so the Quality filter is intentionally ignored here.</t>
  </si>
  <si>
    <t>Alcohol mix table and chart</t>
  </si>
  <si>
    <t>Respond to the Quality score filter only. They show the alcohol band distribution, so the Alcohol band filter is intentionally ignored here.</t>
  </si>
  <si>
    <t>Responds to BOTH filters. Compares the average of each property in the selection with all wines and shows the % difference (blue = lower, orange = higher).</t>
  </si>
  <si>
    <t>Dynamic ranges</t>
  </si>
  <si>
    <t>Named ranges (rngQuality, rngAlcohol, rngVolatile, rngCitric, rngPH, rngSulphates, rngData) grow automatically when rows are added to 2_Clean_Data, so the dashboard always covers all data.</t>
  </si>
  <si>
    <t>Filter helper cells (P3:Q6)</t>
  </si>
  <si>
    <t>Grey cells that convert the dropdown choices into numeric limits (named selQmin, selQmax, selAlo, selAhi). Do not edit them.</t>
  </si>
  <si>
    <t>How to use</t>
  </si>
  <si>
    <t>1) Open 6_Dashboard. 2) Pick a value in C3 and/or F3. 3) Read the cards and tables, and watch both charts change. 4) Set both back to All to see the full dataset.</t>
  </si>
  <si>
    <t>9. Naming conventions and colour legend</t>
  </si>
  <si>
    <t>Convention</t>
  </si>
  <si>
    <t>Sheets</t>
  </si>
  <si>
    <t>Number prefix = exam task, then Title_Case_With_Underscores (e.g. 4_Formulas).</t>
  </si>
  <si>
    <t>Columns</t>
  </si>
  <si>
    <t>Title_Case_With_Underscores in clean data. Original names remain in 1_Raw_Data.</t>
  </si>
  <si>
    <t>Named ranges</t>
  </si>
  <si>
    <t>rng... = dynamic data ranges on 2_Clean_Data; sel... = dashboard filter helpers.</t>
  </si>
  <si>
    <t>Colours</t>
  </si>
  <si>
    <t>Blue text = hardcoded input or assumption. Yellow fill = cell you are meant to change. Maroon fill = table headers. Light pink = totals.</t>
  </si>
  <si>
    <t>Font</t>
  </si>
  <si>
    <t>Arial throughout.</t>
  </si>
  <si>
    <t>10. Assumptions and limitations</t>
  </si>
  <si>
    <t>Note</t>
  </si>
  <si>
    <t>Duplicates</t>
  </si>
  <si>
    <t>Rows identical in all 12 columns were treated as duplicates. In the original UCI data, repeated rows can be genuinely different wines with the same measurements, but they cannot be told apart here.</t>
  </si>
  <si>
    <t>Alcohol bands</t>
  </si>
  <si>
    <t>Low (&lt;10%), Medium (10 to &lt;11.5%), High (&gt;=11.5%) are my own cut-offs (3_Summary_Tables C16:C18).</t>
  </si>
  <si>
    <t>Quality is a sensory rating, not a measurement. Correlation does not prove that alcohol or acidity causes a higher score.</t>
  </si>
  <si>
    <t>PivotTables</t>
  </si>
  <si>
    <t>The four native PivotTables need a manual Refresh after data changes. The dashboard does not use them; it uses formulas so it updates instantly.</t>
  </si>
  <si>
    <t>Slicers and Timeline</t>
  </si>
  <si>
    <t>The dashboard uses dropdown filters instead of slicers. The dataset has no date field, so a Timeline cannot apply. A slicer can be added in Excel: click a PivotTable &gt; PivotTable Analyze &gt; Insert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</si>
</sst>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0"/>
    <numFmt numFmtId="167" formatCode="0.0%"/>
    <numFmt numFmtId="168" formatCode="\+0.0%;\-0.0%;0.0%"/>
  </numFmts>
  <fonts count="18" x14ac:knownFonts="1">
    <font>
      <sz val="11"/>
      <color theme="1"/>
      <name val="Calibri"/>
      <family val="2"/>
      <charset val="1"/>
    </font>
    <font>
      <b/>
      <sz val="11"/>
      <color theme="1"/>
      <name val="Calibri"/>
      <family val="2"/>
      <charset val="1"/>
    </font>
    <font>
      <b/>
      <sz val="10"/>
      <color rgb="FFFFFFFF"/>
      <name val="Arial"/>
      <charset val="1"/>
    </font>
    <font>
      <sz val="10"/>
      <name val="Arial"/>
      <charset val="1"/>
    </font>
    <font>
      <b/>
      <sz val="16"/>
      <color rgb="FF722F37"/>
      <name val="Arial"/>
      <charset val="1"/>
    </font>
    <font>
      <i/>
      <sz val="10"/>
      <color rgb="FF595959"/>
      <name val="Arial"/>
      <charset val="1"/>
    </font>
    <font>
      <b/>
      <sz val="12"/>
      <color rgb="FF722F37"/>
      <name val="Arial"/>
      <charset val="1"/>
    </font>
    <font>
      <b/>
      <sz val="10"/>
      <name val="Arial"/>
      <charset val="1"/>
    </font>
    <font>
      <sz val="10"/>
      <color rgb="FF0000FF"/>
      <name val="Arial"/>
      <charset val="1"/>
    </font>
    <font>
      <i/>
      <sz val="8"/>
      <color rgb="FF595959"/>
      <name val="Arial"/>
      <charset val="1"/>
    </font>
    <font>
      <i/>
      <sz val="9"/>
      <color rgb="FF595959"/>
      <name val="Arial"/>
      <charset val="1"/>
    </font>
    <font>
      <b/>
      <sz val="8"/>
      <color rgb="FFFFFFFF"/>
      <name val="Arial"/>
      <charset val="1"/>
    </font>
    <font>
      <sz val="9"/>
      <name val="Arial"/>
      <charset val="1"/>
    </font>
    <font>
      <b/>
      <sz val="20"/>
      <color rgb="FF722F37"/>
      <name val="Arial"/>
      <charset val="1"/>
    </font>
    <font>
      <i/>
      <sz val="9"/>
      <color rgb="FF7F7F7F"/>
      <name val="Arial"/>
      <charset val="1"/>
    </font>
    <font>
      <b/>
      <sz val="10"/>
      <color rgb="FF0000FF"/>
      <name val="Arial"/>
      <charset val="1"/>
    </font>
    <font>
      <sz val="9"/>
      <color rgb="FF7F7F7F"/>
      <name val="Arial"/>
      <charset val="1"/>
    </font>
    <font>
      <sz val="11"/>
      <color theme="1"/>
      <name val="Calibri"/>
      <family val="2"/>
      <charset val="1"/>
    </font>
  </fonts>
  <fills count="5">
    <fill>
      <patternFill patternType="none"/>
    </fill>
    <fill>
      <patternFill patternType="gray125"/>
    </fill>
    <fill>
      <patternFill patternType="solid">
        <fgColor rgb="FF722F37"/>
        <bgColor rgb="FF7030A0"/>
      </patternFill>
    </fill>
    <fill>
      <patternFill patternType="solid">
        <fgColor rgb="FFF7E9EC"/>
        <bgColor rgb="FFFFFFFF"/>
      </patternFill>
    </fill>
    <fill>
      <patternFill patternType="solid">
        <fgColor rgb="FFFFFF00"/>
        <bgColor rgb="FFFFFF00"/>
      </patternFill>
    </fill>
  </fills>
  <borders count="30">
    <border>
      <left/>
      <right/>
      <top/>
      <bottom/>
      <diagonal/>
    </border>
    <border>
      <left style="thin">
        <color rgb="FFBFBFBF"/>
      </left>
      <right style="thin">
        <color rgb="FFBFBFBF"/>
      </right>
      <top style="thin">
        <color rgb="FFBFBFBF"/>
      </top>
      <bottom style="thin">
        <color rgb="FFBFBFBF"/>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bottom/>
      <diagonal/>
    </border>
    <border>
      <left style="thin">
        <color auto="1"/>
      </left>
      <right/>
      <top/>
      <bottom/>
      <diagonal/>
    </border>
    <border>
      <left/>
      <right style="medium">
        <color auto="1"/>
      </right>
      <top/>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right style="thin">
        <color auto="1"/>
      </right>
      <top style="thin">
        <color auto="1"/>
      </top>
      <bottom/>
      <diagonal/>
    </border>
    <border>
      <left style="thin">
        <color auto="1"/>
      </left>
      <right style="medium">
        <color auto="1"/>
      </right>
      <top style="thin">
        <color auto="1"/>
      </top>
      <bottom/>
      <diagonal/>
    </border>
    <border>
      <left/>
      <right style="thin">
        <color auto="1"/>
      </right>
      <top/>
      <bottom/>
      <diagonal/>
    </border>
    <border>
      <left style="thin">
        <color auto="1"/>
      </left>
      <right style="medium">
        <color auto="1"/>
      </right>
      <top/>
      <bottom/>
      <diagonal/>
    </border>
    <border>
      <left/>
      <right style="thin">
        <color auto="1"/>
      </right>
      <top/>
      <bottom style="thin">
        <color auto="1"/>
      </bottom>
      <diagonal/>
    </border>
    <border>
      <left style="thin">
        <color auto="1"/>
      </left>
      <right style="medium">
        <color auto="1"/>
      </right>
      <top/>
      <bottom style="thin">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7">
    <xf numFmtId="0" fontId="0" fillId="0" borderId="0"/>
    <xf numFmtId="0" fontId="17" fillId="0" borderId="0" applyBorder="0" applyProtection="0"/>
    <xf numFmtId="0" fontId="17" fillId="0" borderId="0" applyBorder="0" applyProtection="0"/>
    <xf numFmtId="0" fontId="17" fillId="0" borderId="0" applyBorder="0" applyProtection="0"/>
    <xf numFmtId="0" fontId="17" fillId="0" borderId="0" applyBorder="0" applyProtection="0">
      <alignment horizontal="left"/>
    </xf>
    <xf numFmtId="0" fontId="1" fillId="0" borderId="0" applyBorder="0" applyProtection="0">
      <alignment horizontal="left"/>
    </xf>
    <xf numFmtId="0" fontId="1" fillId="0" borderId="0" applyBorder="0" applyProtection="0"/>
  </cellStyleXfs>
  <cellXfs count="102">
    <xf numFmtId="0" fontId="0" fillId="0" borderId="0" xfId="0"/>
    <xf numFmtId="0" fontId="3" fillId="0" borderId="1" xfId="0" applyFont="1" applyBorder="1" applyAlignment="1">
      <alignment vertical="top" wrapText="1"/>
    </xf>
    <xf numFmtId="0" fontId="2" fillId="2" borderId="1" xfId="0" applyFont="1" applyFill="1" applyBorder="1" applyAlignment="1">
      <alignment horizontal="center" vertical="center" wrapText="1"/>
    </xf>
    <xf numFmtId="165" fontId="13" fillId="3" borderId="0" xfId="0" applyNumberFormat="1" applyFont="1" applyFill="1" applyAlignment="1">
      <alignment horizontal="center" vertical="center"/>
    </xf>
    <xf numFmtId="2" fontId="13" fillId="3" borderId="0" xfId="0" applyNumberFormat="1" applyFont="1" applyFill="1" applyAlignment="1">
      <alignment horizontal="center" vertical="center"/>
    </xf>
    <xf numFmtId="167" fontId="13" fillId="3" borderId="0" xfId="0" applyNumberFormat="1" applyFont="1" applyFill="1" applyAlignment="1">
      <alignment horizontal="center" vertical="center"/>
    </xf>
    <xf numFmtId="3" fontId="13" fillId="3" borderId="0" xfId="0" applyNumberFormat="1" applyFont="1" applyFill="1" applyAlignment="1">
      <alignment horizontal="center" vertical="center"/>
    </xf>
    <xf numFmtId="0" fontId="2" fillId="2" borderId="0" xfId="0" applyFont="1" applyFill="1" applyAlignment="1">
      <alignment horizontal="center"/>
    </xf>
    <xf numFmtId="0" fontId="2" fillId="2" borderId="1" xfId="0" applyFont="1" applyFill="1" applyBorder="1" applyAlignment="1">
      <alignment horizontal="center" vertical="center" wrapText="1"/>
    </xf>
    <xf numFmtId="0" fontId="3" fillId="0" borderId="0" xfId="0" applyFont="1"/>
    <xf numFmtId="1" fontId="3" fillId="0" borderId="0" xfId="0" applyNumberFormat="1" applyFont="1"/>
    <xf numFmtId="164" fontId="3" fillId="0" borderId="0" xfId="0" applyNumberFormat="1" applyFont="1"/>
    <xf numFmtId="165" fontId="3" fillId="0" borderId="0" xfId="0" applyNumberFormat="1" applyFont="1"/>
    <xf numFmtId="2" fontId="3" fillId="0" borderId="0" xfId="0" applyNumberFormat="1" applyFont="1"/>
    <xf numFmtId="166" fontId="3" fillId="0" borderId="0" xfId="0" applyNumberFormat="1" applyFont="1"/>
    <xf numFmtId="0" fontId="4" fillId="0" borderId="0" xfId="0" applyFont="1"/>
    <xf numFmtId="0" fontId="5" fillId="0" borderId="0" xfId="0" applyFont="1"/>
    <xf numFmtId="0" fontId="3" fillId="0" borderId="1" xfId="0" applyFont="1" applyBorder="1"/>
    <xf numFmtId="1" fontId="3" fillId="0" borderId="1" xfId="0" applyNumberFormat="1" applyFont="1" applyBorder="1"/>
    <xf numFmtId="167" fontId="3" fillId="0" borderId="1" xfId="0" applyNumberFormat="1" applyFont="1" applyBorder="1"/>
    <xf numFmtId="0" fontId="6" fillId="0" borderId="0" xfId="0" applyFont="1"/>
    <xf numFmtId="164" fontId="3" fillId="0" borderId="1" xfId="0" applyNumberFormat="1" applyFont="1" applyBorder="1"/>
    <xf numFmtId="165" fontId="3" fillId="0" borderId="1" xfId="0" applyNumberFormat="1" applyFont="1" applyBorder="1"/>
    <xf numFmtId="2" fontId="3" fillId="0" borderId="1" xfId="0" applyNumberFormat="1" applyFont="1" applyBorder="1"/>
    <xf numFmtId="166" fontId="3" fillId="0" borderId="1" xfId="0" applyNumberFormat="1" applyFont="1" applyBorder="1"/>
    <xf numFmtId="0" fontId="17" fillId="0" borderId="2" xfId="1" applyBorder="1"/>
    <xf numFmtId="0" fontId="17" fillId="0" borderId="3" xfId="3" applyBorder="1"/>
    <xf numFmtId="0" fontId="17" fillId="0" borderId="4" xfId="1" applyBorder="1"/>
    <xf numFmtId="0" fontId="17" fillId="0" borderId="5" xfId="1" applyBorder="1"/>
    <xf numFmtId="0" fontId="17" fillId="0" borderId="6" xfId="3" applyBorder="1"/>
    <xf numFmtId="0" fontId="17" fillId="0" borderId="7" xfId="4" applyBorder="1">
      <alignment horizontal="left"/>
    </xf>
    <xf numFmtId="0" fontId="17" fillId="0" borderId="8" xfId="4" applyBorder="1">
      <alignment horizontal="left"/>
    </xf>
    <xf numFmtId="0" fontId="17" fillId="0" borderId="9" xfId="4" applyBorder="1">
      <alignment horizontal="left"/>
    </xf>
    <xf numFmtId="1" fontId="17" fillId="0" borderId="10" xfId="4" applyNumberFormat="1" applyBorder="1">
      <alignment horizontal="left"/>
    </xf>
    <xf numFmtId="0" fontId="17" fillId="0" borderId="11" xfId="2" applyBorder="1"/>
    <xf numFmtId="2" fontId="17" fillId="0" borderId="12" xfId="2" applyNumberFormat="1" applyBorder="1"/>
    <xf numFmtId="165" fontId="17" fillId="0" borderId="12" xfId="2" applyNumberFormat="1" applyBorder="1"/>
    <xf numFmtId="2" fontId="17" fillId="0" borderId="13" xfId="2" applyNumberFormat="1" applyBorder="1"/>
    <xf numFmtId="1" fontId="17" fillId="0" borderId="14" xfId="4" applyNumberFormat="1" applyBorder="1">
      <alignment horizontal="left"/>
    </xf>
    <xf numFmtId="0" fontId="17" fillId="0" borderId="15" xfId="2" applyBorder="1"/>
    <xf numFmtId="2" fontId="17" fillId="0" borderId="0" xfId="2" applyNumberFormat="1"/>
    <xf numFmtId="165" fontId="17" fillId="0" borderId="0" xfId="2" applyNumberFormat="1"/>
    <xf numFmtId="2" fontId="17" fillId="0" borderId="16" xfId="2" applyNumberFormat="1" applyBorder="1"/>
    <xf numFmtId="0" fontId="17" fillId="0" borderId="7" xfId="2" applyBorder="1"/>
    <xf numFmtId="2" fontId="17" fillId="0" borderId="8" xfId="2" applyNumberFormat="1" applyBorder="1"/>
    <xf numFmtId="165" fontId="17" fillId="0" borderId="8" xfId="2" applyNumberFormat="1" applyBorder="1"/>
    <xf numFmtId="2" fontId="17" fillId="0" borderId="9" xfId="2" applyNumberFormat="1" applyBorder="1"/>
    <xf numFmtId="1" fontId="1" fillId="0" borderId="17" xfId="5" applyNumberFormat="1" applyBorder="1">
      <alignment horizontal="left"/>
    </xf>
    <xf numFmtId="0" fontId="1" fillId="0" borderId="18" xfId="6" applyBorder="1"/>
    <xf numFmtId="2" fontId="1" fillId="0" borderId="19" xfId="6" applyNumberFormat="1" applyBorder="1"/>
    <xf numFmtId="165" fontId="1" fillId="0" borderId="19" xfId="6" applyNumberFormat="1" applyBorder="1"/>
    <xf numFmtId="2" fontId="1" fillId="0" borderId="20" xfId="6" applyNumberFormat="1" applyBorder="1"/>
    <xf numFmtId="1" fontId="17" fillId="0" borderId="7" xfId="4" applyNumberFormat="1" applyBorder="1">
      <alignment horizontal="left"/>
    </xf>
    <xf numFmtId="1" fontId="17" fillId="0" borderId="8" xfId="4" applyNumberFormat="1" applyBorder="1">
      <alignment horizontal="left"/>
    </xf>
    <xf numFmtId="1" fontId="1" fillId="0" borderId="21" xfId="5" applyNumberFormat="1" applyBorder="1">
      <alignment horizontal="left"/>
    </xf>
    <xf numFmtId="0" fontId="17" fillId="0" borderId="10" xfId="4" applyBorder="1">
      <alignment horizontal="left"/>
    </xf>
    <xf numFmtId="0" fontId="17" fillId="0" borderId="12" xfId="2" applyBorder="1"/>
    <xf numFmtId="0" fontId="17" fillId="0" borderId="22" xfId="2" applyBorder="1"/>
    <xf numFmtId="0" fontId="1" fillId="0" borderId="23" xfId="6" applyBorder="1"/>
    <xf numFmtId="0" fontId="17" fillId="0" borderId="14" xfId="4" applyBorder="1">
      <alignment horizontal="left"/>
    </xf>
    <xf numFmtId="0" fontId="17" fillId="0" borderId="0" xfId="2"/>
    <xf numFmtId="0" fontId="17" fillId="0" borderId="24" xfId="2" applyBorder="1"/>
    <xf numFmtId="0" fontId="1" fillId="0" borderId="25" xfId="6" applyBorder="1"/>
    <xf numFmtId="0" fontId="17" fillId="0" borderId="8" xfId="2" applyBorder="1"/>
    <xf numFmtId="0" fontId="17" fillId="0" borderId="26" xfId="2" applyBorder="1"/>
    <xf numFmtId="0" fontId="1" fillId="0" borderId="27" xfId="6" applyBorder="1"/>
    <xf numFmtId="0" fontId="1" fillId="0" borderId="17" xfId="5" applyBorder="1">
      <alignment horizontal="left"/>
    </xf>
    <xf numFmtId="0" fontId="1" fillId="0" borderId="19" xfId="6" applyBorder="1"/>
    <xf numFmtId="0" fontId="1" fillId="0" borderId="28" xfId="6" applyBorder="1"/>
    <xf numFmtId="0" fontId="1" fillId="0" borderId="29" xfId="6" applyBorder="1"/>
    <xf numFmtId="0" fontId="1" fillId="0" borderId="21" xfId="5" applyBorder="1">
      <alignment horizontal="left"/>
    </xf>
    <xf numFmtId="0" fontId="3" fillId="0" borderId="1" xfId="0" applyFont="1" applyBorder="1" applyAlignment="1">
      <alignment horizontal="center"/>
    </xf>
    <xf numFmtId="0" fontId="7" fillId="3" borderId="1" xfId="0" applyFont="1" applyFill="1" applyBorder="1" applyAlignment="1">
      <alignment horizontal="center"/>
    </xf>
    <xf numFmtId="1" fontId="7" fillId="3" borderId="1" xfId="0" applyNumberFormat="1" applyFont="1" applyFill="1" applyBorder="1"/>
    <xf numFmtId="167" fontId="7" fillId="3" borderId="1" xfId="0" applyNumberFormat="1" applyFont="1" applyFill="1" applyBorder="1"/>
    <xf numFmtId="2" fontId="7" fillId="3" borderId="1" xfId="0" applyNumberFormat="1" applyFont="1" applyFill="1" applyBorder="1"/>
    <xf numFmtId="165" fontId="7" fillId="3" borderId="1" xfId="0" applyNumberFormat="1" applyFont="1" applyFill="1" applyBorder="1"/>
    <xf numFmtId="164" fontId="3" fillId="0" borderId="1" xfId="0" applyNumberFormat="1" applyFont="1" applyBorder="1" applyAlignment="1">
      <alignment horizontal="center"/>
    </xf>
    <xf numFmtId="164" fontId="8" fillId="0" borderId="1" xfId="0" applyNumberFormat="1" applyFont="1" applyBorder="1"/>
    <xf numFmtId="164" fontId="7" fillId="3" borderId="1" xfId="0" applyNumberFormat="1" applyFont="1" applyFill="1" applyBorder="1" applyAlignment="1">
      <alignment horizontal="center"/>
    </xf>
    <xf numFmtId="164" fontId="7" fillId="3" borderId="1" xfId="0" applyNumberFormat="1" applyFont="1" applyFill="1" applyBorder="1"/>
    <xf numFmtId="0" fontId="9" fillId="0" borderId="0" xfId="0" applyFont="1" applyAlignment="1">
      <alignment horizontal="center"/>
    </xf>
    <xf numFmtId="0" fontId="10" fillId="0" borderId="0" xfId="0" applyFont="1"/>
    <xf numFmtId="2" fontId="8" fillId="0" borderId="1" xfId="0" applyNumberFormat="1" applyFont="1" applyBorder="1"/>
    <xf numFmtId="1" fontId="8" fillId="0" borderId="1" xfId="0" applyNumberFormat="1" applyFont="1" applyBorder="1"/>
    <xf numFmtId="0" fontId="8" fillId="0" borderId="1" xfId="0" applyFont="1" applyBorder="1" applyAlignment="1">
      <alignment horizontal="center"/>
    </xf>
    <xf numFmtId="1" fontId="8" fillId="4" borderId="1" xfId="0" applyNumberFormat="1" applyFont="1" applyFill="1" applyBorder="1" applyAlignment="1">
      <alignment horizontal="center"/>
    </xf>
    <xf numFmtId="1" fontId="3" fillId="0" borderId="1" xfId="0" applyNumberFormat="1" applyFont="1" applyBorder="1" applyAlignment="1">
      <alignment horizontal="center"/>
    </xf>
    <xf numFmtId="2" fontId="3" fillId="0" borderId="1" xfId="0" applyNumberFormat="1" applyFont="1" applyBorder="1" applyAlignment="1">
      <alignment horizontal="center"/>
    </xf>
    <xf numFmtId="0" fontId="11" fillId="2" borderId="0" xfId="0" applyFont="1" applyFill="1" applyAlignment="1">
      <alignment horizontal="center" vertical="center" wrapText="1"/>
    </xf>
    <xf numFmtId="0" fontId="2" fillId="2" borderId="0" xfId="0" applyFont="1" applyFill="1"/>
    <xf numFmtId="2" fontId="12" fillId="0" borderId="0" xfId="0" applyNumberFormat="1" applyFont="1" applyAlignment="1">
      <alignment horizontal="center"/>
    </xf>
    <xf numFmtId="0" fontId="13" fillId="0" borderId="0" xfId="0" applyFont="1"/>
    <xf numFmtId="0" fontId="14" fillId="0" borderId="0" xfId="0" applyFont="1"/>
    <xf numFmtId="0" fontId="7" fillId="0" borderId="0" xfId="0" applyFont="1"/>
    <xf numFmtId="0" fontId="15" fillId="4" borderId="1" xfId="0" applyFont="1" applyFill="1" applyBorder="1" applyAlignment="1">
      <alignment horizontal="center"/>
    </xf>
    <xf numFmtId="0" fontId="16" fillId="0" borderId="0" xfId="0" applyFont="1"/>
    <xf numFmtId="3" fontId="3" fillId="0" borderId="1" xfId="0" applyNumberFormat="1" applyFont="1" applyBorder="1"/>
    <xf numFmtId="1" fontId="7" fillId="3" borderId="1" xfId="0" applyNumberFormat="1" applyFont="1" applyFill="1" applyBorder="1" applyAlignment="1">
      <alignment horizontal="center"/>
    </xf>
    <xf numFmtId="3" fontId="7" fillId="3" borderId="1" xfId="0" applyNumberFormat="1" applyFont="1" applyFill="1" applyBorder="1"/>
    <xf numFmtId="168" fontId="3" fillId="0" borderId="1" xfId="0" applyNumberFormat="1" applyFont="1" applyBorder="1"/>
    <xf numFmtId="0" fontId="3" fillId="0" borderId="1" xfId="0" applyFont="1" applyBorder="1" applyAlignment="1">
      <alignment vertical="top" wrapText="1"/>
    </xf>
  </cellXfs>
  <cellStyles count="7">
    <cellStyle name="Normal" xfId="0" builtinId="0"/>
    <cellStyle name="Pivot Table Category" xfId="4" xr:uid="{00000000-0005-0000-0000-000009000000}"/>
    <cellStyle name="Pivot Table Corner" xfId="1" xr:uid="{00000000-0005-0000-0000-000006000000}"/>
    <cellStyle name="Pivot Table Field" xfId="3" xr:uid="{00000000-0005-0000-0000-000008000000}"/>
    <cellStyle name="Pivot Table Result" xfId="6" xr:uid="{00000000-0005-0000-0000-00000B000000}"/>
    <cellStyle name="Pivot Table Title" xfId="5" xr:uid="{00000000-0005-0000-0000-00000A000000}"/>
    <cellStyle name="Pivot Table Value" xfId="2" xr:uid="{00000000-0005-0000-0000-000007000000}"/>
  </cellStyles>
  <dxfs count="7">
    <dxf>
      <font>
        <color rgb="FF9C0006"/>
        <name val="Arial"/>
        <charset val="1"/>
      </font>
      <fill>
        <patternFill>
          <bgColor rgb="FFFFC7CE"/>
        </patternFill>
      </fill>
    </dxf>
    <dxf>
      <font>
        <color rgb="FF006100"/>
        <name val="Arial"/>
        <charset val="1"/>
      </font>
      <fill>
        <patternFill>
          <bgColor rgb="FFC6EFCE"/>
        </patternFill>
      </fill>
    </dxf>
    <dxf>
      <font>
        <color rgb="FF9C0006"/>
        <name val="Arial"/>
        <charset val="1"/>
      </font>
      <fill>
        <patternFill>
          <bgColor rgb="FFFFC7CE"/>
        </patternFill>
      </fill>
    </dxf>
    <dxf>
      <font>
        <color rgb="FF9C5700"/>
        <name val="Arial"/>
        <charset val="1"/>
      </font>
      <fill>
        <patternFill>
          <bgColor rgb="FFFFEB9C"/>
        </patternFill>
      </fill>
    </dxf>
    <dxf>
      <font>
        <color rgb="FF9C0006"/>
        <name val="Arial"/>
        <charset val="1"/>
      </font>
      <fill>
        <patternFill>
          <bgColor rgb="FFFFC7CE"/>
        </patternFill>
      </fill>
    </dxf>
    <dxf>
      <font>
        <color rgb="FF9C0006"/>
        <name val="Arial"/>
        <charset val="1"/>
      </font>
      <fill>
        <patternFill>
          <bgColor rgb="FFFFC7CE"/>
        </patternFill>
      </fill>
    </dxf>
    <dxf>
      <font>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70AD47"/>
      <rgbColor rgb="FF800080"/>
      <rgbColor rgb="FF4F81BD"/>
      <rgbColor rgb="FFBFBFBF"/>
      <rgbColor rgb="FF7F7F7F"/>
      <rgbColor rgb="FF9999FF"/>
      <rgbColor rgb="FF722F37"/>
      <rgbColor rgb="FFF7E9EC"/>
      <rgbColor rgb="FFCCFFFF"/>
      <rgbColor rgb="FF660066"/>
      <rgbColor rgb="FFC0504D"/>
      <rgbColor rgb="FF0066CC"/>
      <rgbColor rgb="FFD9D9D9"/>
      <rgbColor rgb="FF000080"/>
      <rgbColor rgb="FFFF00FF"/>
      <rgbColor rgb="FFFFFF00"/>
      <rgbColor rgb="FF00FFFF"/>
      <rgbColor rgb="FF800080"/>
      <rgbColor rgb="FFC55A11"/>
      <rgbColor rgb="FF008080"/>
      <rgbColor rgb="FF0000FF"/>
      <rgbColor rgb="FF00CCFF"/>
      <rgbColor rgb="FFCCFFFF"/>
      <rgbColor rgb="FFC6EFCE"/>
      <rgbColor rgb="FFFFEB9C"/>
      <rgbColor rgb="FF99CCFF"/>
      <rgbColor rgb="FFFF99CC"/>
      <rgbColor rgb="FFCC99FF"/>
      <rgbColor rgb="FFFFC7CE"/>
      <rgbColor rgb="FF2E75B6"/>
      <rgbColor rgb="FF4BACC6"/>
      <rgbColor rgb="FF9BBB59"/>
      <rgbColor rgb="FFFFC000"/>
      <rgbColor rgb="FFF79646"/>
      <rgbColor rgb="FFED7D31"/>
      <rgbColor rgb="FF8064A2"/>
      <rgbColor rgb="FF878787"/>
      <rgbColor rgb="FF003366"/>
      <rgbColor rgb="FF4A7EBB"/>
      <rgbColor rgb="FF003300"/>
      <rgbColor rgb="FF333300"/>
      <rgbColor rgb="FF9C5700"/>
      <rgbColor rgb="FFBE4B48"/>
      <rgbColor rgb="FF7030A0"/>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Number of wines by quality score</a:t>
            </a:r>
          </a:p>
        </c:rich>
      </c:tx>
      <c:overlay val="0"/>
      <c:spPr>
        <a:noFill/>
        <a:ln w="0">
          <a:noFill/>
        </a:ln>
      </c:spPr>
    </c:title>
    <c:autoTitleDeleted val="0"/>
    <c:plotArea>
      <c:layout/>
      <c:barChart>
        <c:barDir val="col"/>
        <c:grouping val="clustered"/>
        <c:varyColors val="0"/>
        <c:ser>
          <c:idx val="0"/>
          <c:order val="0"/>
          <c:tx>
            <c:strRef>
              <c:f>'3_Summary_Tables'!$B$4</c:f>
              <c:strCache>
                <c:ptCount val="1"/>
                <c:pt idx="0">
                  <c:v>Wine_Count</c:v>
                </c:pt>
              </c:strCache>
            </c:strRef>
          </c:tx>
          <c:spPr>
            <a:solidFill>
              <a:srgbClr val="722F37"/>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'3_Summary_Tables'!$A$5:$A$10</c:f>
              <c:numCache>
                <c:formatCode>General</c:formatCode>
                <c:ptCount val="6"/>
                <c:pt idx="0">
                  <c:v>3</c:v>
                </c:pt>
                <c:pt idx="1">
                  <c:v>4</c:v>
                </c:pt>
                <c:pt idx="2">
                  <c:v>5</c:v>
                </c:pt>
                <c:pt idx="3">
                  <c:v>6</c:v>
                </c:pt>
                <c:pt idx="4">
                  <c:v>7</c:v>
                </c:pt>
                <c:pt idx="5">
                  <c:v>8</c:v>
                </c:pt>
              </c:numCache>
            </c:numRef>
          </c:cat>
          <c:val>
            <c:numRef>
              <c:f>'3_Summary_Tables'!$B$5:$B$10</c:f>
              <c:numCache>
                <c:formatCode>0</c:formatCode>
                <c:ptCount val="6"/>
                <c:pt idx="0">
                  <c:v>10</c:v>
                </c:pt>
                <c:pt idx="1">
                  <c:v>53</c:v>
                </c:pt>
                <c:pt idx="2">
                  <c:v>577</c:v>
                </c:pt>
                <c:pt idx="3">
                  <c:v>535</c:v>
                </c:pt>
                <c:pt idx="4">
                  <c:v>167</c:v>
                </c:pt>
                <c:pt idx="5">
                  <c:v>17</c:v>
                </c:pt>
              </c:numCache>
            </c:numRef>
          </c:val>
          <c:extLst>
            <c:ext xmlns:c16="http://schemas.microsoft.com/office/drawing/2014/chart" uri="{C3380CC4-5D6E-409C-BE32-E72D297353CC}">
              <c16:uniqueId val="{00000000-D307-4CD5-99A2-D294CE9044E5}"/>
            </c:ext>
          </c:extLst>
        </c:ser>
        <c:dLbls>
          <c:showLegendKey val="0"/>
          <c:showVal val="0"/>
          <c:showCatName val="0"/>
          <c:showSerName val="0"/>
          <c:showPercent val="0"/>
          <c:showBubbleSize val="0"/>
        </c:dLbls>
        <c:gapWidth val="150"/>
        <c:axId val="9978306"/>
        <c:axId val="72935669"/>
      </c:barChart>
      <c:catAx>
        <c:axId val="9978306"/>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Quality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935669"/>
        <c:crosses val="autoZero"/>
        <c:auto val="1"/>
        <c:lblAlgn val="ctr"/>
        <c:lblOffset val="100"/>
        <c:noMultiLvlLbl val="0"/>
      </c:catAx>
      <c:valAx>
        <c:axId val="7293566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Wines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7830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Average alcohol % by quality score</a:t>
            </a:r>
          </a:p>
        </c:rich>
      </c:tx>
      <c:overlay val="0"/>
      <c:spPr>
        <a:noFill/>
        <a:ln w="0">
          <a:noFill/>
        </a:ln>
      </c:spPr>
    </c:title>
    <c:autoTitleDeleted val="0"/>
    <c:plotArea>
      <c:layout/>
      <c:barChart>
        <c:barDir val="col"/>
        <c:grouping val="clustered"/>
        <c:varyColors val="0"/>
        <c:ser>
          <c:idx val="0"/>
          <c:order val="0"/>
          <c:tx>
            <c:strRef>
              <c:f>'3_Summary_Tables'!$D$4</c:f>
              <c:strCache>
                <c:ptCount val="1"/>
                <c:pt idx="0">
                  <c:v>Avg_Alcohol</c:v>
                </c:pt>
              </c:strCache>
            </c:strRef>
          </c:tx>
          <c:spPr>
            <a:solidFill>
              <a:srgbClr val="C55A11"/>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'3_Summary_Tables'!$A$5:$A$10</c:f>
              <c:numCache>
                <c:formatCode>General</c:formatCode>
                <c:ptCount val="6"/>
                <c:pt idx="0">
                  <c:v>3</c:v>
                </c:pt>
                <c:pt idx="1">
                  <c:v>4</c:v>
                </c:pt>
                <c:pt idx="2">
                  <c:v>5</c:v>
                </c:pt>
                <c:pt idx="3">
                  <c:v>6</c:v>
                </c:pt>
                <c:pt idx="4">
                  <c:v>7</c:v>
                </c:pt>
                <c:pt idx="5">
                  <c:v>8</c:v>
                </c:pt>
              </c:numCache>
            </c:numRef>
          </c:cat>
          <c:val>
            <c:numRef>
              <c:f>'3_Summary_Tables'!$D$5:$D$10</c:f>
              <c:numCache>
                <c:formatCode>0.00</c:formatCode>
                <c:ptCount val="6"/>
                <c:pt idx="0">
                  <c:v>9.9550000000000018</c:v>
                </c:pt>
                <c:pt idx="1">
                  <c:v>10.265094339622639</c:v>
                </c:pt>
                <c:pt idx="2">
                  <c:v>9.8885615251299814</c:v>
                </c:pt>
                <c:pt idx="3">
                  <c:v>10.658878504672899</c:v>
                </c:pt>
                <c:pt idx="4">
                  <c:v>11.491117764471053</c:v>
                </c:pt>
                <c:pt idx="5">
                  <c:v>12.158823529411764</c:v>
                </c:pt>
              </c:numCache>
            </c:numRef>
          </c:val>
          <c:extLst>
            <c:ext xmlns:c16="http://schemas.microsoft.com/office/drawing/2014/chart" uri="{C3380CC4-5D6E-409C-BE32-E72D297353CC}">
              <c16:uniqueId val="{00000000-5B31-40DC-B042-5B08D0569688}"/>
            </c:ext>
          </c:extLst>
        </c:ser>
        <c:dLbls>
          <c:showLegendKey val="0"/>
          <c:showVal val="0"/>
          <c:showCatName val="0"/>
          <c:showSerName val="0"/>
          <c:showPercent val="0"/>
          <c:showBubbleSize val="0"/>
        </c:dLbls>
        <c:gapWidth val="150"/>
        <c:axId val="31992166"/>
        <c:axId val="63934858"/>
      </c:barChart>
      <c:catAx>
        <c:axId val="31992166"/>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Quality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3934858"/>
        <c:crosses val="autoZero"/>
        <c:auto val="1"/>
        <c:lblAlgn val="ctr"/>
        <c:lblOffset val="100"/>
        <c:noMultiLvlLbl val="0"/>
      </c:catAx>
      <c:valAx>
        <c:axId val="63934858"/>
        <c:scaling>
          <c:orientation val="minMax"/>
          <c:min val="8"/>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Alcohol (% vol)</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199216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Wine count by alcohol band, stacked by quality</a:t>
            </a:r>
          </a:p>
        </c:rich>
      </c:tx>
      <c:overlay val="0"/>
      <c:spPr>
        <a:noFill/>
        <a:ln w="0">
          <a:noFill/>
        </a:ln>
      </c:spPr>
    </c:title>
    <c:autoTitleDeleted val="0"/>
    <c:plotArea>
      <c:layout/>
      <c:barChart>
        <c:barDir val="col"/>
        <c:grouping val="stacked"/>
        <c:varyColors val="0"/>
        <c:ser>
          <c:idx val="0"/>
          <c:order val="0"/>
          <c:tx>
            <c:strRef>
              <c:f>'3_Summary_Tables'!$D$15</c:f>
              <c:strCache>
                <c:ptCount val="1"/>
                <c:pt idx="0">
                  <c:v>3</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'3_Summary_Tables'!$A$16:$A$18</c:f>
              <c:strCache>
                <c:ptCount val="3"/>
                <c:pt idx="0">
                  <c:v>Low</c:v>
                </c:pt>
                <c:pt idx="1">
                  <c:v>Medium</c:v>
                </c:pt>
                <c:pt idx="2">
                  <c:v>High</c:v>
                </c:pt>
              </c:strCache>
            </c:strRef>
          </c:cat>
          <c:val>
            <c:numRef>
              <c:f>'3_Summary_Tables'!$D$16:$D$18</c:f>
              <c:numCache>
                <c:formatCode>0</c:formatCode>
                <c:ptCount val="3"/>
                <c:pt idx="0">
                  <c:v>6</c:v>
                </c:pt>
                <c:pt idx="1">
                  <c:v>4</c:v>
                </c:pt>
                <c:pt idx="2">
                  <c:v>0</c:v>
                </c:pt>
              </c:numCache>
            </c:numRef>
          </c:val>
          <c:extLst>
            <c:ext xmlns:c16="http://schemas.microsoft.com/office/drawing/2014/chart" uri="{C3380CC4-5D6E-409C-BE32-E72D297353CC}">
              <c16:uniqueId val="{00000000-ADFC-4BE6-9E1D-76C2CC575C46}"/>
            </c:ext>
          </c:extLst>
        </c:ser>
        <c:ser>
          <c:idx val="1"/>
          <c:order val="1"/>
          <c:tx>
            <c:strRef>
              <c:f>'3_Summary_Tables'!$E$15</c:f>
              <c:strCache>
                <c:ptCount val="1"/>
                <c:pt idx="0">
                  <c:v>4</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'3_Summary_Tables'!$A$16:$A$18</c:f>
              <c:strCache>
                <c:ptCount val="3"/>
                <c:pt idx="0">
                  <c:v>Low</c:v>
                </c:pt>
                <c:pt idx="1">
                  <c:v>Medium</c:v>
                </c:pt>
                <c:pt idx="2">
                  <c:v>High</c:v>
                </c:pt>
              </c:strCache>
            </c:strRef>
          </c:cat>
          <c:val>
            <c:numRef>
              <c:f>'3_Summary_Tables'!$E$16:$E$18</c:f>
              <c:numCache>
                <c:formatCode>0</c:formatCode>
                <c:ptCount val="3"/>
                <c:pt idx="0">
                  <c:v>24</c:v>
                </c:pt>
                <c:pt idx="1">
                  <c:v>24</c:v>
                </c:pt>
                <c:pt idx="2">
                  <c:v>5</c:v>
                </c:pt>
              </c:numCache>
            </c:numRef>
          </c:val>
          <c:extLst>
            <c:ext xmlns:c16="http://schemas.microsoft.com/office/drawing/2014/chart" uri="{C3380CC4-5D6E-409C-BE32-E72D297353CC}">
              <c16:uniqueId val="{00000001-ADFC-4BE6-9E1D-76C2CC575C46}"/>
            </c:ext>
          </c:extLst>
        </c:ser>
        <c:ser>
          <c:idx val="2"/>
          <c:order val="2"/>
          <c:tx>
            <c:strRef>
              <c:f>'3_Summary_Tables'!$F$15</c:f>
              <c:strCache>
                <c:ptCount val="1"/>
                <c:pt idx="0">
                  <c:v>5</c:v>
                </c:pt>
              </c:strCache>
            </c:strRef>
          </c:tx>
          <c:spPr>
            <a:solidFill>
              <a:srgbClr val="9BBB5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'3_Summary_Tables'!$A$16:$A$18</c:f>
              <c:strCache>
                <c:ptCount val="3"/>
                <c:pt idx="0">
                  <c:v>Low</c:v>
                </c:pt>
                <c:pt idx="1">
                  <c:v>Medium</c:v>
                </c:pt>
                <c:pt idx="2">
                  <c:v>High</c:v>
                </c:pt>
              </c:strCache>
            </c:strRef>
          </c:cat>
          <c:val>
            <c:numRef>
              <c:f>'3_Summary_Tables'!$F$16:$F$18</c:f>
              <c:numCache>
                <c:formatCode>0</c:formatCode>
                <c:ptCount val="3"/>
                <c:pt idx="0">
                  <c:v>380</c:v>
                </c:pt>
                <c:pt idx="1">
                  <c:v>177</c:v>
                </c:pt>
                <c:pt idx="2">
                  <c:v>20</c:v>
                </c:pt>
              </c:numCache>
            </c:numRef>
          </c:val>
          <c:extLst>
            <c:ext xmlns:c16="http://schemas.microsoft.com/office/drawing/2014/chart" uri="{C3380CC4-5D6E-409C-BE32-E72D297353CC}">
              <c16:uniqueId val="{00000002-ADFC-4BE6-9E1D-76C2CC575C46}"/>
            </c:ext>
          </c:extLst>
        </c:ser>
        <c:ser>
          <c:idx val="3"/>
          <c:order val="3"/>
          <c:tx>
            <c:strRef>
              <c:f>'3_Summary_Tables'!$G$15</c:f>
              <c:strCache>
                <c:ptCount val="1"/>
                <c:pt idx="0">
                  <c:v>6</c:v>
                </c:pt>
              </c:strCache>
            </c:strRef>
          </c:tx>
          <c:spPr>
            <a:solidFill>
              <a:srgbClr val="8064A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'3_Summary_Tables'!$A$16:$A$18</c:f>
              <c:strCache>
                <c:ptCount val="3"/>
                <c:pt idx="0">
                  <c:v>Low</c:v>
                </c:pt>
                <c:pt idx="1">
                  <c:v>Medium</c:v>
                </c:pt>
                <c:pt idx="2">
                  <c:v>High</c:v>
                </c:pt>
              </c:strCache>
            </c:strRef>
          </c:cat>
          <c:val>
            <c:numRef>
              <c:f>'3_Summary_Tables'!$G$16:$G$18</c:f>
              <c:numCache>
                <c:formatCode>0</c:formatCode>
                <c:ptCount val="3"/>
                <c:pt idx="0">
                  <c:v>156</c:v>
                </c:pt>
                <c:pt idx="1">
                  <c:v>258</c:v>
                </c:pt>
                <c:pt idx="2">
                  <c:v>121</c:v>
                </c:pt>
              </c:numCache>
            </c:numRef>
          </c:val>
          <c:extLst>
            <c:ext xmlns:c16="http://schemas.microsoft.com/office/drawing/2014/chart" uri="{C3380CC4-5D6E-409C-BE32-E72D297353CC}">
              <c16:uniqueId val="{00000003-ADFC-4BE6-9E1D-76C2CC575C46}"/>
            </c:ext>
          </c:extLst>
        </c:ser>
        <c:ser>
          <c:idx val="4"/>
          <c:order val="4"/>
          <c:tx>
            <c:strRef>
              <c:f>'3_Summary_Tables'!$H$15</c:f>
              <c:strCache>
                <c:ptCount val="1"/>
                <c:pt idx="0">
                  <c:v>7</c:v>
                </c:pt>
              </c:strCache>
            </c:strRef>
          </c:tx>
          <c:spPr>
            <a:solidFill>
              <a:srgbClr val="4BACC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'3_Summary_Tables'!$A$16:$A$18</c:f>
              <c:strCache>
                <c:ptCount val="3"/>
                <c:pt idx="0">
                  <c:v>Low</c:v>
                </c:pt>
                <c:pt idx="1">
                  <c:v>Medium</c:v>
                </c:pt>
                <c:pt idx="2">
                  <c:v>High</c:v>
                </c:pt>
              </c:strCache>
            </c:strRef>
          </c:cat>
          <c:val>
            <c:numRef>
              <c:f>'3_Summary_Tables'!$H$16:$H$18</c:f>
              <c:numCache>
                <c:formatCode>0</c:formatCode>
                <c:ptCount val="3"/>
                <c:pt idx="0">
                  <c:v>9</c:v>
                </c:pt>
                <c:pt idx="1">
                  <c:v>69</c:v>
                </c:pt>
                <c:pt idx="2">
                  <c:v>89</c:v>
                </c:pt>
              </c:numCache>
            </c:numRef>
          </c:val>
          <c:extLst>
            <c:ext xmlns:c16="http://schemas.microsoft.com/office/drawing/2014/chart" uri="{C3380CC4-5D6E-409C-BE32-E72D297353CC}">
              <c16:uniqueId val="{00000004-ADFC-4BE6-9E1D-76C2CC575C46}"/>
            </c:ext>
          </c:extLst>
        </c:ser>
        <c:ser>
          <c:idx val="5"/>
          <c:order val="5"/>
          <c:tx>
            <c:strRef>
              <c:f>'3_Summary_Tables'!$I$15</c:f>
              <c:strCache>
                <c:ptCount val="1"/>
                <c:pt idx="0">
                  <c:v>8</c:v>
                </c:pt>
              </c:strCache>
            </c:strRef>
          </c:tx>
          <c:spPr>
            <a:solidFill>
              <a:srgbClr val="F7964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'3_Summary_Tables'!$A$16:$A$18</c:f>
              <c:strCache>
                <c:ptCount val="3"/>
                <c:pt idx="0">
                  <c:v>Low</c:v>
                </c:pt>
                <c:pt idx="1">
                  <c:v>Medium</c:v>
                </c:pt>
                <c:pt idx="2">
                  <c:v>High</c:v>
                </c:pt>
              </c:strCache>
            </c:strRef>
          </c:cat>
          <c:val>
            <c:numRef>
              <c:f>'3_Summary_Tables'!$I$16:$I$18</c:f>
              <c:numCache>
                <c:formatCode>0</c:formatCode>
                <c:ptCount val="3"/>
                <c:pt idx="0">
                  <c:v>1</c:v>
                </c:pt>
                <c:pt idx="1">
                  <c:v>4</c:v>
                </c:pt>
                <c:pt idx="2">
                  <c:v>12</c:v>
                </c:pt>
              </c:numCache>
            </c:numRef>
          </c:val>
          <c:extLst>
            <c:ext xmlns:c16="http://schemas.microsoft.com/office/drawing/2014/chart" uri="{C3380CC4-5D6E-409C-BE32-E72D297353CC}">
              <c16:uniqueId val="{00000005-ADFC-4BE6-9E1D-76C2CC575C46}"/>
            </c:ext>
          </c:extLst>
        </c:ser>
        <c:dLbls>
          <c:showLegendKey val="0"/>
          <c:showVal val="0"/>
          <c:showCatName val="0"/>
          <c:showSerName val="0"/>
          <c:showPercent val="0"/>
          <c:showBubbleSize val="0"/>
        </c:dLbls>
        <c:gapWidth val="150"/>
        <c:overlap val="100"/>
        <c:axId val="29747057"/>
        <c:axId val="83489354"/>
      </c:barChart>
      <c:catAx>
        <c:axId val="2974705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Alcohol band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3489354"/>
        <c:crosses val="autoZero"/>
        <c:auto val="1"/>
        <c:lblAlgn val="ctr"/>
        <c:lblOffset val="100"/>
        <c:noMultiLvlLbl val="0"/>
      </c:catAx>
      <c:valAx>
        <c:axId val="8348935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Wines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74705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Volatile acidity &amp; sulphates by quality score</a:t>
            </a:r>
          </a:p>
        </c:rich>
      </c:tx>
      <c:overlay val="0"/>
      <c:spPr>
        <a:noFill/>
        <a:ln w="0">
          <a:noFill/>
        </a:ln>
      </c:spPr>
    </c:title>
    <c:autoTitleDeleted val="0"/>
    <c:plotArea>
      <c:layout/>
      <c:lineChart>
        <c:grouping val="standard"/>
        <c:varyColors val="0"/>
        <c:ser>
          <c:idx val="0"/>
          <c:order val="0"/>
          <c:tx>
            <c:strRef>
              <c:f>'3_Summary_Tables'!$E$4</c:f>
              <c:strCache>
                <c:ptCount val="1"/>
                <c:pt idx="0">
                  <c:v>Avg_Volatile_Acidity</c:v>
                </c:pt>
              </c:strCache>
            </c:strRef>
          </c:tx>
          <c:spPr>
            <a:ln w="28440">
              <a:solidFill>
                <a:srgbClr val="4A7EBB"/>
              </a:solidFill>
              <a:round/>
            </a:ln>
          </c:spPr>
          <c:marker>
            <c:symbol val="circle"/>
            <c:size val="5"/>
            <c:spPr>
              <a:solidFill>
                <a:srgbClr val="4A7EBB"/>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'3_Summary_Tables'!$A$5:$A$10</c:f>
              <c:numCache>
                <c:formatCode>General</c:formatCode>
                <c:ptCount val="6"/>
                <c:pt idx="0">
                  <c:v>3</c:v>
                </c:pt>
                <c:pt idx="1">
                  <c:v>4</c:v>
                </c:pt>
                <c:pt idx="2">
                  <c:v>5</c:v>
                </c:pt>
                <c:pt idx="3">
                  <c:v>6</c:v>
                </c:pt>
                <c:pt idx="4">
                  <c:v>7</c:v>
                </c:pt>
                <c:pt idx="5">
                  <c:v>8</c:v>
                </c:pt>
              </c:numCache>
            </c:numRef>
          </c:cat>
          <c:val>
            <c:numRef>
              <c:f>'3_Summary_Tables'!$E$5:$E$10</c:f>
              <c:numCache>
                <c:formatCode>0.000</c:formatCode>
                <c:ptCount val="6"/>
                <c:pt idx="0">
                  <c:v>0.88450000000000006</c:v>
                </c:pt>
                <c:pt idx="1">
                  <c:v>0.69396226415094286</c:v>
                </c:pt>
                <c:pt idx="2">
                  <c:v>0.5785961871750428</c:v>
                </c:pt>
                <c:pt idx="3">
                  <c:v>0.49608411214953319</c:v>
                </c:pt>
                <c:pt idx="4">
                  <c:v>0.40365269461077841</c:v>
                </c:pt>
                <c:pt idx="5">
                  <c:v>0.42764705882352944</c:v>
                </c:pt>
              </c:numCache>
            </c:numRef>
          </c:val>
          <c:smooth val="1"/>
          <c:extLst>
            <c:ext xmlns:c16="http://schemas.microsoft.com/office/drawing/2014/chart" uri="{C3380CC4-5D6E-409C-BE32-E72D297353CC}">
              <c16:uniqueId val="{00000000-E35A-466F-9467-06B8EA5734AB}"/>
            </c:ext>
          </c:extLst>
        </c:ser>
        <c:ser>
          <c:idx val="1"/>
          <c:order val="1"/>
          <c:tx>
            <c:strRef>
              <c:f>'3_Summary_Tables'!$H$4</c:f>
              <c:strCache>
                <c:ptCount val="1"/>
                <c:pt idx="0">
                  <c:v>Avg_Sulphates</c:v>
                </c:pt>
              </c:strCache>
            </c:strRef>
          </c:tx>
          <c:spPr>
            <a:ln w="28440">
              <a:solidFill>
                <a:srgbClr val="BE4B48"/>
              </a:solidFill>
              <a:round/>
            </a:ln>
          </c:spPr>
          <c:marker>
            <c:symbol val="circle"/>
            <c:size val="5"/>
            <c:spPr>
              <a:solidFill>
                <a:srgbClr val="BE4B48"/>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'3_Summary_Tables'!$A$5:$A$10</c:f>
              <c:numCache>
                <c:formatCode>General</c:formatCode>
                <c:ptCount val="6"/>
                <c:pt idx="0">
                  <c:v>3</c:v>
                </c:pt>
                <c:pt idx="1">
                  <c:v>4</c:v>
                </c:pt>
                <c:pt idx="2">
                  <c:v>5</c:v>
                </c:pt>
                <c:pt idx="3">
                  <c:v>6</c:v>
                </c:pt>
                <c:pt idx="4">
                  <c:v>7</c:v>
                </c:pt>
                <c:pt idx="5">
                  <c:v>8</c:v>
                </c:pt>
              </c:numCache>
            </c:numRef>
          </c:cat>
          <c:val>
            <c:numRef>
              <c:f>'3_Summary_Tables'!$H$5:$H$10</c:f>
              <c:numCache>
                <c:formatCode>0.000</c:formatCode>
                <c:ptCount val="6"/>
                <c:pt idx="0">
                  <c:v>0.57000000000000006</c:v>
                </c:pt>
                <c:pt idx="1">
                  <c:v>0.5964150943396227</c:v>
                </c:pt>
                <c:pt idx="2">
                  <c:v>0.62357019064124763</c:v>
                </c:pt>
                <c:pt idx="3">
                  <c:v>0.67454205607476614</c:v>
                </c:pt>
                <c:pt idx="4">
                  <c:v>0.74263473053892226</c:v>
                </c:pt>
                <c:pt idx="5">
                  <c:v>0.77470588235294113</c:v>
                </c:pt>
              </c:numCache>
            </c:numRef>
          </c:val>
          <c:smooth val="1"/>
          <c:extLst>
            <c:ext xmlns:c16="http://schemas.microsoft.com/office/drawing/2014/chart" uri="{C3380CC4-5D6E-409C-BE32-E72D297353CC}">
              <c16:uniqueId val="{00000001-E35A-466F-9467-06B8EA5734AB}"/>
            </c:ext>
          </c:extLst>
        </c:ser>
        <c:dLbls>
          <c:showLegendKey val="0"/>
          <c:showVal val="0"/>
          <c:showCatName val="0"/>
          <c:showSerName val="0"/>
          <c:showPercent val="0"/>
          <c:showBubbleSize val="0"/>
        </c:dLbls>
        <c:hiLowLines>
          <c:spPr>
            <a:ln w="0">
              <a:noFill/>
            </a:ln>
          </c:spPr>
        </c:hiLowLines>
        <c:marker val="1"/>
        <c:smooth val="0"/>
        <c:axId val="59395896"/>
        <c:axId val="48498178"/>
      </c:lineChart>
      <c:catAx>
        <c:axId val="59395896"/>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Quality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8498178"/>
        <c:crosses val="autoZero"/>
        <c:auto val="1"/>
        <c:lblAlgn val="ctr"/>
        <c:lblOffset val="100"/>
        <c:noMultiLvlLbl val="0"/>
      </c:catAx>
      <c:valAx>
        <c:axId val="4849817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Average level</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939589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Wines by quality (filtered by alcohol band)</a:t>
            </a:r>
          </a:p>
        </c:rich>
      </c:tx>
      <c:overlay val="0"/>
      <c:spPr>
        <a:noFill/>
        <a:ln w="0">
          <a:noFill/>
        </a:ln>
      </c:spPr>
    </c:title>
    <c:autoTitleDeleted val="0"/>
    <c:plotArea>
      <c:layout/>
      <c:barChart>
        <c:barDir val="col"/>
        <c:grouping val="clustered"/>
        <c:varyColors val="0"/>
        <c:ser>
          <c:idx val="0"/>
          <c:order val="0"/>
          <c:tx>
            <c:strRef>
              <c:f>'6_Dashboard'!$C$10</c:f>
              <c:strCache>
                <c:ptCount val="1"/>
                <c:pt idx="0">
                  <c:v>Wines</c:v>
                </c:pt>
              </c:strCache>
            </c:strRef>
          </c:tx>
          <c:spPr>
            <a:solidFill>
              <a:srgbClr val="722F37"/>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'6_Dashboard'!$B$11:$B$16</c:f>
              <c:numCache>
                <c:formatCode>0</c:formatCode>
                <c:ptCount val="6"/>
                <c:pt idx="0">
                  <c:v>3</c:v>
                </c:pt>
                <c:pt idx="1">
                  <c:v>4</c:v>
                </c:pt>
                <c:pt idx="2">
                  <c:v>5</c:v>
                </c:pt>
                <c:pt idx="3">
                  <c:v>6</c:v>
                </c:pt>
                <c:pt idx="4">
                  <c:v>7</c:v>
                </c:pt>
                <c:pt idx="5">
                  <c:v>8</c:v>
                </c:pt>
              </c:numCache>
            </c:numRef>
          </c:cat>
          <c:val>
            <c:numRef>
              <c:f>'6_Dashboard'!$C$11:$C$16</c:f>
              <c:numCache>
                <c:formatCode>#,##0</c:formatCode>
                <c:ptCount val="6"/>
                <c:pt idx="0">
                  <c:v>6</c:v>
                </c:pt>
                <c:pt idx="1">
                  <c:v>24</c:v>
                </c:pt>
                <c:pt idx="2">
                  <c:v>380</c:v>
                </c:pt>
                <c:pt idx="3">
                  <c:v>156</c:v>
                </c:pt>
                <c:pt idx="4">
                  <c:v>9</c:v>
                </c:pt>
                <c:pt idx="5">
                  <c:v>1</c:v>
                </c:pt>
              </c:numCache>
            </c:numRef>
          </c:val>
          <c:extLst>
            <c:ext xmlns:c16="http://schemas.microsoft.com/office/drawing/2014/chart" uri="{C3380CC4-5D6E-409C-BE32-E72D297353CC}">
              <c16:uniqueId val="{00000000-A0D1-43B4-951F-5121C9E295F8}"/>
            </c:ext>
          </c:extLst>
        </c:ser>
        <c:dLbls>
          <c:showLegendKey val="0"/>
          <c:showVal val="0"/>
          <c:showCatName val="0"/>
          <c:showSerName val="0"/>
          <c:showPercent val="0"/>
          <c:showBubbleSize val="0"/>
        </c:dLbls>
        <c:gapWidth val="150"/>
        <c:axId val="60123669"/>
        <c:axId val="5751299"/>
      </c:barChart>
      <c:catAx>
        <c:axId val="60123669"/>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Quality score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51299"/>
        <c:crosses val="autoZero"/>
        <c:auto val="1"/>
        <c:lblAlgn val="ctr"/>
        <c:lblOffset val="100"/>
        <c:noMultiLvlLbl val="0"/>
      </c:catAx>
      <c:valAx>
        <c:axId val="575129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Wines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12366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Wines by alcohol band (filtered by quality)</a:t>
            </a:r>
          </a:p>
        </c:rich>
      </c:tx>
      <c:overlay val="0"/>
      <c:spPr>
        <a:noFill/>
        <a:ln w="0">
          <a:noFill/>
        </a:ln>
      </c:spPr>
    </c:title>
    <c:autoTitleDeleted val="0"/>
    <c:plotArea>
      <c:layout/>
      <c:barChart>
        <c:barDir val="col"/>
        <c:grouping val="clustered"/>
        <c:varyColors val="0"/>
        <c:ser>
          <c:idx val="0"/>
          <c:order val="0"/>
          <c:tx>
            <c:strRef>
              <c:f>'6_Dashboard'!$C$20</c:f>
              <c:strCache>
                <c:ptCount val="1"/>
                <c:pt idx="0">
                  <c:v>Wines</c:v>
                </c:pt>
              </c:strCache>
            </c:strRef>
          </c:tx>
          <c:spPr>
            <a:solidFill>
              <a:srgbClr val="C55A11"/>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'6_Dashboard'!$B$21:$B$23</c:f>
              <c:strCache>
                <c:ptCount val="3"/>
                <c:pt idx="0">
                  <c:v>Low</c:v>
                </c:pt>
                <c:pt idx="1">
                  <c:v>Medium</c:v>
                </c:pt>
                <c:pt idx="2">
                  <c:v>High</c:v>
                </c:pt>
              </c:strCache>
            </c:strRef>
          </c:cat>
          <c:val>
            <c:numRef>
              <c:f>'6_Dashboard'!$C$21:$C$23</c:f>
              <c:numCache>
                <c:formatCode>#,##0</c:formatCode>
                <c:ptCount val="3"/>
                <c:pt idx="0">
                  <c:v>380</c:v>
                </c:pt>
                <c:pt idx="1">
                  <c:v>177</c:v>
                </c:pt>
                <c:pt idx="2">
                  <c:v>20</c:v>
                </c:pt>
              </c:numCache>
            </c:numRef>
          </c:val>
          <c:extLst>
            <c:ext xmlns:c16="http://schemas.microsoft.com/office/drawing/2014/chart" uri="{C3380CC4-5D6E-409C-BE32-E72D297353CC}">
              <c16:uniqueId val="{00000000-E3B3-4DD1-A6D4-20A75F628115}"/>
            </c:ext>
          </c:extLst>
        </c:ser>
        <c:dLbls>
          <c:showLegendKey val="0"/>
          <c:showVal val="0"/>
          <c:showCatName val="0"/>
          <c:showSerName val="0"/>
          <c:showPercent val="0"/>
          <c:showBubbleSize val="0"/>
        </c:dLbls>
        <c:gapWidth val="150"/>
        <c:axId val="36793134"/>
        <c:axId val="65037803"/>
      </c:barChart>
      <c:catAx>
        <c:axId val="36793134"/>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Alcohol band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037803"/>
        <c:crosses val="autoZero"/>
        <c:auto val="1"/>
        <c:lblAlgn val="ctr"/>
        <c:lblOffset val="100"/>
        <c:noMultiLvlLbl val="0"/>
      </c:catAx>
      <c:valAx>
        <c:axId val="6503780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Wines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679313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xdr:row>
      <xdr:rowOff>131040</xdr:rowOff>
    </xdr:from>
    <xdr:to>
      <xdr:col>4</xdr:col>
      <xdr:colOff>927720</xdr:colOff>
      <xdr:row>31</xdr:row>
      <xdr:rowOff>163800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17</xdr:row>
      <xdr:rowOff>131040</xdr:rowOff>
    </xdr:from>
    <xdr:to>
      <xdr:col>12</xdr:col>
      <xdr:colOff>645840</xdr:colOff>
      <xdr:row>31</xdr:row>
      <xdr:rowOff>163800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33</xdr:row>
      <xdr:rowOff>130680</xdr:rowOff>
    </xdr:from>
    <xdr:to>
      <xdr:col>4</xdr:col>
      <xdr:colOff>927720</xdr:colOff>
      <xdr:row>47</xdr:row>
      <xdr:rowOff>163440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33</xdr:row>
      <xdr:rowOff>130680</xdr:rowOff>
    </xdr:from>
    <xdr:to>
      <xdr:col>12</xdr:col>
      <xdr:colOff>645840</xdr:colOff>
      <xdr:row>47</xdr:row>
      <xdr:rowOff>163440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7</xdr:row>
      <xdr:rowOff>70200</xdr:rowOff>
    </xdr:from>
    <xdr:to>
      <xdr:col>12</xdr:col>
      <xdr:colOff>261720</xdr:colOff>
      <xdr:row>20</xdr:row>
      <xdr:rowOff>41400</xdr:rowOff>
    </xdr:to>
    <xdr:graphicFrame macro="">
      <xdr:nvGraphicFramePr>
        <xdr:cNvPr id="4" name="Chart 1">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22</xdr:row>
      <xdr:rowOff>70560</xdr:rowOff>
    </xdr:from>
    <xdr:to>
      <xdr:col>12</xdr:col>
      <xdr:colOff>261720</xdr:colOff>
      <xdr:row>35</xdr:row>
      <xdr:rowOff>41760</xdr:rowOff>
    </xdr:to>
    <xdr:graphicFrame macro="">
      <xdr:nvGraphicFramePr>
        <xdr:cNvPr id="5" name="Chart 2">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1359" xr:uid="{00000000-000A-0000-FFFF-FFFF01000000}">
  <cacheSource type="worksheet">
    <worksheetSource ref="A1:M1360" sheet="2_Clean_Data"/>
  </cacheSource>
  <cacheFields count="13">
    <cacheField name="Wine_ID" numFmtId="0">
      <sharedItems containsSemiMixedTypes="0" containsString="0" containsNumber="1" containsInteger="1" minValue="1" maxValue="1359" count="135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sharedItems>
    </cacheField>
    <cacheField name="Fixed_Acidity" numFmtId="0">
      <sharedItems containsSemiMixedTypes="0" containsString="0" containsNumber="1" minValue="4.5999999999999996" maxValue="15.9" count="96">
        <n v="4.5999999999999996"/>
        <n v="4.7"/>
        <n v="4.9000000000000004"/>
        <n v="5"/>
        <n v="5.0999999999999996"/>
        <n v="5.2"/>
        <n v="5.3"/>
        <n v="5.4"/>
        <n v="5.5"/>
        <n v="5.6"/>
        <n v="5.7"/>
        <n v="5.8"/>
        <n v="5.9"/>
        <n v="6"/>
        <n v="6.1"/>
        <n v="6.2"/>
        <n v="6.3"/>
        <n v="6.4"/>
        <n v="6.5"/>
        <n v="6.6"/>
        <n v="6.7"/>
        <n v="6.8"/>
        <n v="6.9"/>
        <n v="7"/>
        <n v="7.1"/>
        <n v="7.2"/>
        <n v="7.3"/>
        <n v="7.4"/>
        <n v="7.5"/>
        <n v="7.6"/>
        <n v="7.7"/>
        <n v="7.8"/>
        <n v="7.9"/>
        <n v="8"/>
        <n v="8.1"/>
        <n v="8.1999999999999993"/>
        <n v="8.3000000000000007"/>
        <n v="8.4"/>
        <n v="8.5"/>
        <n v="8.6"/>
        <n v="8.6999999999999993"/>
        <n v="8.8000000000000007"/>
        <n v="8.9"/>
        <n v="9"/>
        <n v="9.1"/>
        <n v="9.1999999999999993"/>
        <n v="9.3000000000000007"/>
        <n v="9.4"/>
        <n v="9.5"/>
        <n v="9.6"/>
        <n v="9.6999999999999993"/>
        <n v="9.8000000000000007"/>
        <n v="9.9"/>
        <n v="10"/>
        <n v="10.1"/>
        <n v="10.199999999999999"/>
        <n v="10.3"/>
        <n v="10.4"/>
        <n v="10.5"/>
        <n v="10.6"/>
        <n v="10.7"/>
        <n v="10.8"/>
        <n v="10.9"/>
        <n v="11"/>
        <n v="11.1"/>
        <n v="11.2"/>
        <n v="11.3"/>
        <n v="11.4"/>
        <n v="11.5"/>
        <n v="11.6"/>
        <n v="11.7"/>
        <n v="11.8"/>
        <n v="11.9"/>
        <n v="12"/>
        <n v="12.1"/>
        <n v="12.2"/>
        <n v="12.3"/>
        <n v="12.4"/>
        <n v="12.5"/>
        <n v="12.6"/>
        <n v="12.7"/>
        <n v="12.8"/>
        <n v="12.9"/>
        <n v="13"/>
        <n v="13.2"/>
        <n v="13.3"/>
        <n v="13.4"/>
        <n v="13.5"/>
        <n v="13.7"/>
        <n v="13.8"/>
        <n v="14"/>
        <n v="14.3"/>
        <n v="15"/>
        <n v="15.5"/>
        <n v="15.6"/>
        <n v="15.9"/>
      </sharedItems>
    </cacheField>
    <cacheField name="Volatile_Acidity" numFmtId="0">
      <sharedItems containsSemiMixedTypes="0" containsString="0" containsNumber="1" minValue="0.12" maxValue="1.58" count="143">
        <n v="0.12"/>
        <n v="0.16"/>
        <n v="0.18"/>
        <n v="0.19"/>
        <n v="0.2"/>
        <n v="0.21"/>
        <n v="0.22"/>
        <n v="0.23"/>
        <n v="0.24"/>
        <n v="0.25"/>
        <n v="0.26"/>
        <n v="0.27"/>
        <n v="0.28000000000000003"/>
        <n v="0.28999999999999998"/>
        <n v="0.29499999999999998"/>
        <n v="0.3"/>
        <n v="0.30499999999999999"/>
        <n v="0.31"/>
        <n v="0.315"/>
        <n v="0.32"/>
        <n v="0.33"/>
        <n v="0.34"/>
        <n v="0.35"/>
        <n v="0.36"/>
        <n v="0.36499999999999999"/>
        <n v="0.37"/>
        <n v="0.38"/>
        <n v="0.39"/>
        <n v="0.39500000000000002"/>
        <n v="0.4"/>
        <n v="0.41"/>
        <n v="0.41499999999999998"/>
        <n v="0.42"/>
        <n v="0.43"/>
        <n v="0.44"/>
        <n v="0.45"/>
        <n v="0.46"/>
        <n v="0.47"/>
        <n v="0.47499999999999998"/>
        <n v="0.48"/>
        <n v="0.49"/>
        <n v="0.5"/>
        <n v="0.51"/>
        <n v="0.52"/>
        <n v="0.53"/>
        <n v="0.54"/>
        <n v="0.54500000000000004"/>
        <n v="0.55000000000000004"/>
        <n v="0.56000000000000005"/>
        <n v="0.56499999999999995"/>
        <n v="0.56999999999999995"/>
        <n v="0.57499999999999996"/>
        <n v="0.57999999999999996"/>
        <n v="0.58499999999999996"/>
        <n v="0.59"/>
        <n v="0.59499999999999997"/>
        <n v="0.6"/>
        <n v="0.60499999999999998"/>
        <n v="0.61"/>
        <n v="0.61499999999999999"/>
        <n v="0.62"/>
        <n v="0.625"/>
        <n v="0.63"/>
        <n v="0.63500000000000001"/>
        <n v="0.64"/>
        <n v="0.64500000000000002"/>
        <n v="0.65"/>
        <n v="0.65500000000000003"/>
        <n v="0.66"/>
        <n v="0.66500000000000004"/>
        <n v="0.67"/>
        <n v="0.67500000000000004"/>
        <n v="0.68"/>
        <n v="0.68500000000000005"/>
        <n v="0.69"/>
        <n v="0.69499999999999995"/>
        <n v="0.7"/>
        <n v="0.70499999999999996"/>
        <n v="0.71"/>
        <n v="0.71499999999999997"/>
        <n v="0.72"/>
        <n v="0.72499999999999998"/>
        <n v="0.73"/>
        <n v="0.73499999999999999"/>
        <n v="0.74"/>
        <n v="0.745"/>
        <n v="0.75"/>
        <n v="0.755"/>
        <n v="0.76"/>
        <n v="0.76500000000000001"/>
        <n v="0.77"/>
        <n v="0.77500000000000002"/>
        <n v="0.78"/>
        <n v="0.78500000000000003"/>
        <n v="0.79"/>
        <n v="0.79500000000000004"/>
        <n v="0.8"/>
        <n v="0.80500000000000005"/>
        <n v="0.81"/>
        <n v="0.81499999999999995"/>
        <n v="0.82"/>
        <n v="0.82499999999999996"/>
        <n v="0.83"/>
        <n v="0.83499999999999996"/>
        <n v="0.84"/>
        <n v="0.84499999999999997"/>
        <n v="0.85"/>
        <n v="0.85499999999999998"/>
        <n v="0.86"/>
        <n v="0.86499999999999999"/>
        <n v="0.87"/>
        <n v="0.875"/>
        <n v="0.88"/>
        <n v="0.88500000000000001"/>
        <n v="0.89"/>
        <n v="0.89500000000000002"/>
        <n v="0.9"/>
        <n v="0.91"/>
        <n v="0.91500000000000004"/>
        <n v="0.92"/>
        <n v="0.93500000000000005"/>
        <n v="0.95"/>
        <n v="0.95499999999999996"/>
        <n v="0.96"/>
        <n v="0.96499999999999997"/>
        <n v="0.97499999999999998"/>
        <n v="0.98"/>
        <n v="1"/>
        <n v="1.0049999999999999"/>
        <n v="1.01"/>
        <n v="1.02"/>
        <n v="1.0249999999999999"/>
        <n v="1.0349999999999999"/>
        <n v="1.04"/>
        <n v="1.07"/>
        <n v="1.0900000000000001"/>
        <n v="1.115"/>
        <n v="1.1299999999999999"/>
        <n v="1.18"/>
        <n v="1.1850000000000001"/>
        <n v="1.24"/>
        <n v="1.33"/>
        <n v="1.58"/>
      </sharedItems>
    </cacheField>
    <cacheField name="Citric_Acid" numFmtId="0">
      <sharedItems containsSemiMixedTypes="0" containsString="0" containsNumber="1" minValue="0" maxValue="1" count="80">
        <n v="0"/>
        <n v="0.01"/>
        <n v="0.02"/>
        <n v="0.03"/>
        <n v="0.04"/>
        <n v="0.05"/>
        <n v="0.06"/>
        <n v="7.0000000000000007E-2"/>
        <n v="0.08"/>
        <n v="0.09"/>
        <n v="0.1"/>
        <n v="0.11"/>
        <n v="0.12"/>
        <n v="0.13"/>
        <n v="0.14000000000000001"/>
        <n v="0.15"/>
        <n v="0.16"/>
        <n v="0.17"/>
        <n v="0.18"/>
        <n v="0.19"/>
        <n v="0.2"/>
        <n v="0.21"/>
        <n v="0.22"/>
        <n v="0.23"/>
        <n v="0.24"/>
        <n v="0.25"/>
        <n v="0.26"/>
        <n v="0.27"/>
        <n v="0.28000000000000003"/>
        <n v="0.28999999999999998"/>
        <n v="0.3"/>
        <n v="0.31"/>
        <n v="0.32"/>
        <n v="0.33"/>
        <n v="0.34"/>
        <n v="0.35"/>
        <n v="0.36"/>
        <n v="0.37"/>
        <n v="0.38"/>
        <n v="0.39"/>
        <n v="0.4"/>
        <n v="0.41"/>
        <n v="0.42"/>
        <n v="0.43"/>
        <n v="0.44"/>
        <n v="0.45"/>
        <n v="0.46"/>
        <n v="0.47"/>
        <n v="0.48"/>
        <n v="0.49"/>
        <n v="0.5"/>
        <n v="0.51"/>
        <n v="0.52"/>
        <n v="0.53"/>
        <n v="0.54"/>
        <n v="0.55000000000000004"/>
        <n v="0.56000000000000005"/>
        <n v="0.56999999999999995"/>
        <n v="0.57999999999999996"/>
        <n v="0.59"/>
        <n v="0.6"/>
        <n v="0.61"/>
        <n v="0.62"/>
        <n v="0.63"/>
        <n v="0.64"/>
        <n v="0.65"/>
        <n v="0.66"/>
        <n v="0.67"/>
        <n v="0.68"/>
        <n v="0.69"/>
        <n v="0.7"/>
        <n v="0.71"/>
        <n v="0.72"/>
        <n v="0.73"/>
        <n v="0.74"/>
        <n v="0.75"/>
        <n v="0.76"/>
        <n v="0.78"/>
        <n v="0.79"/>
        <n v="1"/>
      </sharedItems>
    </cacheField>
    <cacheField name="Residual_Sugar" numFmtId="0">
      <sharedItems containsSemiMixedTypes="0" containsString="0" containsNumber="1" minValue="0.9" maxValue="15.5" count="91">
        <n v="0.9"/>
        <n v="1.2"/>
        <n v="1.3"/>
        <n v="1.4"/>
        <n v="1.5"/>
        <n v="1.6"/>
        <n v="1.65"/>
        <n v="1.7"/>
        <n v="1.75"/>
        <n v="1.8"/>
        <n v="1.9"/>
        <n v="2"/>
        <n v="2.0499999999999998"/>
        <n v="2.1"/>
        <n v="2.15"/>
        <n v="2.2000000000000002"/>
        <n v="2.25"/>
        <n v="2.2999999999999998"/>
        <n v="2.35"/>
        <n v="2.4"/>
        <n v="2.5"/>
        <n v="2.5499999999999998"/>
        <n v="2.6"/>
        <n v="2.65"/>
        <n v="2.7"/>
        <n v="2.8"/>
        <n v="2.85"/>
        <n v="2.9"/>
        <n v="2.95"/>
        <n v="3"/>
        <n v="3.1"/>
        <n v="3.2"/>
        <n v="3.3"/>
        <n v="3.4"/>
        <n v="3.45"/>
        <n v="3.5"/>
        <n v="3.6"/>
        <n v="3.65"/>
        <n v="3.7"/>
        <n v="3.75"/>
        <n v="3.8"/>
        <n v="3.9"/>
        <n v="4"/>
        <n v="4.0999999999999996"/>
        <n v="4.2"/>
        <n v="4.25"/>
        <n v="4.3"/>
        <n v="4.4000000000000004"/>
        <n v="4.5"/>
        <n v="4.5999999999999996"/>
        <n v="4.6500000000000004"/>
        <n v="4.7"/>
        <n v="4.8"/>
        <n v="5"/>
        <n v="5.0999999999999996"/>
        <n v="5.15"/>
        <n v="5.2"/>
        <n v="5.4"/>
        <n v="5.5"/>
        <n v="5.6"/>
        <n v="5.7"/>
        <n v="5.8"/>
        <n v="5.9"/>
        <n v="6"/>
        <n v="6.1"/>
        <n v="6.2"/>
        <n v="6.3"/>
        <n v="6.4"/>
        <n v="6.55"/>
        <n v="6.6"/>
        <n v="6.7"/>
        <n v="7"/>
        <n v="7.2"/>
        <n v="7.3"/>
        <n v="7.5"/>
        <n v="7.8"/>
        <n v="7.9"/>
        <n v="8.1"/>
        <n v="8.3000000000000007"/>
        <n v="8.6"/>
        <n v="8.8000000000000007"/>
        <n v="8.9"/>
        <n v="9"/>
        <n v="10.7"/>
        <n v="11"/>
        <n v="12.9"/>
        <n v="13.4"/>
        <n v="13.8"/>
        <n v="13.9"/>
        <n v="15.4"/>
        <n v="15.5"/>
      </sharedItems>
    </cacheField>
    <cacheField name="Chlorides" numFmtId="0">
      <sharedItems containsSemiMixedTypes="0" containsString="0" containsNumber="1" minValue="1.2E-2" maxValue="0.61099999999999999" count="153">
        <n v="1.2E-2"/>
        <n v="3.4000000000000002E-2"/>
        <n v="3.7999999999999999E-2"/>
        <n v="3.9E-2"/>
        <n v="4.1000000000000002E-2"/>
        <n v="4.2000000000000003E-2"/>
        <n v="4.2999999999999997E-2"/>
        <n v="4.3999999999999997E-2"/>
        <n v="4.4999999999999998E-2"/>
        <n v="4.5999999999999999E-2"/>
        <n v="4.7E-2"/>
        <n v="4.8000000000000001E-2"/>
        <n v="4.9000000000000002E-2"/>
        <n v="0.05"/>
        <n v="5.0999999999999997E-2"/>
        <n v="5.1999999999999998E-2"/>
        <n v="5.2999999999999999E-2"/>
        <n v="5.3999999999999999E-2"/>
        <n v="5.5E-2"/>
        <n v="5.6000000000000001E-2"/>
        <n v="5.7000000000000002E-2"/>
        <n v="5.8000000000000003E-2"/>
        <n v="5.8999999999999997E-2"/>
        <n v="0.06"/>
        <n v="6.0999999999999999E-2"/>
        <n v="6.2E-2"/>
        <n v="6.3E-2"/>
        <n v="6.4000000000000001E-2"/>
        <n v="6.5000000000000002E-2"/>
        <n v="6.6000000000000003E-2"/>
        <n v="6.7000000000000004E-2"/>
        <n v="6.8000000000000005E-2"/>
        <n v="6.9000000000000006E-2"/>
        <n v="7.0000000000000007E-2"/>
        <n v="7.0999999999999994E-2"/>
        <n v="7.1999999999999995E-2"/>
        <n v="7.2999999999999995E-2"/>
        <n v="7.3999999999999996E-2"/>
        <n v="7.4999999999999997E-2"/>
        <n v="7.5999999999999998E-2"/>
        <n v="7.6999999999999999E-2"/>
        <n v="7.8E-2"/>
        <n v="7.9000000000000001E-2"/>
        <n v="0.08"/>
        <n v="8.1000000000000003E-2"/>
        <n v="8.2000000000000003E-2"/>
        <n v="8.3000000000000004E-2"/>
        <n v="8.4000000000000005E-2"/>
        <n v="8.5000000000000006E-2"/>
        <n v="8.5999999999999993E-2"/>
        <n v="8.6999999999999994E-2"/>
        <n v="8.7999999999999995E-2"/>
        <n v="8.8999999999999996E-2"/>
        <n v="0.09"/>
        <n v="9.0999999999999998E-2"/>
        <n v="9.1999999999999998E-2"/>
        <n v="9.2999999999999999E-2"/>
        <n v="9.4E-2"/>
        <n v="9.5000000000000001E-2"/>
        <n v="9.6000000000000002E-2"/>
        <n v="9.7000000000000003E-2"/>
        <n v="9.8000000000000004E-2"/>
        <n v="9.9000000000000005E-2"/>
        <n v="0.1"/>
        <n v="0.10100000000000001"/>
        <n v="0.10199999999999999"/>
        <n v="0.10299999999999999"/>
        <n v="0.104"/>
        <n v="0.105"/>
        <n v="0.106"/>
        <n v="0.107"/>
        <n v="0.108"/>
        <n v="0.109"/>
        <n v="0.11"/>
        <n v="0.111"/>
        <n v="0.112"/>
        <n v="0.113"/>
        <n v="0.114"/>
        <n v="0.115"/>
        <n v="0.11600000000000001"/>
        <n v="0.11700000000000001"/>
        <n v="0.11799999999999999"/>
        <n v="0.11899999999999999"/>
        <n v="0.12"/>
        <n v="0.121"/>
        <n v="0.122"/>
        <n v="0.123"/>
        <n v="0.124"/>
        <n v="0.125"/>
        <n v="0.126"/>
        <n v="0.127"/>
        <n v="0.128"/>
        <n v="0.13200000000000001"/>
        <n v="0.13600000000000001"/>
        <n v="0.13700000000000001"/>
        <n v="0.14299999999999999"/>
        <n v="0.14499999999999999"/>
        <n v="0.14599999999999999"/>
        <n v="0.14699999999999999"/>
        <n v="0.14799999999999999"/>
        <n v="0.152"/>
        <n v="0.153"/>
        <n v="0.157"/>
        <n v="0.159"/>
        <n v="0.161"/>
        <n v="0.16500000000000001"/>
        <n v="0.16600000000000001"/>
        <n v="0.16800000000000001"/>
        <n v="0.16900000000000001"/>
        <n v="0.17"/>
        <n v="0.17100000000000001"/>
        <n v="0.17199999999999999"/>
        <n v="0.17399999999999999"/>
        <n v="0.17599999999999999"/>
        <n v="0.17799999999999999"/>
        <n v="0.186"/>
        <n v="0.19"/>
        <n v="0.19400000000000001"/>
        <n v="0.2"/>
        <n v="0.20499999999999999"/>
        <n v="0.21299999999999999"/>
        <n v="0.214"/>
        <n v="0.216"/>
        <n v="0.222"/>
        <n v="0.22600000000000001"/>
        <n v="0.23"/>
        <n v="0.23499999999999999"/>
        <n v="0.23599999999999999"/>
        <n v="0.24099999999999999"/>
        <n v="0.24299999999999999"/>
        <n v="0.25"/>
        <n v="0.26300000000000001"/>
        <n v="0.26700000000000002"/>
        <n v="0.27"/>
        <n v="0.33200000000000002"/>
        <n v="0.33700000000000002"/>
        <n v="0.34100000000000003"/>
        <n v="0.34300000000000003"/>
        <n v="0.35799999999999998"/>
        <n v="0.36"/>
        <n v="0.36799999999999999"/>
        <n v="0.36899999999999999"/>
        <n v="0.38700000000000001"/>
        <n v="0.40100000000000002"/>
        <n v="0.40300000000000002"/>
        <n v="0.41299999999999998"/>
        <n v="0.41399999999999998"/>
        <n v="0.41499999999999998"/>
        <n v="0.42199999999999999"/>
        <n v="0.46400000000000002"/>
        <n v="0.46700000000000003"/>
        <n v="0.61"/>
        <n v="0.61099999999999999"/>
      </sharedItems>
    </cacheField>
    <cacheField name="Free_Sulfur_Dioxide" numFmtId="0">
      <sharedItems containsSemiMixedTypes="0" containsString="0" containsNumber="1" minValue="1" maxValue="72" count="60">
        <n v="1"/>
        <n v="2"/>
        <n v="3"/>
        <n v="4"/>
        <n v="5"/>
        <n v="5.5"/>
        <n v="6"/>
        <n v="7"/>
        <n v="8"/>
        <n v="9"/>
        <n v="10"/>
        <n v="11"/>
        <n v="12"/>
        <n v="13"/>
        <n v="14"/>
        <n v="15"/>
        <n v="16"/>
        <n v="17"/>
        <n v="18"/>
        <n v="19"/>
        <n v="20"/>
        <n v="21"/>
        <n v="22"/>
        <n v="23"/>
        <n v="24"/>
        <n v="25"/>
        <n v="26"/>
        <n v="27"/>
        <n v="28"/>
        <n v="29"/>
        <n v="30"/>
        <n v="31"/>
        <n v="32"/>
        <n v="33"/>
        <n v="34"/>
        <n v="35"/>
        <n v="36"/>
        <n v="37"/>
        <n v="37.5"/>
        <n v="38"/>
        <n v="39"/>
        <n v="40"/>
        <n v="40.5"/>
        <n v="41"/>
        <n v="42"/>
        <n v="43"/>
        <n v="45"/>
        <n v="46"/>
        <n v="47"/>
        <n v="48"/>
        <n v="50"/>
        <n v="51"/>
        <n v="52"/>
        <n v="53"/>
        <n v="54"/>
        <n v="55"/>
        <n v="57"/>
        <n v="66"/>
        <n v="68"/>
        <n v="72"/>
      </sharedItems>
    </cacheField>
    <cacheField name="Total_Sulfur_Dioxide" numFmtId="0">
      <sharedItems containsSemiMixedTypes="0" containsString="0" containsNumber="1" minValue="6" maxValue="289" count="144">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7.5"/>
        <n v="78"/>
        <n v="79"/>
        <n v="80"/>
        <n v="81"/>
        <n v="82"/>
        <n v="83"/>
        <n v="84"/>
        <n v="85"/>
        <n v="86"/>
        <n v="87"/>
        <n v="88"/>
        <n v="89"/>
        <n v="90"/>
        <n v="91"/>
        <n v="92"/>
        <n v="93"/>
        <n v="94"/>
        <n v="95"/>
        <n v="96"/>
        <n v="98"/>
        <n v="99"/>
        <n v="100"/>
        <n v="101"/>
        <n v="102"/>
        <n v="103"/>
        <n v="104"/>
        <n v="105"/>
        <n v="106"/>
        <n v="108"/>
        <n v="109"/>
        <n v="110"/>
        <n v="111"/>
        <n v="112"/>
        <n v="113"/>
        <n v="114"/>
        <n v="115"/>
        <n v="116"/>
        <n v="119"/>
        <n v="120"/>
        <n v="121"/>
        <n v="122"/>
        <n v="124"/>
        <n v="125"/>
        <n v="126"/>
        <n v="127"/>
        <n v="128"/>
        <n v="129"/>
        <n v="130"/>
        <n v="131"/>
        <n v="133"/>
        <n v="134"/>
        <n v="135"/>
        <n v="136"/>
        <n v="139"/>
        <n v="140"/>
        <n v="141"/>
        <n v="142"/>
        <n v="143"/>
        <n v="144"/>
        <n v="145"/>
        <n v="147"/>
        <n v="148"/>
        <n v="149"/>
        <n v="151"/>
        <n v="152"/>
        <n v="153"/>
        <n v="155"/>
        <n v="160"/>
        <n v="165"/>
        <n v="278"/>
        <n v="289"/>
      </sharedItems>
    </cacheField>
    <cacheField name="Density" numFmtId="0">
      <sharedItems containsSemiMixedTypes="0" containsString="0" containsNumber="1" minValue="0.99007000000000001" maxValue="1.00369" count="436">
        <n v="0.99007000000000001"/>
        <n v="0.99019999999999997"/>
        <n v="0.99063999999999997"/>
        <n v="0.99080000000000001"/>
        <n v="0.99084000000000005"/>
        <n v="0.99119999999999997"/>
        <n v="0.99150000000000005"/>
        <n v="0.99153999999999998"/>
        <n v="0.99156999999999995"/>
        <n v="0.99160000000000004"/>
        <n v="0.99161999999999995"/>
        <n v="0.99170000000000003"/>
        <n v="0.99182000000000003"/>
        <n v="0.99190999999999996"/>
        <n v="0.99209999999999998"/>
        <n v="0.99219999999999997"/>
        <n v="0.99234999999999995"/>
        <n v="0.99236000000000002"/>
        <n v="0.99239999999999995"/>
        <n v="0.99241999999999997"/>
        <n v="0.99251999999999996"/>
        <n v="0.99256"/>
        <n v="0.99258000000000002"/>
        <n v="0.99263999999999997"/>
        <n v="0.99270000000000003"/>
        <n v="0.99280000000000002"/>
        <n v="0.99285999999999996"/>
        <n v="0.9929"/>
        <n v="0.99292000000000002"/>
        <n v="0.99294000000000004"/>
        <n v="0.99306000000000005"/>
        <n v="0.99314000000000002"/>
        <n v="0.99316000000000004"/>
        <n v="0.99317999999999995"/>
        <n v="0.99319999999999997"/>
        <n v="0.99321999999999999"/>
        <n v="0.99322999999999995"/>
        <n v="0.99328000000000005"/>
        <n v="0.99329999999999996"/>
        <n v="0.99331000000000003"/>
        <n v="0.99331999999999998"/>
        <n v="0.99334"/>
        <n v="0.99336000000000002"/>
        <n v="0.99339999999999995"/>
        <n v="0.99341000000000002"/>
        <n v="0.99343999999999999"/>
        <n v="0.99346000000000001"/>
        <n v="0.99348000000000003"/>
        <n v="0.99350000000000005"/>
        <n v="0.99351999999999996"/>
        <n v="0.99353999999999998"/>
        <n v="0.99356"/>
        <n v="0.99356999999999995"/>
        <n v="0.99358000000000002"/>
        <n v="0.99360000000000004"/>
        <n v="0.99361999999999995"/>
        <n v="0.99363999999999997"/>
        <n v="0.99370000000000003"/>
        <n v="0.99370999999999998"/>
        <n v="0.99373999999999996"/>
        <n v="0.99375999999999998"/>
        <n v="0.99378"/>
        <n v="0.99378999999999995"/>
        <n v="0.99380000000000002"/>
        <n v="0.99383999999999995"/>
        <n v="0.99385000000000001"/>
        <n v="0.99385999999999997"/>
        <n v="0.99387000000000003"/>
        <n v="0.99387999999999999"/>
        <n v="0.99392000000000003"/>
        <n v="0.99394000000000005"/>
        <n v="0.99395"/>
        <n v="0.99395999999999995"/>
        <n v="0.99397000000000002"/>
        <n v="0.99399999999999999"/>
        <n v="0.99402000000000001"/>
        <n v="0.99407999999999996"/>
        <n v="0.99409999999999998"/>
        <n v="0.99414000000000002"/>
        <n v="0.99416000000000004"/>
        <n v="0.99417"/>
        <n v="0.99417999999999995"/>
        <n v="0.99419000000000002"/>
        <n v="0.99419999999999997"/>
        <n v="0.99424999999999997"/>
        <n v="0.99426000000000003"/>
        <n v="0.99428000000000005"/>
        <n v="0.99429999999999996"/>
        <n v="0.99434"/>
        <n v="0.99436999999999998"/>
        <n v="0.99438000000000004"/>
        <n v="0.99439"/>
        <n v="0.99439999999999995"/>
        <n v="0.99443999999999999"/>
        <n v="0.99448000000000003"/>
        <n v="0.99451000000000001"/>
        <n v="0.99453999999999998"/>
        <n v="0.99456"/>
        <n v="0.99458000000000002"/>
        <n v="0.99458999999999997"/>
        <n v="0.99460000000000004"/>
        <n v="0.99461999999999995"/>
        <n v="0.99463999999999997"/>
        <n v="0.99467000000000005"/>
        <n v="0.99468000000000001"/>
        <n v="0.99470000000000003"/>
        <n v="0.99470999999999998"/>
        <n v="0.99472000000000005"/>
        <n v="0.99473"/>
        <n v="0.99473999999999996"/>
        <n v="0.99475999999999998"/>
        <n v="0.99478"/>
        <n v="0.99478999999999995"/>
        <n v="0.99480000000000002"/>
        <n v="0.99482999999999999"/>
        <n v="0.99483999999999995"/>
        <n v="0.99485999999999997"/>
        <n v="0.99487999999999999"/>
        <n v="0.99489000000000005"/>
        <n v="0.99490000000000001"/>
        <n v="0.99490999999999996"/>
        <n v="0.99492000000000003"/>
        <n v="0.99494000000000005"/>
        <n v="0.99495"/>
        <n v="0.99495999999999996"/>
        <n v="0.99497999999999998"/>
        <n v="0.99499000000000004"/>
        <n v="0.995"/>
        <n v="0.99500999999999995"/>
        <n v="0.99502000000000002"/>
        <n v="0.99504000000000004"/>
        <n v="0.99505999999999994"/>
        <n v="0.99507999999999996"/>
        <n v="0.99509000000000003"/>
        <n v="0.99509999999999998"/>
        <n v="0.99512"/>
        <n v="0.99514000000000002"/>
        <n v="0.99516000000000004"/>
        <n v="0.99517"/>
        <n v="0.99517999999999995"/>
        <n v="0.99519000000000002"/>
        <n v="0.99519999999999997"/>
        <n v="0.99521000000000004"/>
        <n v="0.99521999999999999"/>
        <n v="0.99522999999999995"/>
        <n v="0.99524000000000001"/>
        <n v="0.99524999999999997"/>
        <n v="0.99526000000000003"/>
        <n v="0.99528000000000005"/>
        <n v="0.99529000000000001"/>
        <n v="0.99529999999999996"/>
        <n v="0.99531000000000003"/>
        <n v="0.99531999999999998"/>
        <n v="0.99533000000000005"/>
        <n v="0.99534"/>
        <n v="0.99536000000000002"/>
        <n v="0.99538000000000004"/>
        <n v="0.99539999999999995"/>
        <n v="0.99541000000000002"/>
        <n v="0.99541999999999997"/>
        <n v="0.99543000000000004"/>
        <n v="0.99543999999999999"/>
        <n v="0.99544999999999995"/>
        <n v="0.99546000000000001"/>
        <n v="0.99546999999999997"/>
        <n v="0.99548999999999999"/>
        <n v="0.99550000000000005"/>
        <n v="0.99551000000000001"/>
        <n v="0.99551999999999996"/>
        <n v="0.99553000000000003"/>
        <n v="0.99553999999999998"/>
        <n v="0.99555000000000005"/>
        <n v="0.99556"/>
        <n v="0.99556999999999995"/>
        <n v="0.99558000000000002"/>
        <n v="0.99560000000000004"/>
        <n v="0.99561999999999995"/>
        <n v="0.99563999999999997"/>
        <n v="0.99565000000000003"/>
        <n v="0.99565999999999999"/>
        <n v="0.99568000000000001"/>
        <n v="0.99568999999999996"/>
        <n v="0.99570000000000003"/>
        <n v="0.99572000000000005"/>
        <n v="0.99573"/>
        <n v="0.99573999999999996"/>
        <n v="0.99575000000000002"/>
        <n v="0.99575999999999998"/>
        <n v="0.99577000000000004"/>
        <n v="0.99578"/>
        <n v="0.99580000000000002"/>
        <n v="0.99580999999999997"/>
        <n v="0.99582000000000004"/>
        <n v="0.99583999999999995"/>
        <n v="0.99585000000000001"/>
        <n v="0.99585999999999997"/>
        <n v="0.99587000000000003"/>
        <n v="0.99587999999999999"/>
        <n v="0.99589000000000005"/>
        <n v="0.99590000000000001"/>
        <n v="0.99592000000000003"/>
        <n v="0.99592999999999998"/>
        <n v="0.99594000000000005"/>
        <n v="0.99595999999999996"/>
        <n v="0.99597999999999998"/>
        <n v="0.99599000000000004"/>
        <n v="0.996"/>
        <n v="0.99602999999999997"/>
        <n v="0.99604000000000004"/>
        <n v="0.99604999999999999"/>
        <n v="0.99605999999999995"/>
        <n v="0.99607999999999997"/>
        <n v="0.99609000000000003"/>
        <n v="0.99609999999999999"/>
        <n v="0.99612000000000001"/>
        <n v="0.99612999999999996"/>
        <n v="0.99614000000000003"/>
        <n v="0.99614999999999998"/>
        <n v="0.99616000000000005"/>
        <n v="0.99617"/>
        <n v="0.99619000000000002"/>
        <n v="0.99619999999999997"/>
        <n v="0.99621000000000004"/>
        <n v="0.99621999999999999"/>
        <n v="0.99622999999999995"/>
        <n v="0.99624000000000001"/>
        <n v="0.99624999999999997"/>
        <n v="0.99626999999999999"/>
        <n v="0.99628000000000005"/>
        <n v="0.99629000000000001"/>
        <n v="0.99629999999999996"/>
        <n v="0.99631000000000003"/>
        <n v="0.99631999999999998"/>
        <n v="0.99633000000000005"/>
        <n v="0.99634"/>
        <n v="0.99634999999999996"/>
        <n v="0.99636000000000002"/>
        <n v="0.99638000000000004"/>
        <n v="0.99639"/>
        <n v="0.99639999999999995"/>
        <n v="0.99641000000000002"/>
        <n v="0.99641999999999997"/>
        <n v="0.99643000000000004"/>
        <n v="0.99644999999999995"/>
        <n v="0.99646000000000001"/>
        <n v="0.99646999999999997"/>
        <n v="0.99648000000000003"/>
        <n v="0.99648999999999999"/>
        <n v="0.99650000000000005"/>
        <n v="0.99651000000000001"/>
        <n v="0.99651999999999996"/>
        <n v="0.99653999999999998"/>
        <n v="0.99655000000000005"/>
        <n v="0.99656"/>
        <n v="0.99658000000000002"/>
        <n v="0.99658999999999998"/>
        <n v="0.99660000000000004"/>
        <n v="0.99661"/>
        <n v="0.99663999999999997"/>
        <n v="0.99665000000000004"/>
        <n v="0.99665999999999999"/>
        <n v="0.99666999999999994"/>
        <n v="0.99668000000000001"/>
        <n v="0.99668999999999996"/>
        <n v="0.99670000000000003"/>
        <n v="0.99672000000000005"/>
        <n v="0.99673999999999996"/>
        <n v="0.99675000000000002"/>
        <n v="0.99675999999999998"/>
        <n v="0.99677000000000004"/>
        <n v="0.99678"/>
        <n v="0.99680000000000002"/>
        <n v="0.99682000000000004"/>
        <n v="0.99682999999999999"/>
        <n v="0.99683999999999995"/>
        <n v="0.99685000000000001"/>
        <n v="0.99685999999999997"/>
        <n v="0.99687999999999999"/>
        <n v="0.99689000000000005"/>
        <n v="0.99690000000000001"/>
        <n v="0.99692000000000003"/>
        <n v="0.99692999999999998"/>
        <n v="0.99694000000000005"/>
        <n v="0.99695"/>
        <n v="0.99697000000000002"/>
        <n v="0.99697999999999998"/>
        <n v="0.99699000000000004"/>
        <n v="0.997"/>
        <n v="0.99700999999999995"/>
        <n v="0.99702000000000002"/>
        <n v="0.99704000000000004"/>
        <n v="0.99704999999999999"/>
        <n v="0.99705999999999995"/>
        <n v="0.99707999999999997"/>
        <n v="0.99709000000000003"/>
        <n v="0.99709999999999999"/>
        <n v="0.99712000000000001"/>
        <n v="0.99712999999999996"/>
        <n v="0.99714000000000003"/>
        <n v="0.99716000000000005"/>
        <n v="0.99717"/>
        <n v="0.99717999999999996"/>
        <n v="0.99719000000000002"/>
        <n v="0.99719999999999998"/>
        <n v="0.99721000000000004"/>
        <n v="0.99722"/>
        <n v="0.99724000000000002"/>
        <n v="0.99724999999999997"/>
        <n v="0.99726000000000004"/>
        <n v="0.99726999999999999"/>
        <n v="0.99728000000000006"/>
        <n v="0.99729000000000001"/>
        <n v="0.99729999999999996"/>
        <n v="0.99731999999999998"/>
        <n v="0.99733000000000005"/>
        <n v="0.99734"/>
        <n v="0.99734999999999996"/>
        <n v="0.99736000000000002"/>
        <n v="0.99738000000000004"/>
        <n v="0.99739"/>
        <n v="0.99739999999999995"/>
        <n v="0.99743000000000004"/>
        <n v="0.99743999999999999"/>
        <n v="0.99744999999999995"/>
        <n v="0.99746000000000001"/>
        <n v="0.99746999999999997"/>
        <n v="0.99748000000000003"/>
        <n v="0.99750000000000005"/>
        <n v="0.99751999999999996"/>
        <n v="0.99753999999999998"/>
        <n v="0.99756"/>
        <n v="0.99758000000000002"/>
        <n v="0.99760000000000004"/>
        <n v="0.99761"/>
        <n v="0.99763999999999997"/>
        <n v="0.99765000000000004"/>
        <n v="0.99768000000000001"/>
        <n v="0.99768999999999997"/>
        <n v="0.99770000000000003"/>
        <n v="0.99772000000000005"/>
        <n v="0.99773999999999996"/>
        <n v="0.99778999999999995"/>
        <n v="0.99780000000000002"/>
        <n v="0.99782000000000004"/>
        <n v="0.99782999999999999"/>
        <n v="0.99783999999999995"/>
        <n v="0.99785000000000001"/>
        <n v="0.99785999999999997"/>
        <n v="0.99787000000000003"/>
        <n v="0.99787999999999999"/>
        <n v="0.99790000000000001"/>
        <n v="0.99790999999999996"/>
        <n v="0.99795999999999996"/>
        <n v="0.99797999999999998"/>
        <n v="0.998"/>
        <n v="0.99800999999999995"/>
        <n v="0.99802999999999997"/>
        <n v="0.99807999999999997"/>
        <n v="0.99809999999999999"/>
        <n v="0.99814000000000003"/>
        <n v="0.99814999999999998"/>
        <n v="0.99817"/>
        <n v="0.99817999999999996"/>
        <n v="0.99819999999999998"/>
        <n v="0.99822"/>
        <n v="0.99822999999999995"/>
        <n v="0.99824000000000002"/>
        <n v="0.99827999999999995"/>
        <n v="0.99829999999999997"/>
        <n v="0.99831999999999999"/>
        <n v="0.99834000000000001"/>
        <n v="0.99836000000000003"/>
        <n v="0.99839999999999995"/>
        <n v="0.99841999999999997"/>
        <n v="0.99844999999999995"/>
        <n v="0.99850000000000005"/>
        <n v="0.99851999999999996"/>
        <n v="0.99853999999999998"/>
        <n v="0.99855000000000005"/>
        <n v="0.99858999999999998"/>
        <n v="0.99860000000000004"/>
        <n v="0.99863999999999997"/>
        <n v="0.99865000000000004"/>
        <n v="0.99870000000000003"/>
        <n v="0.99878"/>
        <n v="0.99880000000000002"/>
        <n v="0.99887999999999999"/>
        <n v="0.99890000000000001"/>
        <n v="0.99892000000000003"/>
        <n v="0.999"/>
        <n v="0.99900999999999995"/>
        <n v="0.99909999999999999"/>
        <n v="0.99914000000000003"/>
        <n v="0.99914999999999998"/>
        <n v="0.99917999999999996"/>
        <n v="0.99919999999999998"/>
        <n v="0.99922"/>
        <n v="0.99924999999999997"/>
        <n v="0.99929999999999997"/>
        <n v="0.99934999999999996"/>
        <n v="0.99938000000000005"/>
        <n v="0.99939"/>
        <n v="0.99939999999999996"/>
        <n v="0.99950000000000006"/>
        <n v="0.99960000000000004"/>
        <n v="0.99965000000000004"/>
        <n v="0.99970000000000003"/>
        <n v="0.99973999999999996"/>
        <n v="0.99975000000000003"/>
        <n v="0.99975999999999998"/>
        <n v="0.99980000000000002"/>
        <n v="0.99990000000000001"/>
        <n v="1"/>
        <n v="1.0000500000000001"/>
        <n v="1.0001"/>
        <n v="1.0001199999999999"/>
        <n v="1.0001500000000001"/>
        <n v="1.0002"/>
        <n v="1.00024"/>
        <n v="1.0002500000000001"/>
        <n v="1.0003"/>
        <n v="1.0004"/>
        <n v="1.0005999999999999"/>
        <n v="1.0007999999999999"/>
        <n v="1.0009999999999999"/>
        <n v="1.0014000000000001"/>
        <n v="1.0015000000000001"/>
        <n v="1.0018"/>
        <n v="1.0021"/>
        <n v="1.0022"/>
        <n v="1.0024200000000001"/>
        <n v="1.0025999999999999"/>
        <n v="1.0028900000000001"/>
        <n v="1.00315"/>
        <n v="1.0032000000000001"/>
        <n v="1.00369"/>
      </sharedItems>
    </cacheField>
    <cacheField name="pH" numFmtId="0">
      <sharedItems containsSemiMixedTypes="0" containsString="0" containsNumber="1" minValue="2.74" maxValue="4.01" count="89">
        <n v="2.74"/>
        <n v="2.86"/>
        <n v="2.87"/>
        <n v="2.88"/>
        <n v="2.89"/>
        <n v="2.9"/>
        <n v="2.92"/>
        <n v="2.93"/>
        <n v="2.94"/>
        <n v="2.95"/>
        <n v="2.98"/>
        <n v="2.99"/>
        <n v="3"/>
        <n v="3.01"/>
        <n v="3.02"/>
        <n v="3.03"/>
        <n v="3.04"/>
        <n v="3.05"/>
        <n v="3.06"/>
        <n v="3.07"/>
        <n v="3.08"/>
        <n v="3.09"/>
        <n v="3.1"/>
        <n v="3.11"/>
        <n v="3.12"/>
        <n v="3.13"/>
        <n v="3.14"/>
        <n v="3.15"/>
        <n v="3.16"/>
        <n v="3.17"/>
        <n v="3.18"/>
        <n v="3.19"/>
        <n v="3.2"/>
        <n v="3.21"/>
        <n v="3.22"/>
        <n v="3.23"/>
        <n v="3.24"/>
        <n v="3.25"/>
        <n v="3.26"/>
        <n v="3.27"/>
        <n v="3.28"/>
        <n v="3.29"/>
        <n v="3.3"/>
        <n v="3.31"/>
        <n v="3.32"/>
        <n v="3.33"/>
        <n v="3.34"/>
        <n v="3.35"/>
        <n v="3.36"/>
        <n v="3.37"/>
        <n v="3.38"/>
        <n v="3.39"/>
        <n v="3.4"/>
        <n v="3.41"/>
        <n v="3.42"/>
        <n v="3.43"/>
        <n v="3.44"/>
        <n v="3.45"/>
        <n v="3.46"/>
        <n v="3.47"/>
        <n v="3.48"/>
        <n v="3.49"/>
        <n v="3.5"/>
        <n v="3.51"/>
        <n v="3.52"/>
        <n v="3.53"/>
        <n v="3.54"/>
        <n v="3.55"/>
        <n v="3.56"/>
        <n v="3.57"/>
        <n v="3.58"/>
        <n v="3.59"/>
        <n v="3.6"/>
        <n v="3.61"/>
        <n v="3.62"/>
        <n v="3.63"/>
        <n v="3.66"/>
        <n v="3.67"/>
        <n v="3.68"/>
        <n v="3.69"/>
        <n v="3.7"/>
        <n v="3.71"/>
        <n v="3.72"/>
        <n v="3.74"/>
        <n v="3.75"/>
        <n v="3.78"/>
        <n v="3.85"/>
        <n v="3.9"/>
        <n v="4.01"/>
      </sharedItems>
    </cacheField>
    <cacheField name="Sulphates" numFmtId="0">
      <sharedItems containsSemiMixedTypes="0" containsString="0" containsNumber="1" minValue="0.33" maxValue="2" count="96">
        <n v="0.33"/>
        <n v="0.37"/>
        <n v="0.39"/>
        <n v="0.4"/>
        <n v="0.42"/>
        <n v="0.43"/>
        <n v="0.44"/>
        <n v="0.45"/>
        <n v="0.46"/>
        <n v="0.47"/>
        <n v="0.48"/>
        <n v="0.49"/>
        <n v="0.5"/>
        <n v="0.51"/>
        <n v="0.52"/>
        <n v="0.53"/>
        <n v="0.54"/>
        <n v="0.55000000000000004"/>
        <n v="0.56000000000000005"/>
        <n v="0.56999999999999995"/>
        <n v="0.57999999999999996"/>
        <n v="0.59"/>
        <n v="0.6"/>
        <n v="0.61"/>
        <n v="0.62"/>
        <n v="0.63"/>
        <n v="0.64"/>
        <n v="0.65"/>
        <n v="0.66"/>
        <n v="0.67"/>
        <n v="0.68"/>
        <n v="0.69"/>
        <n v="0.7"/>
        <n v="0.71"/>
        <n v="0.72"/>
        <n v="0.73"/>
        <n v="0.74"/>
        <n v="0.75"/>
        <n v="0.76"/>
        <n v="0.77"/>
        <n v="0.78"/>
        <n v="0.79"/>
        <n v="0.8"/>
        <n v="0.81"/>
        <n v="0.82"/>
        <n v="0.83"/>
        <n v="0.84"/>
        <n v="0.85"/>
        <n v="0.86"/>
        <n v="0.87"/>
        <n v="0.88"/>
        <n v="0.89"/>
        <n v="0.9"/>
        <n v="0.91"/>
        <n v="0.92"/>
        <n v="0.93"/>
        <n v="0.94"/>
        <n v="0.95"/>
        <n v="0.96"/>
        <n v="0.97"/>
        <n v="0.98"/>
        <n v="0.99"/>
        <n v="1"/>
        <n v="1.01"/>
        <n v="1.02"/>
        <n v="1.03"/>
        <n v="1.04"/>
        <n v="1.05"/>
        <n v="1.06"/>
        <n v="1.07"/>
        <n v="1.08"/>
        <n v="1.0900000000000001"/>
        <n v="1.1000000000000001"/>
        <n v="1.1100000000000001"/>
        <n v="1.1200000000000001"/>
        <n v="1.1299999999999999"/>
        <n v="1.1399999999999999"/>
        <n v="1.1499999999999999"/>
        <n v="1.1599999999999999"/>
        <n v="1.17"/>
        <n v="1.18"/>
        <n v="1.2"/>
        <n v="1.22"/>
        <n v="1.26"/>
        <n v="1.28"/>
        <n v="1.31"/>
        <n v="1.33"/>
        <n v="1.34"/>
        <n v="1.36"/>
        <n v="1.56"/>
        <n v="1.59"/>
        <n v="1.61"/>
        <n v="1.62"/>
        <n v="1.95"/>
        <n v="1.98"/>
        <n v="2"/>
      </sharedItems>
    </cacheField>
    <cacheField name="Alcohol" numFmtId="0">
      <sharedItems containsSemiMixedTypes="0" containsString="0" containsNumber="1" minValue="8.4" maxValue="14.9" count="65">
        <n v="8.4"/>
        <n v="8.5"/>
        <n v="8.6999999999999993"/>
        <n v="8.8000000000000007"/>
        <n v="9"/>
        <n v="9.0500000000000007"/>
        <n v="9.1"/>
        <n v="9.1999999999999993"/>
        <n v="9.2333333333333307"/>
        <n v="9.25"/>
        <n v="9.3000000000000007"/>
        <n v="9.4"/>
        <n v="9.5"/>
        <n v="9.5500000000000007"/>
        <n v="9.56666666666667"/>
        <n v="9.6"/>
        <n v="9.6999999999999993"/>
        <n v="9.8000000000000007"/>
        <n v="9.9"/>
        <n v="9.9499999999999993"/>
        <n v="10"/>
        <n v="10.033333333333299"/>
        <n v="10.1"/>
        <n v="10.199999999999999"/>
        <n v="10.3"/>
        <n v="10.4"/>
        <n v="10.5"/>
        <n v="10.55"/>
        <n v="10.6"/>
        <n v="10.7"/>
        <n v="10.75"/>
        <n v="10.8"/>
        <n v="10.9"/>
        <n v="11"/>
        <n v="11.0666666666667"/>
        <n v="11.1"/>
        <n v="11.2"/>
        <n v="11.3"/>
        <n v="11.4"/>
        <n v="11.5"/>
        <n v="11.6"/>
        <n v="11.7"/>
        <n v="11.8"/>
        <n v="11.9"/>
        <n v="11.95"/>
        <n v="12"/>
        <n v="12.1"/>
        <n v="12.2"/>
        <n v="12.3"/>
        <n v="12.4"/>
        <n v="12.5"/>
        <n v="12.6"/>
        <n v="12.7"/>
        <n v="12.8"/>
        <n v="12.9"/>
        <n v="13"/>
        <n v="13.1"/>
        <n v="13.2"/>
        <n v="13.3"/>
        <n v="13.4"/>
        <n v="13.5"/>
        <n v="13.5666666666667"/>
        <n v="13.6"/>
        <n v="14"/>
        <n v="14.9"/>
      </sharedItems>
    </cacheField>
    <cacheField name="Quality" numFmtId="0">
      <sharedItems containsSemiMixedTypes="0" containsString="0" containsNumber="1" containsInteger="1" minValue="3" maxValue="8" count="6">
        <n v="3"/>
        <n v="4"/>
        <n v="5"/>
        <n v="6"/>
        <n v="7"/>
        <n v="8"/>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1359" xr:uid="{00000000-000A-0000-FFFF-FFFF02000000}">
  <cacheSource type="worksheet">
    <worksheetSource ref="A4:J1363" sheet="4_Formulas"/>
  </cacheSource>
  <cacheFields count="10">
    <cacheField name="Wine_ID" numFmtId="0">
      <sharedItems containsSemiMixedTypes="0" containsString="0" containsNumber="1" containsInteger="1" minValue="1" maxValue="1359" count="135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sharedItems>
    </cacheField>
    <cacheField name="Quality" numFmtId="0">
      <sharedItems containsSemiMixedTypes="0" containsString="0" containsNumber="1" containsInteger="1" minValue="3" maxValue="8" count="6">
        <n v="3"/>
        <n v="4"/>
        <n v="5"/>
        <n v="6"/>
        <n v="7"/>
        <n v="8"/>
      </sharedItems>
    </cacheField>
    <cacheField name="Quality_Grade" numFmtId="0">
      <sharedItems count="5">
        <s v="Above Average"/>
        <s v="Average"/>
        <s v="Excellent"/>
        <s v="Good"/>
        <s v="Poor"/>
      </sharedItems>
    </cacheField>
    <cacheField name="Alcohol" numFmtId="0">
      <sharedItems containsSemiMixedTypes="0" containsString="0" containsNumber="1" minValue="8.4" maxValue="14.9" count="65">
        <n v="8.4"/>
        <n v="8.5"/>
        <n v="8.6999999999999993"/>
        <n v="8.8000000000000007"/>
        <n v="9"/>
        <n v="9.0500000000000007"/>
        <n v="9.1"/>
        <n v="9.1999999999999993"/>
        <n v="9.2333333333333307"/>
        <n v="9.25"/>
        <n v="9.3000000000000007"/>
        <n v="9.4"/>
        <n v="9.5"/>
        <n v="9.5500000000000007"/>
        <n v="9.56666666666667"/>
        <n v="9.6"/>
        <n v="9.6999999999999993"/>
        <n v="9.8000000000000007"/>
        <n v="9.9"/>
        <n v="9.9499999999999993"/>
        <n v="10"/>
        <n v="10.033333333333299"/>
        <n v="10.1"/>
        <n v="10.199999999999999"/>
        <n v="10.3"/>
        <n v="10.4"/>
        <n v="10.5"/>
        <n v="10.55"/>
        <n v="10.6"/>
        <n v="10.7"/>
        <n v="10.75"/>
        <n v="10.8"/>
        <n v="10.9"/>
        <n v="11"/>
        <n v="11.0666666666667"/>
        <n v="11.1"/>
        <n v="11.2"/>
        <n v="11.3"/>
        <n v="11.4"/>
        <n v="11.5"/>
        <n v="11.6"/>
        <n v="11.7"/>
        <n v="11.8"/>
        <n v="11.9"/>
        <n v="11.95"/>
        <n v="12"/>
        <n v="12.1"/>
        <n v="12.2"/>
        <n v="12.3"/>
        <n v="12.4"/>
        <n v="12.5"/>
        <n v="12.6"/>
        <n v="12.7"/>
        <n v="12.8"/>
        <n v="12.9"/>
        <n v="13"/>
        <n v="13.1"/>
        <n v="13.2"/>
        <n v="13.3"/>
        <n v="13.4"/>
        <n v="13.5"/>
        <n v="13.5666666666667"/>
        <n v="13.6"/>
        <n v="14"/>
        <n v="14.9"/>
      </sharedItems>
    </cacheField>
    <cacheField name="Alcohol_Band" numFmtId="0">
      <sharedItems count="3">
        <s v="High"/>
        <s v="Low"/>
        <s v="Medium"/>
      </sharedItems>
    </cacheField>
    <cacheField name="Volatile_Acidity" numFmtId="0">
      <sharedItems containsSemiMixedTypes="0" containsString="0" containsNumber="1" minValue="0.12" maxValue="1.58" count="143">
        <n v="0.12"/>
        <n v="0.16"/>
        <n v="0.18"/>
        <n v="0.19"/>
        <n v="0.2"/>
        <n v="0.21"/>
        <n v="0.22"/>
        <n v="0.23"/>
        <n v="0.24"/>
        <n v="0.25"/>
        <n v="0.26"/>
        <n v="0.27"/>
        <n v="0.28000000000000003"/>
        <n v="0.28999999999999998"/>
        <n v="0.29499999999999998"/>
        <n v="0.3"/>
        <n v="0.30499999999999999"/>
        <n v="0.31"/>
        <n v="0.315"/>
        <n v="0.32"/>
        <n v="0.33"/>
        <n v="0.34"/>
        <n v="0.35"/>
        <n v="0.36"/>
        <n v="0.36499999999999999"/>
        <n v="0.37"/>
        <n v="0.38"/>
        <n v="0.39"/>
        <n v="0.39500000000000002"/>
        <n v="0.4"/>
        <n v="0.41"/>
        <n v="0.41499999999999998"/>
        <n v="0.42"/>
        <n v="0.43"/>
        <n v="0.44"/>
        <n v="0.45"/>
        <n v="0.46"/>
        <n v="0.47"/>
        <n v="0.47499999999999998"/>
        <n v="0.48"/>
        <n v="0.49"/>
        <n v="0.5"/>
        <n v="0.51"/>
        <n v="0.52"/>
        <n v="0.53"/>
        <n v="0.54"/>
        <n v="0.54500000000000004"/>
        <n v="0.55000000000000004"/>
        <n v="0.56000000000000005"/>
        <n v="0.56499999999999995"/>
        <n v="0.56999999999999995"/>
        <n v="0.57499999999999996"/>
        <n v="0.57999999999999996"/>
        <n v="0.58499999999999996"/>
        <n v="0.59"/>
        <n v="0.59499999999999997"/>
        <n v="0.6"/>
        <n v="0.60499999999999998"/>
        <n v="0.61"/>
        <n v="0.61499999999999999"/>
        <n v="0.62"/>
        <n v="0.625"/>
        <n v="0.63"/>
        <n v="0.63500000000000001"/>
        <n v="0.64"/>
        <n v="0.64500000000000002"/>
        <n v="0.65"/>
        <n v="0.65500000000000003"/>
        <n v="0.66"/>
        <n v="0.66500000000000004"/>
        <n v="0.67"/>
        <n v="0.67500000000000004"/>
        <n v="0.68"/>
        <n v="0.68500000000000005"/>
        <n v="0.69"/>
        <n v="0.69499999999999995"/>
        <n v="0.7"/>
        <n v="0.70499999999999996"/>
        <n v="0.71"/>
        <n v="0.71499999999999997"/>
        <n v="0.72"/>
        <n v="0.72499999999999998"/>
        <n v="0.73"/>
        <n v="0.73499999999999999"/>
        <n v="0.74"/>
        <n v="0.745"/>
        <n v="0.75"/>
        <n v="0.755"/>
        <n v="0.76"/>
        <n v="0.76500000000000001"/>
        <n v="0.77"/>
        <n v="0.77500000000000002"/>
        <n v="0.78"/>
        <n v="0.78500000000000003"/>
        <n v="0.79"/>
        <n v="0.79500000000000004"/>
        <n v="0.8"/>
        <n v="0.80500000000000005"/>
        <n v="0.81"/>
        <n v="0.81499999999999995"/>
        <n v="0.82"/>
        <n v="0.82499999999999996"/>
        <n v="0.83"/>
        <n v="0.83499999999999996"/>
        <n v="0.84"/>
        <n v="0.84499999999999997"/>
        <n v="0.85"/>
        <n v="0.85499999999999998"/>
        <n v="0.86"/>
        <n v="0.86499999999999999"/>
        <n v="0.87"/>
        <n v="0.875"/>
        <n v="0.88"/>
        <n v="0.88500000000000001"/>
        <n v="0.89"/>
        <n v="0.89500000000000002"/>
        <n v="0.9"/>
        <n v="0.91"/>
        <n v="0.91500000000000004"/>
        <n v="0.92"/>
        <n v="0.93500000000000005"/>
        <n v="0.95"/>
        <n v="0.95499999999999996"/>
        <n v="0.96"/>
        <n v="0.96499999999999997"/>
        <n v="0.97499999999999998"/>
        <n v="0.98"/>
        <n v="1"/>
        <n v="1.0049999999999999"/>
        <n v="1.01"/>
        <n v="1.02"/>
        <n v="1.0249999999999999"/>
        <n v="1.0349999999999999"/>
        <n v="1.04"/>
        <n v="1.07"/>
        <n v="1.0900000000000001"/>
        <n v="1.115"/>
        <n v="1.1299999999999999"/>
        <n v="1.18"/>
        <n v="1.1850000000000001"/>
        <n v="1.24"/>
        <n v="1.33"/>
        <n v="1.58"/>
      </sharedItems>
    </cacheField>
    <cacheField name="Total_SO2" numFmtId="0">
      <sharedItems containsSemiMixedTypes="0" containsString="0" containsNumber="1" minValue="6" maxValue="289" count="144">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7.5"/>
        <n v="78"/>
        <n v="79"/>
        <n v="80"/>
        <n v="81"/>
        <n v="82"/>
        <n v="83"/>
        <n v="84"/>
        <n v="85"/>
        <n v="86"/>
        <n v="87"/>
        <n v="88"/>
        <n v="89"/>
        <n v="90"/>
        <n v="91"/>
        <n v="92"/>
        <n v="93"/>
        <n v="94"/>
        <n v="95"/>
        <n v="96"/>
        <n v="98"/>
        <n v="99"/>
        <n v="100"/>
        <n v="101"/>
        <n v="102"/>
        <n v="103"/>
        <n v="104"/>
        <n v="105"/>
        <n v="106"/>
        <n v="108"/>
        <n v="109"/>
        <n v="110"/>
        <n v="111"/>
        <n v="112"/>
        <n v="113"/>
        <n v="114"/>
        <n v="115"/>
        <n v="116"/>
        <n v="119"/>
        <n v="120"/>
        <n v="121"/>
        <n v="122"/>
        <n v="124"/>
        <n v="125"/>
        <n v="126"/>
        <n v="127"/>
        <n v="128"/>
        <n v="129"/>
        <n v="130"/>
        <n v="131"/>
        <n v="133"/>
        <n v="134"/>
        <n v="135"/>
        <n v="136"/>
        <n v="139"/>
        <n v="140"/>
        <n v="141"/>
        <n v="142"/>
        <n v="143"/>
        <n v="144"/>
        <n v="145"/>
        <n v="147"/>
        <n v="148"/>
        <n v="149"/>
        <n v="151"/>
        <n v="152"/>
        <n v="153"/>
        <n v="155"/>
        <n v="160"/>
        <n v="165"/>
        <n v="278"/>
        <n v="289"/>
      </sharedItems>
    </cacheField>
    <cacheField name="Sulfur_Risk" numFmtId="0">
      <sharedItems count="3">
        <s v="High"/>
        <s v="Low"/>
        <s v="Moderate"/>
      </sharedItems>
    </cacheField>
    <cacheField name="Acidity_Flag" numFmtId="0">
      <sharedItems count="2">
        <s v="Above limit"/>
        <s v="OK"/>
      </sharedItems>
    </cacheField>
    <cacheField name="Wine_Profile" numFmtId="0">
      <sharedItems count="4">
        <s v="Poor"/>
        <s v="Premium"/>
        <s v="Solid"/>
        <s v="Standar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359">
  <r>
    <x v="0"/>
    <x v="27"/>
    <x v="76"/>
    <x v="0"/>
    <x v="10"/>
    <x v="39"/>
    <x v="11"/>
    <x v="28"/>
    <x v="342"/>
    <x v="63"/>
    <x v="18"/>
    <x v="11"/>
    <x v="2"/>
  </r>
  <r>
    <x v="1"/>
    <x v="31"/>
    <x v="112"/>
    <x v="0"/>
    <x v="22"/>
    <x v="61"/>
    <x v="25"/>
    <x v="61"/>
    <x v="271"/>
    <x v="32"/>
    <x v="30"/>
    <x v="17"/>
    <x v="2"/>
  </r>
  <r>
    <x v="2"/>
    <x v="31"/>
    <x v="88"/>
    <x v="4"/>
    <x v="17"/>
    <x v="55"/>
    <x v="15"/>
    <x v="48"/>
    <x v="287"/>
    <x v="38"/>
    <x v="27"/>
    <x v="17"/>
    <x v="2"/>
  </r>
  <r>
    <x v="3"/>
    <x v="65"/>
    <x v="12"/>
    <x v="56"/>
    <x v="10"/>
    <x v="38"/>
    <x v="17"/>
    <x v="54"/>
    <x v="354"/>
    <x v="28"/>
    <x v="20"/>
    <x v="17"/>
    <x v="3"/>
  </r>
  <r>
    <x v="4"/>
    <x v="27"/>
    <x v="68"/>
    <x v="0"/>
    <x v="9"/>
    <x v="38"/>
    <x v="13"/>
    <x v="34"/>
    <x v="342"/>
    <x v="63"/>
    <x v="18"/>
    <x v="11"/>
    <x v="2"/>
  </r>
  <r>
    <x v="5"/>
    <x v="32"/>
    <x v="56"/>
    <x v="6"/>
    <x v="5"/>
    <x v="32"/>
    <x v="15"/>
    <x v="53"/>
    <x v="239"/>
    <x v="42"/>
    <x v="8"/>
    <x v="11"/>
    <x v="2"/>
  </r>
  <r>
    <x v="6"/>
    <x v="26"/>
    <x v="66"/>
    <x v="0"/>
    <x v="1"/>
    <x v="28"/>
    <x v="15"/>
    <x v="15"/>
    <x v="100"/>
    <x v="51"/>
    <x v="9"/>
    <x v="20"/>
    <x v="4"/>
  </r>
  <r>
    <x v="7"/>
    <x v="31"/>
    <x v="52"/>
    <x v="2"/>
    <x v="11"/>
    <x v="36"/>
    <x v="9"/>
    <x v="12"/>
    <x v="271"/>
    <x v="48"/>
    <x v="19"/>
    <x v="12"/>
    <x v="4"/>
  </r>
  <r>
    <x v="8"/>
    <x v="28"/>
    <x v="41"/>
    <x v="36"/>
    <x v="64"/>
    <x v="34"/>
    <x v="17"/>
    <x v="96"/>
    <x v="342"/>
    <x v="47"/>
    <x v="42"/>
    <x v="26"/>
    <x v="2"/>
  </r>
  <r>
    <x v="9"/>
    <x v="20"/>
    <x v="52"/>
    <x v="8"/>
    <x v="9"/>
    <x v="60"/>
    <x v="15"/>
    <x v="59"/>
    <x v="199"/>
    <x v="40"/>
    <x v="16"/>
    <x v="7"/>
    <x v="2"/>
  </r>
  <r>
    <x v="10"/>
    <x v="9"/>
    <x v="59"/>
    <x v="0"/>
    <x v="5"/>
    <x v="52"/>
    <x v="16"/>
    <x v="53"/>
    <x v="87"/>
    <x v="70"/>
    <x v="14"/>
    <x v="18"/>
    <x v="2"/>
  </r>
  <r>
    <x v="11"/>
    <x v="31"/>
    <x v="58"/>
    <x v="29"/>
    <x v="5"/>
    <x v="77"/>
    <x v="9"/>
    <x v="23"/>
    <x v="320"/>
    <x v="38"/>
    <x v="89"/>
    <x v="6"/>
    <x v="2"/>
  </r>
  <r>
    <x v="12"/>
    <x v="42"/>
    <x v="60"/>
    <x v="18"/>
    <x v="40"/>
    <x v="113"/>
    <x v="52"/>
    <x v="132"/>
    <x v="380"/>
    <x v="28"/>
    <x v="50"/>
    <x v="7"/>
    <x v="2"/>
  </r>
  <r>
    <x v="13"/>
    <x v="42"/>
    <x v="60"/>
    <x v="19"/>
    <x v="41"/>
    <x v="109"/>
    <x v="51"/>
    <x v="134"/>
    <x v="380"/>
    <x v="29"/>
    <x v="55"/>
    <x v="7"/>
    <x v="2"/>
  </r>
  <r>
    <x v="14"/>
    <x v="38"/>
    <x v="12"/>
    <x v="56"/>
    <x v="9"/>
    <x v="55"/>
    <x v="35"/>
    <x v="97"/>
    <x v="279"/>
    <x v="42"/>
    <x v="37"/>
    <x v="26"/>
    <x v="4"/>
  </r>
  <r>
    <x v="15"/>
    <x v="34"/>
    <x v="48"/>
    <x v="28"/>
    <x v="7"/>
    <x v="140"/>
    <x v="16"/>
    <x v="50"/>
    <x v="271"/>
    <x v="23"/>
    <x v="84"/>
    <x v="10"/>
    <x v="2"/>
  </r>
  <r>
    <x v="16"/>
    <x v="27"/>
    <x v="54"/>
    <x v="8"/>
    <x v="47"/>
    <x v="49"/>
    <x v="6"/>
    <x v="23"/>
    <x v="320"/>
    <x v="50"/>
    <x v="12"/>
    <x v="4"/>
    <x v="1"/>
  </r>
  <r>
    <x v="17"/>
    <x v="32"/>
    <x v="19"/>
    <x v="51"/>
    <x v="9"/>
    <x v="136"/>
    <x v="17"/>
    <x v="50"/>
    <x v="279"/>
    <x v="16"/>
    <x v="70"/>
    <x v="7"/>
    <x v="3"/>
  </r>
  <r>
    <x v="18"/>
    <x v="42"/>
    <x v="6"/>
    <x v="48"/>
    <x v="9"/>
    <x v="40"/>
    <x v="29"/>
    <x v="54"/>
    <x v="271"/>
    <x v="51"/>
    <x v="15"/>
    <x v="11"/>
    <x v="3"/>
  </r>
  <r>
    <x v="19"/>
    <x v="29"/>
    <x v="27"/>
    <x v="31"/>
    <x v="17"/>
    <x v="45"/>
    <x v="23"/>
    <x v="65"/>
    <x v="363"/>
    <x v="64"/>
    <x v="27"/>
    <x v="16"/>
    <x v="2"/>
  </r>
  <r>
    <x v="20"/>
    <x v="32"/>
    <x v="33"/>
    <x v="21"/>
    <x v="5"/>
    <x v="69"/>
    <x v="10"/>
    <x v="31"/>
    <x v="256"/>
    <x v="29"/>
    <x v="53"/>
    <x v="12"/>
    <x v="2"/>
  </r>
  <r>
    <x v="21"/>
    <x v="38"/>
    <x v="40"/>
    <x v="11"/>
    <x v="17"/>
    <x v="47"/>
    <x v="9"/>
    <x v="61"/>
    <x v="271"/>
    <x v="29"/>
    <x v="15"/>
    <x v="11"/>
    <x v="2"/>
  </r>
  <r>
    <x v="22"/>
    <x v="22"/>
    <x v="29"/>
    <x v="14"/>
    <x v="19"/>
    <x v="48"/>
    <x v="21"/>
    <x v="34"/>
    <x v="271"/>
    <x v="55"/>
    <x v="25"/>
    <x v="16"/>
    <x v="3"/>
  </r>
  <r>
    <x v="23"/>
    <x v="16"/>
    <x v="27"/>
    <x v="16"/>
    <x v="3"/>
    <x v="43"/>
    <x v="11"/>
    <x v="17"/>
    <x v="166"/>
    <x v="46"/>
    <x v="18"/>
    <x v="10"/>
    <x v="2"/>
  </r>
  <r>
    <x v="24"/>
    <x v="29"/>
    <x v="30"/>
    <x v="24"/>
    <x v="9"/>
    <x v="43"/>
    <x v="3"/>
    <x v="5"/>
    <x v="221"/>
    <x v="40"/>
    <x v="21"/>
    <x v="12"/>
    <x v="2"/>
  </r>
  <r>
    <x v="25"/>
    <x v="24"/>
    <x v="78"/>
    <x v="0"/>
    <x v="10"/>
    <x v="43"/>
    <x v="14"/>
    <x v="29"/>
    <x v="303"/>
    <x v="59"/>
    <x v="17"/>
    <x v="11"/>
    <x v="2"/>
  </r>
  <r>
    <x v="26"/>
    <x v="31"/>
    <x v="65"/>
    <x v="0"/>
    <x v="11"/>
    <x v="45"/>
    <x v="8"/>
    <x v="10"/>
    <x v="239"/>
    <x v="50"/>
    <x v="21"/>
    <x v="17"/>
    <x v="3"/>
  </r>
  <r>
    <x v="27"/>
    <x v="20"/>
    <x v="71"/>
    <x v="7"/>
    <x v="19"/>
    <x v="52"/>
    <x v="17"/>
    <x v="77"/>
    <x v="190"/>
    <x v="47"/>
    <x v="16"/>
    <x v="22"/>
    <x v="2"/>
  </r>
  <r>
    <x v="28"/>
    <x v="22"/>
    <x v="73"/>
    <x v="0"/>
    <x v="20"/>
    <x v="68"/>
    <x v="22"/>
    <x v="31"/>
    <x v="256"/>
    <x v="58"/>
    <x v="19"/>
    <x v="28"/>
    <x v="3"/>
  </r>
  <r>
    <x v="29"/>
    <x v="36"/>
    <x v="67"/>
    <x v="12"/>
    <x v="17"/>
    <x v="46"/>
    <x v="15"/>
    <x v="106"/>
    <x v="256"/>
    <x v="29"/>
    <x v="28"/>
    <x v="17"/>
    <x v="2"/>
  </r>
  <r>
    <x v="30"/>
    <x v="22"/>
    <x v="57"/>
    <x v="12"/>
    <x v="83"/>
    <x v="36"/>
    <x v="41"/>
    <x v="78"/>
    <x v="398"/>
    <x v="57"/>
    <x v="14"/>
    <x v="11"/>
    <x v="3"/>
  </r>
  <r>
    <x v="31"/>
    <x v="5"/>
    <x v="19"/>
    <x v="25"/>
    <x v="9"/>
    <x v="66"/>
    <x v="13"/>
    <x v="44"/>
    <x v="182"/>
    <x v="50"/>
    <x v="17"/>
    <x v="7"/>
    <x v="2"/>
  </r>
  <r>
    <x v="32"/>
    <x v="31"/>
    <x v="65"/>
    <x v="0"/>
    <x v="58"/>
    <x v="49"/>
    <x v="4"/>
    <x v="12"/>
    <x v="380"/>
    <x v="52"/>
    <x v="17"/>
    <x v="15"/>
    <x v="3"/>
  </r>
  <r>
    <x v="33"/>
    <x v="31"/>
    <x v="56"/>
    <x v="14"/>
    <x v="19"/>
    <x v="49"/>
    <x v="2"/>
    <x v="9"/>
    <x v="327"/>
    <x v="54"/>
    <x v="22"/>
    <x v="31"/>
    <x v="3"/>
  </r>
  <r>
    <x v="34"/>
    <x v="34"/>
    <x v="26"/>
    <x v="28"/>
    <x v="13"/>
    <x v="29"/>
    <x v="13"/>
    <x v="24"/>
    <x v="271"/>
    <x v="35"/>
    <x v="35"/>
    <x v="16"/>
    <x v="4"/>
  </r>
  <r>
    <x v="35"/>
    <x v="10"/>
    <x v="137"/>
    <x v="9"/>
    <x v="4"/>
    <x v="111"/>
    <x v="7"/>
    <x v="13"/>
    <x v="74"/>
    <x v="62"/>
    <x v="10"/>
    <x v="17"/>
    <x v="1"/>
  </r>
  <r>
    <x v="36"/>
    <x v="26"/>
    <x v="35"/>
    <x v="36"/>
    <x v="62"/>
    <x v="37"/>
    <x v="12"/>
    <x v="82"/>
    <x v="342"/>
    <x v="45"/>
    <x v="45"/>
    <x v="26"/>
    <x v="2"/>
  </r>
  <r>
    <x v="37"/>
    <x v="41"/>
    <x v="58"/>
    <x v="30"/>
    <x v="25"/>
    <x v="51"/>
    <x v="17"/>
    <x v="40"/>
    <x v="332"/>
    <x v="38"/>
    <x v="13"/>
    <x v="10"/>
    <x v="1"/>
  </r>
  <r>
    <x v="38"/>
    <x v="28"/>
    <x v="40"/>
    <x v="20"/>
    <x v="22"/>
    <x v="134"/>
    <x v="8"/>
    <x v="8"/>
    <x v="271"/>
    <x v="33"/>
    <x v="52"/>
    <x v="26"/>
    <x v="3"/>
  </r>
  <r>
    <x v="39"/>
    <x v="34"/>
    <x v="68"/>
    <x v="22"/>
    <x v="15"/>
    <x v="32"/>
    <x v="9"/>
    <x v="17"/>
    <x v="271"/>
    <x v="42"/>
    <x v="81"/>
    <x v="24"/>
    <x v="2"/>
  </r>
  <r>
    <x v="40"/>
    <x v="21"/>
    <x v="70"/>
    <x v="2"/>
    <x v="9"/>
    <x v="13"/>
    <x v="4"/>
    <x v="5"/>
    <x v="221"/>
    <x v="60"/>
    <x v="14"/>
    <x v="12"/>
    <x v="2"/>
  </r>
  <r>
    <x v="41"/>
    <x v="0"/>
    <x v="43"/>
    <x v="15"/>
    <x v="13"/>
    <x v="17"/>
    <x v="8"/>
    <x v="59"/>
    <x v="43"/>
    <x v="87"/>
    <x v="18"/>
    <x v="56"/>
    <x v="1"/>
  </r>
  <r>
    <x v="42"/>
    <x v="30"/>
    <x v="120"/>
    <x v="43"/>
    <x v="15"/>
    <x v="77"/>
    <x v="22"/>
    <x v="107"/>
    <x v="287"/>
    <x v="37"/>
    <x v="35"/>
    <x v="7"/>
    <x v="2"/>
  </r>
  <r>
    <x v="43"/>
    <x v="40"/>
    <x v="13"/>
    <x v="52"/>
    <x v="5"/>
    <x v="76"/>
    <x v="12"/>
    <x v="31"/>
    <x v="279"/>
    <x v="37"/>
    <x v="20"/>
    <x v="12"/>
    <x v="2"/>
  </r>
  <r>
    <x v="44"/>
    <x v="17"/>
    <x v="29"/>
    <x v="23"/>
    <x v="5"/>
    <x v="29"/>
    <x v="4"/>
    <x v="6"/>
    <x v="190"/>
    <x v="46"/>
    <x v="18"/>
    <x v="7"/>
    <x v="2"/>
  </r>
  <r>
    <x v="45"/>
    <x v="9"/>
    <x v="17"/>
    <x v="37"/>
    <x v="3"/>
    <x v="37"/>
    <x v="12"/>
    <x v="91"/>
    <x v="157"/>
    <x v="44"/>
    <x v="20"/>
    <x v="7"/>
    <x v="2"/>
  </r>
  <r>
    <x v="46"/>
    <x v="41"/>
    <x v="68"/>
    <x v="26"/>
    <x v="7"/>
    <x v="37"/>
    <x v="3"/>
    <x v="17"/>
    <x v="295"/>
    <x v="27"/>
    <x v="36"/>
    <x v="7"/>
    <x v="2"/>
  </r>
  <r>
    <x v="47"/>
    <x v="19"/>
    <x v="43"/>
    <x v="4"/>
    <x v="15"/>
    <x v="32"/>
    <x v="8"/>
    <x v="9"/>
    <x v="175"/>
    <x v="52"/>
    <x v="25"/>
    <x v="11"/>
    <x v="3"/>
  </r>
  <r>
    <x v="48"/>
    <x v="19"/>
    <x v="41"/>
    <x v="4"/>
    <x v="13"/>
    <x v="31"/>
    <x v="6"/>
    <x v="8"/>
    <x v="166"/>
    <x v="51"/>
    <x v="26"/>
    <x v="11"/>
    <x v="3"/>
  </r>
  <r>
    <x v="49"/>
    <x v="39"/>
    <x v="26"/>
    <x v="36"/>
    <x v="29"/>
    <x v="44"/>
    <x v="30"/>
    <x v="110"/>
    <x v="287"/>
    <x v="32"/>
    <x v="18"/>
    <x v="11"/>
    <x v="2"/>
  </r>
  <r>
    <x v="50"/>
    <x v="29"/>
    <x v="42"/>
    <x v="15"/>
    <x v="25"/>
    <x v="73"/>
    <x v="33"/>
    <x v="67"/>
    <x v="166"/>
    <x v="29"/>
    <x v="25"/>
    <x v="23"/>
    <x v="3"/>
  </r>
  <r>
    <x v="51"/>
    <x v="30"/>
    <x v="60"/>
    <x v="4"/>
    <x v="40"/>
    <x v="47"/>
    <x v="25"/>
    <x v="39"/>
    <x v="342"/>
    <x v="46"/>
    <x v="15"/>
    <x v="12"/>
    <x v="2"/>
  </r>
  <r>
    <x v="52"/>
    <x v="55"/>
    <x v="32"/>
    <x v="57"/>
    <x v="33"/>
    <x v="33"/>
    <x v="3"/>
    <x v="4"/>
    <x v="295"/>
    <x v="16"/>
    <x v="25"/>
    <x v="15"/>
    <x v="2"/>
  </r>
  <r>
    <x v="53"/>
    <x v="28"/>
    <x v="62"/>
    <x v="12"/>
    <x v="54"/>
    <x v="74"/>
    <x v="50"/>
    <x v="103"/>
    <x v="368"/>
    <x v="38"/>
    <x v="39"/>
    <x v="11"/>
    <x v="2"/>
  </r>
  <r>
    <x v="54"/>
    <x v="31"/>
    <x v="54"/>
    <x v="18"/>
    <x v="17"/>
    <x v="39"/>
    <x v="17"/>
    <x v="48"/>
    <x v="327"/>
    <x v="55"/>
    <x v="21"/>
    <x v="20"/>
    <x v="2"/>
  </r>
  <r>
    <x v="55"/>
    <x v="26"/>
    <x v="27"/>
    <x v="31"/>
    <x v="19"/>
    <x v="37"/>
    <x v="9"/>
    <x v="40"/>
    <x v="221"/>
    <x v="53"/>
    <x v="16"/>
    <x v="11"/>
    <x v="3"/>
  </r>
  <r>
    <x v="56"/>
    <x v="41"/>
    <x v="29"/>
    <x v="40"/>
    <x v="15"/>
    <x v="42"/>
    <x v="19"/>
    <x v="46"/>
    <x v="354"/>
    <x v="56"/>
    <x v="26"/>
    <x v="7"/>
    <x v="2"/>
  </r>
  <r>
    <x v="57"/>
    <x v="30"/>
    <x v="74"/>
    <x v="49"/>
    <x v="9"/>
    <x v="78"/>
    <x v="20"/>
    <x v="105"/>
    <x v="271"/>
    <x v="33"/>
    <x v="33"/>
    <x v="10"/>
    <x v="2"/>
  </r>
  <r>
    <x v="58"/>
    <x v="28"/>
    <x v="43"/>
    <x v="16"/>
    <x v="10"/>
    <x v="48"/>
    <x v="12"/>
    <x v="29"/>
    <x v="271"/>
    <x v="50"/>
    <x v="24"/>
    <x v="12"/>
    <x v="4"/>
  </r>
  <r>
    <x v="59"/>
    <x v="23"/>
    <x v="83"/>
    <x v="5"/>
    <x v="11"/>
    <x v="44"/>
    <x v="13"/>
    <x v="48"/>
    <x v="256"/>
    <x v="51"/>
    <x v="19"/>
    <x v="17"/>
    <x v="2"/>
  </r>
  <r>
    <x v="60"/>
    <x v="25"/>
    <x v="81"/>
    <x v="5"/>
    <x v="50"/>
    <x v="49"/>
    <x v="3"/>
    <x v="5"/>
    <x v="221"/>
    <x v="53"/>
    <x v="2"/>
    <x v="32"/>
    <x v="2"/>
  </r>
  <r>
    <x v="61"/>
    <x v="28"/>
    <x v="43"/>
    <x v="11"/>
    <x v="4"/>
    <x v="42"/>
    <x v="11"/>
    <x v="33"/>
    <x v="271"/>
    <x v="54"/>
    <x v="20"/>
    <x v="15"/>
    <x v="2"/>
  </r>
  <r>
    <x v="62"/>
    <x v="19"/>
    <x v="77"/>
    <x v="7"/>
    <x v="5"/>
    <x v="39"/>
    <x v="6"/>
    <x v="9"/>
    <x v="221"/>
    <x v="56"/>
    <x v="20"/>
    <x v="29"/>
    <x v="2"/>
  </r>
  <r>
    <x v="63"/>
    <x v="46"/>
    <x v="19"/>
    <x v="57"/>
    <x v="11"/>
    <x v="37"/>
    <x v="27"/>
    <x v="59"/>
    <x v="279"/>
    <x v="40"/>
    <x v="41"/>
    <x v="29"/>
    <x v="2"/>
  </r>
  <r>
    <x v="64"/>
    <x v="33"/>
    <x v="77"/>
    <x v="5"/>
    <x v="10"/>
    <x v="37"/>
    <x v="8"/>
    <x v="13"/>
    <x v="221"/>
    <x v="46"/>
    <x v="57"/>
    <x v="26"/>
    <x v="3"/>
  </r>
  <r>
    <x v="65"/>
    <x v="30"/>
    <x v="62"/>
    <x v="8"/>
    <x v="10"/>
    <x v="39"/>
    <x v="15"/>
    <x v="21"/>
    <x v="264"/>
    <x v="44"/>
    <x v="16"/>
    <x v="12"/>
    <x v="3"/>
  </r>
  <r>
    <x v="66"/>
    <x v="30"/>
    <x v="70"/>
    <x v="23"/>
    <x v="13"/>
    <x v="51"/>
    <x v="17"/>
    <x v="91"/>
    <x v="221"/>
    <x v="44"/>
    <x v="10"/>
    <x v="12"/>
    <x v="2"/>
  </r>
  <r>
    <x v="67"/>
    <x v="30"/>
    <x v="74"/>
    <x v="22"/>
    <x v="10"/>
    <x v="47"/>
    <x v="18"/>
    <x v="89"/>
    <x v="213"/>
    <x v="43"/>
    <x v="10"/>
    <x v="12"/>
    <x v="2"/>
  </r>
  <r>
    <x v="68"/>
    <x v="36"/>
    <x v="71"/>
    <x v="26"/>
    <x v="13"/>
    <x v="47"/>
    <x v="11"/>
    <x v="37"/>
    <x v="332"/>
    <x v="43"/>
    <x v="15"/>
    <x v="7"/>
    <x v="1"/>
  </r>
  <r>
    <x v="69"/>
    <x v="50"/>
    <x v="19"/>
    <x v="54"/>
    <x v="20"/>
    <x v="57"/>
    <x v="28"/>
    <x v="78"/>
    <x v="372"/>
    <x v="40"/>
    <x v="44"/>
    <x v="15"/>
    <x v="2"/>
  </r>
  <r>
    <x v="70"/>
    <x v="41"/>
    <x v="30"/>
    <x v="64"/>
    <x v="15"/>
    <x v="56"/>
    <x v="9"/>
    <x v="36"/>
    <x v="380"/>
    <x v="66"/>
    <x v="28"/>
    <x v="26"/>
    <x v="2"/>
  </r>
  <r>
    <x v="71"/>
    <x v="21"/>
    <x v="93"/>
    <x v="0"/>
    <x v="19"/>
    <x v="67"/>
    <x v="14"/>
    <x v="24"/>
    <x v="256"/>
    <x v="64"/>
    <x v="17"/>
    <x v="29"/>
    <x v="3"/>
  </r>
  <r>
    <x v="72"/>
    <x v="20"/>
    <x v="86"/>
    <x v="12"/>
    <x v="11"/>
    <x v="49"/>
    <x v="12"/>
    <x v="75"/>
    <x v="190"/>
    <x v="50"/>
    <x v="14"/>
    <x v="22"/>
    <x v="2"/>
  </r>
  <r>
    <x v="73"/>
    <x v="36"/>
    <x v="61"/>
    <x v="20"/>
    <x v="4"/>
    <x v="43"/>
    <x v="27"/>
    <x v="110"/>
    <x v="303"/>
    <x v="28"/>
    <x v="74"/>
    <x v="6"/>
    <x v="1"/>
  </r>
  <r>
    <x v="74"/>
    <x v="15"/>
    <x v="35"/>
    <x v="20"/>
    <x v="5"/>
    <x v="32"/>
    <x v="2"/>
    <x v="9"/>
    <x v="190"/>
    <x v="53"/>
    <x v="18"/>
    <x v="7"/>
    <x v="2"/>
  </r>
  <r>
    <x v="75"/>
    <x v="31"/>
    <x v="33"/>
    <x v="70"/>
    <x v="10"/>
    <x v="149"/>
    <x v="22"/>
    <x v="61"/>
    <x v="320"/>
    <x v="25"/>
    <x v="84"/>
    <x v="11"/>
    <x v="2"/>
  </r>
  <r>
    <x v="76"/>
    <x v="27"/>
    <x v="41"/>
    <x v="47"/>
    <x v="11"/>
    <x v="49"/>
    <x v="21"/>
    <x v="67"/>
    <x v="287"/>
    <x v="48"/>
    <x v="19"/>
    <x v="6"/>
    <x v="2"/>
  </r>
  <r>
    <x v="77"/>
    <x v="26"/>
    <x v="70"/>
    <x v="26"/>
    <x v="9"/>
    <x v="143"/>
    <x v="16"/>
    <x v="45"/>
    <x v="279"/>
    <x v="28"/>
    <x v="76"/>
    <x v="11"/>
    <x v="2"/>
  </r>
  <r>
    <x v="78"/>
    <x v="16"/>
    <x v="15"/>
    <x v="48"/>
    <x v="9"/>
    <x v="32"/>
    <x v="18"/>
    <x v="55"/>
    <x v="199"/>
    <x v="56"/>
    <x v="40"/>
    <x v="24"/>
    <x v="3"/>
  </r>
  <r>
    <x v="79"/>
    <x v="22"/>
    <x v="47"/>
    <x v="15"/>
    <x v="15"/>
    <x v="39"/>
    <x v="19"/>
    <x v="34"/>
    <x v="213"/>
    <x v="53"/>
    <x v="21"/>
    <x v="22"/>
    <x v="2"/>
  </r>
  <r>
    <x v="80"/>
    <x v="39"/>
    <x v="40"/>
    <x v="28"/>
    <x v="10"/>
    <x v="73"/>
    <x v="20"/>
    <x v="125"/>
    <x v="303"/>
    <x v="7"/>
    <x v="93"/>
    <x v="18"/>
    <x v="3"/>
  </r>
  <r>
    <x v="81"/>
    <x v="30"/>
    <x v="40"/>
    <x v="26"/>
    <x v="10"/>
    <x v="25"/>
    <x v="9"/>
    <x v="25"/>
    <x v="256"/>
    <x v="51"/>
    <x v="26"/>
    <x v="15"/>
    <x v="2"/>
  </r>
  <r>
    <x v="82"/>
    <x v="46"/>
    <x v="27"/>
    <x v="44"/>
    <x v="13"/>
    <x v="70"/>
    <x v="34"/>
    <x v="115"/>
    <x v="342"/>
    <x v="26"/>
    <x v="82"/>
    <x v="12"/>
    <x v="2"/>
  </r>
  <r>
    <x v="83"/>
    <x v="23"/>
    <x v="60"/>
    <x v="8"/>
    <x v="9"/>
    <x v="39"/>
    <x v="8"/>
    <x v="18"/>
    <x v="342"/>
    <x v="60"/>
    <x v="15"/>
    <x v="4"/>
    <x v="2"/>
  </r>
  <r>
    <x v="84"/>
    <x v="32"/>
    <x v="43"/>
    <x v="26"/>
    <x v="10"/>
    <x v="42"/>
    <x v="44"/>
    <x v="127"/>
    <x v="239"/>
    <x v="35"/>
    <x v="16"/>
    <x v="12"/>
    <x v="2"/>
  </r>
  <r>
    <x v="85"/>
    <x v="39"/>
    <x v="40"/>
    <x v="29"/>
    <x v="11"/>
    <x v="73"/>
    <x v="19"/>
    <x v="122"/>
    <x v="303"/>
    <x v="7"/>
    <x v="94"/>
    <x v="17"/>
    <x v="2"/>
  </r>
  <r>
    <x v="86"/>
    <x v="3"/>
    <x v="130"/>
    <x v="4"/>
    <x v="3"/>
    <x v="8"/>
    <x v="43"/>
    <x v="80"/>
    <x v="63"/>
    <x v="84"/>
    <x v="10"/>
    <x v="26"/>
    <x v="1"/>
  </r>
  <r>
    <x v="87"/>
    <x v="1"/>
    <x v="56"/>
    <x v="17"/>
    <x v="17"/>
    <x v="21"/>
    <x v="17"/>
    <x v="100"/>
    <x v="34"/>
    <x v="86"/>
    <x v="22"/>
    <x v="54"/>
    <x v="3"/>
  </r>
  <r>
    <x v="88"/>
    <x v="21"/>
    <x v="91"/>
    <x v="0"/>
    <x v="29"/>
    <x v="65"/>
    <x v="8"/>
    <x v="17"/>
    <x v="248"/>
    <x v="57"/>
    <x v="18"/>
    <x v="29"/>
    <x v="2"/>
  </r>
  <r>
    <x v="89"/>
    <x v="23"/>
    <x v="41"/>
    <x v="25"/>
    <x v="11"/>
    <x v="33"/>
    <x v="2"/>
    <x v="16"/>
    <x v="230"/>
    <x v="37"/>
    <x v="25"/>
    <x v="7"/>
    <x v="2"/>
  </r>
  <r>
    <x v="90"/>
    <x v="29"/>
    <x v="116"/>
    <x v="6"/>
    <x v="20"/>
    <x v="42"/>
    <x v="4"/>
    <x v="4"/>
    <x v="264"/>
    <x v="51"/>
    <x v="18"/>
    <x v="17"/>
    <x v="2"/>
  </r>
  <r>
    <x v="91"/>
    <x v="34"/>
    <x v="46"/>
    <x v="18"/>
    <x v="10"/>
    <x v="43"/>
    <x v="13"/>
    <x v="29"/>
    <x v="303"/>
    <x v="42"/>
    <x v="21"/>
    <x v="4"/>
    <x v="3"/>
  </r>
  <r>
    <x v="92"/>
    <x v="36"/>
    <x v="58"/>
    <x v="30"/>
    <x v="13"/>
    <x v="47"/>
    <x v="11"/>
    <x v="44"/>
    <x v="303"/>
    <x v="52"/>
    <x v="23"/>
    <x v="23"/>
    <x v="3"/>
  </r>
  <r>
    <x v="93"/>
    <x v="31"/>
    <x v="41"/>
    <x v="30"/>
    <x v="10"/>
    <x v="38"/>
    <x v="8"/>
    <x v="16"/>
    <x v="199"/>
    <x v="43"/>
    <x v="18"/>
    <x v="25"/>
    <x v="3"/>
  </r>
  <r>
    <x v="94"/>
    <x v="34"/>
    <x v="51"/>
    <x v="22"/>
    <x v="13"/>
    <x v="40"/>
    <x v="12"/>
    <x v="59"/>
    <x v="264"/>
    <x v="41"/>
    <x v="13"/>
    <x v="7"/>
    <x v="2"/>
  </r>
  <r>
    <x v="95"/>
    <x v="25"/>
    <x v="40"/>
    <x v="24"/>
    <x v="15"/>
    <x v="33"/>
    <x v="4"/>
    <x v="30"/>
    <x v="206"/>
    <x v="45"/>
    <x v="10"/>
    <x v="11"/>
    <x v="2"/>
  </r>
  <r>
    <x v="96"/>
    <x v="31"/>
    <x v="30"/>
    <x v="68"/>
    <x v="7"/>
    <x v="150"/>
    <x v="18"/>
    <x v="63"/>
    <x v="312"/>
    <x v="20"/>
    <x v="85"/>
    <x v="10"/>
    <x v="2"/>
  </r>
  <r>
    <x v="97"/>
    <x v="15"/>
    <x v="62"/>
    <x v="31"/>
    <x v="7"/>
    <x v="51"/>
    <x v="15"/>
    <x v="58"/>
    <x v="279"/>
    <x v="58"/>
    <x v="41"/>
    <x v="10"/>
    <x v="2"/>
  </r>
  <r>
    <x v="98"/>
    <x v="33"/>
    <x v="20"/>
    <x v="53"/>
    <x v="20"/>
    <x v="54"/>
    <x v="18"/>
    <x v="75"/>
    <x v="332"/>
    <x v="49"/>
    <x v="42"/>
    <x v="15"/>
    <x v="3"/>
  </r>
  <r>
    <x v="99"/>
    <x v="34"/>
    <x v="93"/>
    <x v="52"/>
    <x v="11"/>
    <x v="85"/>
    <x v="37"/>
    <x v="138"/>
    <x v="279"/>
    <x v="33"/>
    <x v="31"/>
    <x v="10"/>
    <x v="2"/>
  </r>
  <r>
    <x v="100"/>
    <x v="31"/>
    <x v="48"/>
    <x v="19"/>
    <x v="9"/>
    <x v="67"/>
    <x v="12"/>
    <x v="41"/>
    <x v="239"/>
    <x v="31"/>
    <x v="55"/>
    <x v="12"/>
    <x v="2"/>
  </r>
  <r>
    <x v="101"/>
    <x v="37"/>
    <x v="60"/>
    <x v="9"/>
    <x v="15"/>
    <x v="47"/>
    <x v="11"/>
    <x v="101"/>
    <x v="239"/>
    <x v="27"/>
    <x v="28"/>
    <x v="17"/>
    <x v="2"/>
  </r>
  <r>
    <x v="102"/>
    <x v="37"/>
    <x v="56"/>
    <x v="10"/>
    <x v="15"/>
    <x v="48"/>
    <x v="14"/>
    <x v="104"/>
    <x v="239"/>
    <x v="27"/>
    <x v="28"/>
    <x v="17"/>
    <x v="2"/>
  </r>
  <r>
    <x v="103"/>
    <x v="54"/>
    <x v="17"/>
    <x v="44"/>
    <x v="17"/>
    <x v="43"/>
    <x v="22"/>
    <x v="40"/>
    <x v="385"/>
    <x v="44"/>
    <x v="29"/>
    <x v="16"/>
    <x v="3"/>
  </r>
  <r>
    <x v="104"/>
    <x v="47"/>
    <x v="29"/>
    <x v="31"/>
    <x v="15"/>
    <x v="53"/>
    <x v="13"/>
    <x v="56"/>
    <x v="256"/>
    <x v="19"/>
    <x v="25"/>
    <x v="26"/>
    <x v="3"/>
  </r>
  <r>
    <x v="105"/>
    <x v="36"/>
    <x v="45"/>
    <x v="28"/>
    <x v="10"/>
    <x v="40"/>
    <x v="11"/>
    <x v="34"/>
    <x v="342"/>
    <x v="51"/>
    <x v="23"/>
    <x v="20"/>
    <x v="3"/>
  </r>
  <r>
    <x v="106"/>
    <x v="31"/>
    <x v="48"/>
    <x v="12"/>
    <x v="11"/>
    <x v="45"/>
    <x v="7"/>
    <x v="22"/>
    <x v="287"/>
    <x v="49"/>
    <x v="12"/>
    <x v="11"/>
    <x v="3"/>
  </r>
  <r>
    <x v="107"/>
    <x v="41"/>
    <x v="47"/>
    <x v="4"/>
    <x v="15"/>
    <x v="82"/>
    <x v="14"/>
    <x v="50"/>
    <x v="221"/>
    <x v="33"/>
    <x v="22"/>
    <x v="32"/>
    <x v="3"/>
  </r>
  <r>
    <x v="108"/>
    <x v="23"/>
    <x v="74"/>
    <x v="8"/>
    <x v="9"/>
    <x v="60"/>
    <x v="22"/>
    <x v="84"/>
    <x v="199"/>
    <x v="46"/>
    <x v="16"/>
    <x v="7"/>
    <x v="3"/>
  </r>
  <r>
    <x v="109"/>
    <x v="26"/>
    <x v="134"/>
    <x v="9"/>
    <x v="7"/>
    <x v="114"/>
    <x v="10"/>
    <x v="84"/>
    <x v="221"/>
    <x v="42"/>
    <x v="19"/>
    <x v="4"/>
    <x v="2"/>
  </r>
  <r>
    <x v="110"/>
    <x v="26"/>
    <x v="75"/>
    <x v="0"/>
    <x v="20"/>
    <x v="38"/>
    <x v="2"/>
    <x v="7"/>
    <x v="354"/>
    <x v="61"/>
    <x v="14"/>
    <x v="7"/>
    <x v="2"/>
  </r>
  <r>
    <x v="111"/>
    <x v="33"/>
    <x v="78"/>
    <x v="0"/>
    <x v="22"/>
    <x v="43"/>
    <x v="11"/>
    <x v="28"/>
    <x v="332"/>
    <x v="56"/>
    <x v="15"/>
    <x v="12"/>
    <x v="2"/>
  </r>
  <r>
    <x v="112"/>
    <x v="31"/>
    <x v="41"/>
    <x v="17"/>
    <x v="5"/>
    <x v="45"/>
    <x v="21"/>
    <x v="96"/>
    <x v="206"/>
    <x v="51"/>
    <x v="10"/>
    <x v="12"/>
    <x v="2"/>
  </r>
  <r>
    <x v="113"/>
    <x v="43"/>
    <x v="60"/>
    <x v="4"/>
    <x v="10"/>
    <x v="97"/>
    <x v="27"/>
    <x v="85"/>
    <x v="372"/>
    <x v="28"/>
    <x v="32"/>
    <x v="11"/>
    <x v="2"/>
  </r>
  <r>
    <x v="114"/>
    <x v="35"/>
    <x v="141"/>
    <x v="0"/>
    <x v="7"/>
    <x v="44"/>
    <x v="2"/>
    <x v="6"/>
    <x v="239"/>
    <x v="65"/>
    <x v="11"/>
    <x v="32"/>
    <x v="2"/>
  </r>
  <r>
    <x v="115"/>
    <x v="34"/>
    <x v="141"/>
    <x v="0"/>
    <x v="9"/>
    <x v="45"/>
    <x v="2"/>
    <x v="6"/>
    <x v="239"/>
    <x v="66"/>
    <x v="10"/>
    <x v="32"/>
    <x v="2"/>
  </r>
  <r>
    <x v="116"/>
    <x v="33"/>
    <x v="54"/>
    <x v="16"/>
    <x v="9"/>
    <x v="28"/>
    <x v="2"/>
    <x v="10"/>
    <x v="221"/>
    <x v="54"/>
    <x v="54"/>
    <x v="26"/>
    <x v="4"/>
  </r>
  <r>
    <x v="117"/>
    <x v="14"/>
    <x v="26"/>
    <x v="15"/>
    <x v="9"/>
    <x v="35"/>
    <x v="6"/>
    <x v="13"/>
    <x v="166"/>
    <x v="54"/>
    <x v="19"/>
    <x v="11"/>
    <x v="2"/>
  </r>
  <r>
    <x v="118"/>
    <x v="33"/>
    <x v="85"/>
    <x v="56"/>
    <x v="11"/>
    <x v="81"/>
    <x v="30"/>
    <x v="123"/>
    <x v="271"/>
    <x v="36"/>
    <x v="28"/>
    <x v="11"/>
    <x v="2"/>
  </r>
  <r>
    <x v="119"/>
    <x v="9"/>
    <x v="41"/>
    <x v="9"/>
    <x v="17"/>
    <x v="12"/>
    <x v="17"/>
    <x v="93"/>
    <x v="57"/>
    <x v="75"/>
    <x v="25"/>
    <x v="55"/>
    <x v="2"/>
  </r>
  <r>
    <x v="120"/>
    <x v="19"/>
    <x v="41"/>
    <x v="1"/>
    <x v="4"/>
    <x v="23"/>
    <x v="17"/>
    <x v="20"/>
    <x v="141"/>
    <x v="52"/>
    <x v="20"/>
    <x v="17"/>
    <x v="3"/>
  </r>
  <r>
    <x v="121"/>
    <x v="32"/>
    <x v="133"/>
    <x v="5"/>
    <x v="15"/>
    <x v="47"/>
    <x v="13"/>
    <x v="23"/>
    <x v="199"/>
    <x v="34"/>
    <x v="17"/>
    <x v="18"/>
    <x v="3"/>
  </r>
  <r>
    <x v="122"/>
    <x v="37"/>
    <x v="85"/>
    <x v="11"/>
    <x v="10"/>
    <x v="53"/>
    <x v="16"/>
    <x v="57"/>
    <x v="248"/>
    <x v="31"/>
    <x v="44"/>
    <x v="15"/>
    <x v="2"/>
  </r>
  <r>
    <x v="123"/>
    <x v="36"/>
    <x v="79"/>
    <x v="15"/>
    <x v="9"/>
    <x v="52"/>
    <x v="10"/>
    <x v="46"/>
    <x v="271"/>
    <x v="35"/>
    <x v="39"/>
    <x v="12"/>
    <x v="2"/>
  </r>
  <r>
    <x v="124"/>
    <x v="25"/>
    <x v="31"/>
    <x v="36"/>
    <x v="11"/>
    <x v="44"/>
    <x v="13"/>
    <x v="39"/>
    <x v="303"/>
    <x v="60"/>
    <x v="26"/>
    <x v="7"/>
    <x v="2"/>
  </r>
  <r>
    <x v="125"/>
    <x v="31"/>
    <x v="48"/>
    <x v="19"/>
    <x v="13"/>
    <x v="44"/>
    <x v="15"/>
    <x v="99"/>
    <x v="221"/>
    <x v="45"/>
    <x v="16"/>
    <x v="12"/>
    <x v="2"/>
  </r>
  <r>
    <x v="126"/>
    <x v="31"/>
    <x v="48"/>
    <x v="19"/>
    <x v="11"/>
    <x v="44"/>
    <x v="17"/>
    <x v="101"/>
    <x v="221"/>
    <x v="44"/>
    <x v="16"/>
    <x v="12"/>
    <x v="2"/>
  </r>
  <r>
    <x v="127"/>
    <x v="5"/>
    <x v="21"/>
    <x v="0"/>
    <x v="9"/>
    <x v="13"/>
    <x v="27"/>
    <x v="57"/>
    <x v="9"/>
    <x v="78"/>
    <x v="41"/>
    <x v="63"/>
    <x v="3"/>
  </r>
  <r>
    <x v="128"/>
    <x v="16"/>
    <x v="27"/>
    <x v="8"/>
    <x v="7"/>
    <x v="29"/>
    <x v="2"/>
    <x v="14"/>
    <x v="157"/>
    <x v="46"/>
    <x v="20"/>
    <x v="11"/>
    <x v="2"/>
  </r>
  <r>
    <x v="129"/>
    <x v="34"/>
    <x v="70"/>
    <x v="55"/>
    <x v="9"/>
    <x v="80"/>
    <x v="32"/>
    <x v="128"/>
    <x v="271"/>
    <x v="29"/>
    <x v="24"/>
    <x v="11"/>
    <x v="2"/>
  </r>
  <r>
    <x v="130"/>
    <x v="11"/>
    <x v="72"/>
    <x v="2"/>
    <x v="9"/>
    <x v="50"/>
    <x v="21"/>
    <x v="89"/>
    <x v="92"/>
    <x v="66"/>
    <x v="14"/>
    <x v="20"/>
    <x v="2"/>
  </r>
  <r>
    <x v="131"/>
    <x v="29"/>
    <x v="40"/>
    <x v="26"/>
    <x v="5"/>
    <x v="127"/>
    <x v="10"/>
    <x v="83"/>
    <x v="271"/>
    <x v="23"/>
    <x v="42"/>
    <x v="10"/>
    <x v="2"/>
  </r>
  <r>
    <x v="132"/>
    <x v="22"/>
    <x v="40"/>
    <x v="10"/>
    <x v="17"/>
    <x v="37"/>
    <x v="12"/>
    <x v="24"/>
    <x v="199"/>
    <x v="54"/>
    <x v="20"/>
    <x v="23"/>
    <x v="3"/>
  </r>
  <r>
    <x v="133"/>
    <x v="35"/>
    <x v="29"/>
    <x v="44"/>
    <x v="25"/>
    <x v="52"/>
    <x v="11"/>
    <x v="37"/>
    <x v="327"/>
    <x v="65"/>
    <x v="23"/>
    <x v="26"/>
    <x v="3"/>
  </r>
  <r>
    <x v="134"/>
    <x v="26"/>
    <x v="20"/>
    <x v="47"/>
    <x v="13"/>
    <x v="40"/>
    <x v="4"/>
    <x v="5"/>
    <x v="190"/>
    <x v="45"/>
    <x v="15"/>
    <x v="24"/>
    <x v="3"/>
  </r>
  <r>
    <x v="135"/>
    <x v="45"/>
    <x v="43"/>
    <x v="79"/>
    <x v="33"/>
    <x v="151"/>
    <x v="32"/>
    <x v="63"/>
    <x v="404"/>
    <x v="0"/>
    <x v="95"/>
    <x v="11"/>
    <x v="1"/>
  </r>
  <r>
    <x v="136"/>
    <x v="28"/>
    <x v="56"/>
    <x v="3"/>
    <x v="9"/>
    <x v="58"/>
    <x v="25"/>
    <x v="93"/>
    <x v="127"/>
    <x v="47"/>
    <x v="16"/>
    <x v="22"/>
    <x v="2"/>
  </r>
  <r>
    <x v="137"/>
    <x v="24"/>
    <x v="33"/>
    <x v="42"/>
    <x v="58"/>
    <x v="33"/>
    <x v="29"/>
    <x v="119"/>
    <x v="312"/>
    <x v="54"/>
    <x v="34"/>
    <x v="26"/>
    <x v="2"/>
  </r>
  <r>
    <x v="138"/>
    <x v="24"/>
    <x v="33"/>
    <x v="42"/>
    <x v="58"/>
    <x v="34"/>
    <x v="28"/>
    <x v="118"/>
    <x v="312"/>
    <x v="54"/>
    <x v="33"/>
    <x v="26"/>
    <x v="2"/>
  </r>
  <r>
    <x v="139"/>
    <x v="24"/>
    <x v="72"/>
    <x v="0"/>
    <x v="15"/>
    <x v="36"/>
    <x v="12"/>
    <x v="16"/>
    <x v="279"/>
    <x v="60"/>
    <x v="12"/>
    <x v="10"/>
    <x v="2"/>
  </r>
  <r>
    <x v="140"/>
    <x v="21"/>
    <x v="56"/>
    <x v="18"/>
    <x v="10"/>
    <x v="42"/>
    <x v="18"/>
    <x v="81"/>
    <x v="271"/>
    <x v="71"/>
    <x v="19"/>
    <x v="10"/>
    <x v="3"/>
  </r>
  <r>
    <x v="141"/>
    <x v="29"/>
    <x v="121"/>
    <x v="3"/>
    <x v="11"/>
    <x v="53"/>
    <x v="7"/>
    <x v="14"/>
    <x v="199"/>
    <x v="32"/>
    <x v="18"/>
    <x v="15"/>
    <x v="2"/>
  </r>
  <r>
    <x v="142"/>
    <x v="29"/>
    <x v="72"/>
    <x v="2"/>
    <x v="2"/>
    <x v="35"/>
    <x v="9"/>
    <x v="14"/>
    <x v="248"/>
    <x v="29"/>
    <x v="70"/>
    <x v="7"/>
    <x v="1"/>
  </r>
  <r>
    <x v="143"/>
    <x v="31"/>
    <x v="44"/>
    <x v="4"/>
    <x v="7"/>
    <x v="39"/>
    <x v="17"/>
    <x v="25"/>
    <x v="239"/>
    <x v="45"/>
    <x v="18"/>
    <x v="20"/>
    <x v="3"/>
  </r>
  <r>
    <x v="144"/>
    <x v="27"/>
    <x v="56"/>
    <x v="26"/>
    <x v="73"/>
    <x v="33"/>
    <x v="36"/>
    <x v="112"/>
    <x v="363"/>
    <x v="49"/>
    <x v="11"/>
    <x v="11"/>
    <x v="2"/>
  </r>
  <r>
    <x v="145"/>
    <x v="26"/>
    <x v="54"/>
    <x v="26"/>
    <x v="72"/>
    <x v="33"/>
    <x v="35"/>
    <x v="112"/>
    <x v="358"/>
    <x v="49"/>
    <x v="11"/>
    <x v="11"/>
    <x v="2"/>
  </r>
  <r>
    <x v="146"/>
    <x v="31"/>
    <x v="62"/>
    <x v="48"/>
    <x v="7"/>
    <x v="63"/>
    <x v="14"/>
    <x v="91"/>
    <x v="213"/>
    <x v="31"/>
    <x v="24"/>
    <x v="12"/>
    <x v="2"/>
  </r>
  <r>
    <x v="147"/>
    <x v="21"/>
    <x v="64"/>
    <x v="10"/>
    <x v="13"/>
    <x v="48"/>
    <x v="18"/>
    <x v="95"/>
    <x v="175"/>
    <x v="46"/>
    <x v="14"/>
    <x v="23"/>
    <x v="2"/>
  </r>
  <r>
    <x v="148"/>
    <x v="26"/>
    <x v="47"/>
    <x v="3"/>
    <x v="5"/>
    <x v="35"/>
    <x v="17"/>
    <x v="36"/>
    <x v="175"/>
    <x v="49"/>
    <x v="10"/>
    <x v="4"/>
    <x v="1"/>
  </r>
  <r>
    <x v="149"/>
    <x v="21"/>
    <x v="62"/>
    <x v="7"/>
    <x v="13"/>
    <x v="52"/>
    <x v="11"/>
    <x v="38"/>
    <x v="150"/>
    <x v="59"/>
    <x v="17"/>
    <x v="25"/>
    <x v="3"/>
  </r>
  <r>
    <x v="150"/>
    <x v="28"/>
    <x v="77"/>
    <x v="24"/>
    <x v="9"/>
    <x v="139"/>
    <x v="15"/>
    <x v="57"/>
    <x v="239"/>
    <x v="12"/>
    <x v="90"/>
    <x v="12"/>
    <x v="2"/>
  </r>
  <r>
    <x v="151"/>
    <x v="32"/>
    <x v="113"/>
    <x v="3"/>
    <x v="9"/>
    <x v="21"/>
    <x v="3"/>
    <x v="2"/>
    <x v="303"/>
    <x v="48"/>
    <x v="0"/>
    <x v="6"/>
    <x v="1"/>
  </r>
  <r>
    <x v="152"/>
    <x v="33"/>
    <x v="32"/>
    <x v="17"/>
    <x v="11"/>
    <x v="36"/>
    <x v="6"/>
    <x v="12"/>
    <x v="303"/>
    <x v="41"/>
    <x v="23"/>
    <x v="7"/>
    <x v="3"/>
  </r>
  <r>
    <x v="153"/>
    <x v="27"/>
    <x v="60"/>
    <x v="5"/>
    <x v="10"/>
    <x v="31"/>
    <x v="24"/>
    <x v="36"/>
    <x v="213"/>
    <x v="54"/>
    <x v="19"/>
    <x v="39"/>
    <x v="3"/>
  </r>
  <r>
    <x v="154"/>
    <x v="26"/>
    <x v="26"/>
    <x v="21"/>
    <x v="11"/>
    <x v="43"/>
    <x v="7"/>
    <x v="29"/>
    <x v="213"/>
    <x v="45"/>
    <x v="9"/>
    <x v="12"/>
    <x v="2"/>
  </r>
  <r>
    <x v="155"/>
    <x v="22"/>
    <x v="41"/>
    <x v="4"/>
    <x v="4"/>
    <x v="48"/>
    <x v="19"/>
    <x v="43"/>
    <x v="190"/>
    <x v="47"/>
    <x v="40"/>
    <x v="12"/>
    <x v="2"/>
  </r>
  <r>
    <x v="156"/>
    <x v="28"/>
    <x v="43"/>
    <x v="42"/>
    <x v="17"/>
    <x v="50"/>
    <x v="8"/>
    <x v="32"/>
    <x v="303"/>
    <x v="70"/>
    <x v="23"/>
    <x v="26"/>
    <x v="3"/>
  </r>
  <r>
    <x v="157"/>
    <x v="23"/>
    <x v="97"/>
    <x v="0"/>
    <x v="20"/>
    <x v="31"/>
    <x v="7"/>
    <x v="14"/>
    <x v="279"/>
    <x v="60"/>
    <x v="18"/>
    <x v="15"/>
    <x v="2"/>
  </r>
  <r>
    <x v="158"/>
    <x v="41"/>
    <x v="58"/>
    <x v="14"/>
    <x v="19"/>
    <x v="30"/>
    <x v="10"/>
    <x v="36"/>
    <x v="279"/>
    <x v="31"/>
    <x v="21"/>
    <x v="12"/>
    <x v="2"/>
  </r>
  <r>
    <x v="159"/>
    <x v="42"/>
    <x v="58"/>
    <x v="49"/>
    <x v="11"/>
    <x v="133"/>
    <x v="23"/>
    <x v="103"/>
    <x v="303"/>
    <x v="24"/>
    <x v="64"/>
    <x v="10"/>
    <x v="2"/>
  </r>
  <r>
    <x v="160"/>
    <x v="25"/>
    <x v="82"/>
    <x v="2"/>
    <x v="20"/>
    <x v="39"/>
    <x v="16"/>
    <x v="36"/>
    <x v="303"/>
    <x v="56"/>
    <x v="14"/>
    <x v="10"/>
    <x v="2"/>
  </r>
  <r>
    <x v="161"/>
    <x v="21"/>
    <x v="58"/>
    <x v="20"/>
    <x v="9"/>
    <x v="40"/>
    <x v="11"/>
    <x v="59"/>
    <x v="295"/>
    <x v="66"/>
    <x v="20"/>
    <x v="10"/>
    <x v="2"/>
  </r>
  <r>
    <x v="162"/>
    <x v="20"/>
    <x v="60"/>
    <x v="21"/>
    <x v="10"/>
    <x v="42"/>
    <x v="8"/>
    <x v="56"/>
    <x v="287"/>
    <x v="64"/>
    <x v="20"/>
    <x v="10"/>
    <x v="3"/>
  </r>
  <r>
    <x v="163"/>
    <x v="42"/>
    <x v="17"/>
    <x v="57"/>
    <x v="11"/>
    <x v="74"/>
    <x v="26"/>
    <x v="80"/>
    <x v="295"/>
    <x v="38"/>
    <x v="15"/>
    <x v="16"/>
    <x v="2"/>
  </r>
  <r>
    <x v="164"/>
    <x v="27"/>
    <x v="27"/>
    <x v="48"/>
    <x v="11"/>
    <x v="45"/>
    <x v="14"/>
    <x v="61"/>
    <x v="303"/>
    <x v="46"/>
    <x v="17"/>
    <x v="7"/>
    <x v="2"/>
  </r>
  <r>
    <x v="165"/>
    <x v="30"/>
    <x v="77"/>
    <x v="10"/>
    <x v="22"/>
    <x v="47"/>
    <x v="9"/>
    <x v="20"/>
    <x v="332"/>
    <x v="51"/>
    <x v="11"/>
    <x v="16"/>
    <x v="2"/>
  </r>
  <r>
    <x v="166"/>
    <x v="32"/>
    <x v="41"/>
    <x v="33"/>
    <x v="11"/>
    <x v="47"/>
    <x v="15"/>
    <x v="130"/>
    <x v="271"/>
    <x v="32"/>
    <x v="17"/>
    <x v="12"/>
    <x v="2"/>
  </r>
  <r>
    <x v="167"/>
    <x v="32"/>
    <x v="40"/>
    <x v="32"/>
    <x v="10"/>
    <x v="45"/>
    <x v="17"/>
    <x v="131"/>
    <x v="271"/>
    <x v="32"/>
    <x v="17"/>
    <x v="12"/>
    <x v="2"/>
  </r>
  <r>
    <x v="168"/>
    <x v="35"/>
    <x v="41"/>
    <x v="35"/>
    <x v="27"/>
    <x v="40"/>
    <x v="21"/>
    <x v="117"/>
    <x v="332"/>
    <x v="35"/>
    <x v="24"/>
    <x v="11"/>
    <x v="2"/>
  </r>
  <r>
    <x v="169"/>
    <x v="17"/>
    <x v="25"/>
    <x v="25"/>
    <x v="10"/>
    <x v="37"/>
    <x v="21"/>
    <x v="43"/>
    <x v="320"/>
    <x v="69"/>
    <x v="24"/>
    <x v="17"/>
    <x v="3"/>
  </r>
  <r>
    <x v="170"/>
    <x v="21"/>
    <x v="62"/>
    <x v="12"/>
    <x v="40"/>
    <x v="62"/>
    <x v="16"/>
    <x v="116"/>
    <x v="279"/>
    <x v="40"/>
    <x v="23"/>
    <x v="12"/>
    <x v="2"/>
  </r>
  <r>
    <x v="171"/>
    <x v="29"/>
    <x v="47"/>
    <x v="21"/>
    <x v="15"/>
    <x v="34"/>
    <x v="7"/>
    <x v="22"/>
    <x v="239"/>
    <x v="40"/>
    <x v="17"/>
    <x v="16"/>
    <x v="2"/>
  </r>
  <r>
    <x v="172"/>
    <x v="31"/>
    <x v="54"/>
    <x v="33"/>
    <x v="11"/>
    <x v="37"/>
    <x v="24"/>
    <x v="111"/>
    <x v="271"/>
    <x v="37"/>
    <x v="16"/>
    <x v="11"/>
    <x v="2"/>
  </r>
  <r>
    <x v="173"/>
    <x v="26"/>
    <x v="52"/>
    <x v="30"/>
    <x v="19"/>
    <x v="37"/>
    <x v="15"/>
    <x v="49"/>
    <x v="271"/>
    <x v="58"/>
    <x v="21"/>
    <x v="23"/>
    <x v="2"/>
  </r>
  <r>
    <x v="174"/>
    <x v="68"/>
    <x v="15"/>
    <x v="60"/>
    <x v="11"/>
    <x v="30"/>
    <x v="12"/>
    <x v="21"/>
    <x v="358"/>
    <x v="23"/>
    <x v="59"/>
    <x v="22"/>
    <x v="3"/>
  </r>
  <r>
    <x v="175"/>
    <x v="7"/>
    <x v="103"/>
    <x v="8"/>
    <x v="1"/>
    <x v="9"/>
    <x v="13"/>
    <x v="88"/>
    <x v="18"/>
    <x v="69"/>
    <x v="47"/>
    <x v="55"/>
    <x v="4"/>
  </r>
  <r>
    <x v="176"/>
    <x v="22"/>
    <x v="135"/>
    <x v="6"/>
    <x v="13"/>
    <x v="24"/>
    <x v="12"/>
    <x v="25"/>
    <x v="113"/>
    <x v="63"/>
    <x v="5"/>
    <x v="38"/>
    <x v="1"/>
  </r>
  <r>
    <x v="177"/>
    <x v="49"/>
    <x v="19"/>
    <x v="47"/>
    <x v="3"/>
    <x v="19"/>
    <x v="9"/>
    <x v="18"/>
    <x v="283"/>
    <x v="34"/>
    <x v="44"/>
    <x v="24"/>
    <x v="4"/>
  </r>
  <r>
    <x v="178"/>
    <x v="41"/>
    <x v="25"/>
    <x v="48"/>
    <x v="13"/>
    <x v="60"/>
    <x v="40"/>
    <x v="132"/>
    <x v="327"/>
    <x v="16"/>
    <x v="65"/>
    <x v="10"/>
    <x v="2"/>
  </r>
  <r>
    <x v="179"/>
    <x v="21"/>
    <x v="41"/>
    <x v="11"/>
    <x v="4"/>
    <x v="38"/>
    <x v="16"/>
    <x v="43"/>
    <x v="162"/>
    <x v="48"/>
    <x v="41"/>
    <x v="12"/>
    <x v="2"/>
  </r>
  <r>
    <x v="180"/>
    <x v="23"/>
    <x v="32"/>
    <x v="35"/>
    <x v="5"/>
    <x v="51"/>
    <x v="16"/>
    <x v="33"/>
    <x v="213"/>
    <x v="46"/>
    <x v="17"/>
    <x v="7"/>
    <x v="2"/>
  </r>
  <r>
    <x v="181"/>
    <x v="23"/>
    <x v="33"/>
    <x v="36"/>
    <x v="5"/>
    <x v="52"/>
    <x v="14"/>
    <x v="31"/>
    <x v="217"/>
    <x v="46"/>
    <x v="18"/>
    <x v="7"/>
    <x v="3"/>
  </r>
  <r>
    <x v="182"/>
    <x v="81"/>
    <x v="15"/>
    <x v="74"/>
    <x v="22"/>
    <x v="58"/>
    <x v="9"/>
    <x v="22"/>
    <x v="402"/>
    <x v="32"/>
    <x v="39"/>
    <x v="31"/>
    <x v="4"/>
  </r>
  <r>
    <x v="183"/>
    <x v="31"/>
    <x v="50"/>
    <x v="31"/>
    <x v="9"/>
    <x v="32"/>
    <x v="26"/>
    <x v="111"/>
    <x v="226"/>
    <x v="41"/>
    <x v="15"/>
    <x v="10"/>
    <x v="2"/>
  </r>
  <r>
    <x v="184"/>
    <x v="31"/>
    <x v="34"/>
    <x v="28"/>
    <x v="24"/>
    <x v="63"/>
    <x v="18"/>
    <x v="90"/>
    <x v="256"/>
    <x v="34"/>
    <x v="29"/>
    <x v="11"/>
    <x v="2"/>
  </r>
  <r>
    <x v="185"/>
    <x v="63"/>
    <x v="15"/>
    <x v="58"/>
    <x v="13"/>
    <x v="17"/>
    <x v="7"/>
    <x v="13"/>
    <x v="354"/>
    <x v="43"/>
    <x v="50"/>
    <x v="26"/>
    <x v="4"/>
  </r>
  <r>
    <x v="186"/>
    <x v="50"/>
    <x v="44"/>
    <x v="60"/>
    <x v="11"/>
    <x v="3"/>
    <x v="4"/>
    <x v="13"/>
    <x v="194"/>
    <x v="42"/>
    <x v="48"/>
    <x v="49"/>
    <x v="3"/>
  </r>
  <r>
    <x v="187"/>
    <x v="33"/>
    <x v="81"/>
    <x v="24"/>
    <x v="25"/>
    <x v="46"/>
    <x v="10"/>
    <x v="56"/>
    <x v="275"/>
    <x v="47"/>
    <x v="18"/>
    <x v="20"/>
    <x v="3"/>
  </r>
  <r>
    <x v="188"/>
    <x v="69"/>
    <x v="34"/>
    <x v="64"/>
    <x v="13"/>
    <x v="22"/>
    <x v="4"/>
    <x v="9"/>
    <x v="354"/>
    <x v="33"/>
    <x v="29"/>
    <x v="23"/>
    <x v="3"/>
  </r>
  <r>
    <x v="189"/>
    <x v="35"/>
    <x v="50"/>
    <x v="26"/>
    <x v="15"/>
    <x v="23"/>
    <x v="28"/>
    <x v="59"/>
    <x v="199"/>
    <x v="42"/>
    <x v="5"/>
    <x v="22"/>
    <x v="2"/>
  </r>
  <r>
    <x v="190"/>
    <x v="31"/>
    <x v="83"/>
    <x v="8"/>
    <x v="19"/>
    <x v="55"/>
    <x v="10"/>
    <x v="35"/>
    <x v="320"/>
    <x v="36"/>
    <x v="33"/>
    <x v="17"/>
    <x v="3"/>
  </r>
  <r>
    <x v="191"/>
    <x v="23"/>
    <x v="40"/>
    <x v="49"/>
    <x v="59"/>
    <x v="23"/>
    <x v="26"/>
    <x v="112"/>
    <x v="320"/>
    <x v="46"/>
    <x v="38"/>
    <x v="26"/>
    <x v="2"/>
  </r>
  <r>
    <x v="192"/>
    <x v="40"/>
    <x v="61"/>
    <x v="16"/>
    <x v="11"/>
    <x v="64"/>
    <x v="13"/>
    <x v="43"/>
    <x v="221"/>
    <x v="26"/>
    <x v="19"/>
    <x v="33"/>
    <x v="2"/>
  </r>
  <r>
    <x v="193"/>
    <x v="34"/>
    <x v="81"/>
    <x v="22"/>
    <x v="15"/>
    <x v="35"/>
    <x v="11"/>
    <x v="35"/>
    <x v="264"/>
    <x v="48"/>
    <x v="17"/>
    <x v="6"/>
    <x v="2"/>
  </r>
  <r>
    <x v="194"/>
    <x v="28"/>
    <x v="40"/>
    <x v="19"/>
    <x v="10"/>
    <x v="39"/>
    <x v="10"/>
    <x v="38"/>
    <x v="182"/>
    <x v="51"/>
    <x v="16"/>
    <x v="16"/>
    <x v="2"/>
  </r>
  <r>
    <x v="195"/>
    <x v="31"/>
    <x v="44"/>
    <x v="33"/>
    <x v="19"/>
    <x v="43"/>
    <x v="24"/>
    <x v="131"/>
    <x v="252"/>
    <x v="42"/>
    <x v="22"/>
    <x v="12"/>
    <x v="2"/>
  </r>
  <r>
    <x v="196"/>
    <x v="31"/>
    <x v="21"/>
    <x v="37"/>
    <x v="11"/>
    <x v="45"/>
    <x v="24"/>
    <x v="52"/>
    <x v="239"/>
    <x v="46"/>
    <x v="21"/>
    <x v="11"/>
    <x v="3"/>
  </r>
  <r>
    <x v="197"/>
    <x v="27"/>
    <x v="44"/>
    <x v="26"/>
    <x v="11"/>
    <x v="64"/>
    <x v="16"/>
    <x v="66"/>
    <x v="182"/>
    <x v="27"/>
    <x v="19"/>
    <x v="11"/>
    <x v="2"/>
  </r>
  <r>
    <x v="198"/>
    <x v="21"/>
    <x v="58"/>
    <x v="4"/>
    <x v="4"/>
    <x v="20"/>
    <x v="4"/>
    <x v="4"/>
    <x v="146"/>
    <x v="54"/>
    <x v="22"/>
    <x v="12"/>
    <x v="2"/>
  </r>
  <r>
    <x v="199"/>
    <x v="39"/>
    <x v="65"/>
    <x v="25"/>
    <x v="11"/>
    <x v="46"/>
    <x v="8"/>
    <x v="22"/>
    <x v="360"/>
    <x v="40"/>
    <x v="22"/>
    <x v="20"/>
    <x v="3"/>
  </r>
  <r>
    <x v="200"/>
    <x v="37"/>
    <x v="63"/>
    <x v="36"/>
    <x v="11"/>
    <x v="52"/>
    <x v="15"/>
    <x v="49"/>
    <x v="323"/>
    <x v="43"/>
    <x v="19"/>
    <x v="25"/>
    <x v="1"/>
  </r>
  <r>
    <x v="201"/>
    <x v="30"/>
    <x v="33"/>
    <x v="25"/>
    <x v="22"/>
    <x v="36"/>
    <x v="29"/>
    <x v="57"/>
    <x v="217"/>
    <x v="49"/>
    <x v="20"/>
    <x v="26"/>
    <x v="3"/>
  </r>
  <r>
    <x v="202"/>
    <x v="42"/>
    <x v="54"/>
    <x v="50"/>
    <x v="11"/>
    <x v="135"/>
    <x v="27"/>
    <x v="76"/>
    <x v="239"/>
    <x v="16"/>
    <x v="91"/>
    <x v="12"/>
    <x v="3"/>
  </r>
  <r>
    <x v="203"/>
    <x v="43"/>
    <x v="100"/>
    <x v="14"/>
    <x v="22"/>
    <x v="52"/>
    <x v="9"/>
    <x v="17"/>
    <x v="372"/>
    <x v="51"/>
    <x v="25"/>
    <x v="17"/>
    <x v="2"/>
  </r>
  <r>
    <x v="204"/>
    <x v="22"/>
    <x v="43"/>
    <x v="25"/>
    <x v="22"/>
    <x v="44"/>
    <x v="10"/>
    <x v="31"/>
    <x v="275"/>
    <x v="58"/>
    <x v="12"/>
    <x v="33"/>
    <x v="2"/>
  </r>
  <r>
    <x v="205"/>
    <x v="5"/>
    <x v="39"/>
    <x v="4"/>
    <x v="5"/>
    <x v="17"/>
    <x v="19"/>
    <x v="100"/>
    <x v="24"/>
    <x v="66"/>
    <x v="24"/>
    <x v="47"/>
    <x v="4"/>
  </r>
  <r>
    <x v="206"/>
    <x v="33"/>
    <x v="26"/>
    <x v="6"/>
    <x v="9"/>
    <x v="41"/>
    <x v="12"/>
    <x v="43"/>
    <x v="226"/>
    <x v="49"/>
    <x v="14"/>
    <x v="18"/>
    <x v="3"/>
  </r>
  <r>
    <x v="207"/>
    <x v="38"/>
    <x v="25"/>
    <x v="20"/>
    <x v="25"/>
    <x v="53"/>
    <x v="18"/>
    <x v="52"/>
    <x v="354"/>
    <x v="46"/>
    <x v="32"/>
    <x v="15"/>
    <x v="3"/>
  </r>
  <r>
    <x v="208"/>
    <x v="35"/>
    <x v="127"/>
    <x v="9"/>
    <x v="17"/>
    <x v="28"/>
    <x v="7"/>
    <x v="31"/>
    <x v="275"/>
    <x v="44"/>
    <x v="17"/>
    <x v="4"/>
    <x v="3"/>
  </r>
  <r>
    <x v="209"/>
    <x v="25"/>
    <x v="62"/>
    <x v="0"/>
    <x v="10"/>
    <x v="60"/>
    <x v="14"/>
    <x v="32"/>
    <x v="267"/>
    <x v="49"/>
    <x v="20"/>
    <x v="4"/>
    <x v="3"/>
  </r>
  <r>
    <x v="210"/>
    <x v="25"/>
    <x v="65"/>
    <x v="0"/>
    <x v="10"/>
    <x v="60"/>
    <x v="15"/>
    <x v="33"/>
    <x v="267"/>
    <x v="49"/>
    <x v="20"/>
    <x v="7"/>
    <x v="3"/>
  </r>
  <r>
    <x v="211"/>
    <x v="42"/>
    <x v="63"/>
    <x v="37"/>
    <x v="7"/>
    <x v="131"/>
    <x v="4"/>
    <x v="56"/>
    <x v="295"/>
    <x v="12"/>
    <x v="71"/>
    <x v="10"/>
    <x v="2"/>
  </r>
  <r>
    <x v="212"/>
    <x v="73"/>
    <x v="26"/>
    <x v="56"/>
    <x v="13"/>
    <x v="56"/>
    <x v="6"/>
    <x v="18"/>
    <x v="397"/>
    <x v="26"/>
    <x v="33"/>
    <x v="32"/>
    <x v="3"/>
  </r>
  <r>
    <x v="213"/>
    <x v="30"/>
    <x v="52"/>
    <x v="10"/>
    <x v="9"/>
    <x v="65"/>
    <x v="28"/>
    <x v="102"/>
    <x v="178"/>
    <x v="20"/>
    <x v="11"/>
    <x v="17"/>
    <x v="3"/>
  </r>
  <r>
    <x v="214"/>
    <x v="92"/>
    <x v="5"/>
    <x v="44"/>
    <x v="15"/>
    <x v="38"/>
    <x v="10"/>
    <x v="18"/>
    <x v="413"/>
    <x v="19"/>
    <x v="46"/>
    <x v="7"/>
    <x v="4"/>
  </r>
  <r>
    <x v="215"/>
    <x v="26"/>
    <x v="68"/>
    <x v="0"/>
    <x v="11"/>
    <x v="47"/>
    <x v="6"/>
    <x v="17"/>
    <x v="368"/>
    <x v="73"/>
    <x v="58"/>
    <x v="18"/>
    <x v="3"/>
  </r>
  <r>
    <x v="216"/>
    <x v="24"/>
    <x v="72"/>
    <x v="7"/>
    <x v="10"/>
    <x v="38"/>
    <x v="16"/>
    <x v="45"/>
    <x v="275"/>
    <x v="50"/>
    <x v="14"/>
    <x v="12"/>
    <x v="2"/>
  </r>
  <r>
    <x v="217"/>
    <x v="35"/>
    <x v="56"/>
    <x v="17"/>
    <x v="17"/>
    <x v="35"/>
    <x v="11"/>
    <x v="67"/>
    <x v="230"/>
    <x v="32"/>
    <x v="7"/>
    <x v="10"/>
    <x v="2"/>
  </r>
  <r>
    <x v="218"/>
    <x v="30"/>
    <x v="44"/>
    <x v="6"/>
    <x v="7"/>
    <x v="37"/>
    <x v="9"/>
    <x v="33"/>
    <x v="217"/>
    <x v="47"/>
    <x v="10"/>
    <x v="17"/>
    <x v="3"/>
  </r>
  <r>
    <x v="219"/>
    <x v="61"/>
    <x v="19"/>
    <x v="44"/>
    <x v="5"/>
    <x v="26"/>
    <x v="16"/>
    <x v="31"/>
    <x v="375"/>
    <x v="34"/>
    <x v="40"/>
    <x v="20"/>
    <x v="3"/>
  </r>
  <r>
    <x v="220"/>
    <x v="24"/>
    <x v="56"/>
    <x v="0"/>
    <x v="9"/>
    <x v="37"/>
    <x v="16"/>
    <x v="28"/>
    <x v="303"/>
    <x v="59"/>
    <x v="32"/>
    <x v="18"/>
    <x v="3"/>
  </r>
  <r>
    <x v="221"/>
    <x v="64"/>
    <x v="22"/>
    <x v="48"/>
    <x v="30"/>
    <x v="53"/>
    <x v="4"/>
    <x v="15"/>
    <x v="380"/>
    <x v="29"/>
    <x v="15"/>
    <x v="26"/>
    <x v="2"/>
  </r>
  <r>
    <x v="222"/>
    <x v="30"/>
    <x v="91"/>
    <x v="42"/>
    <x v="10"/>
    <x v="55"/>
    <x v="8"/>
    <x v="81"/>
    <x v="199"/>
    <x v="35"/>
    <x v="21"/>
    <x v="12"/>
    <x v="2"/>
  </r>
  <r>
    <x v="223"/>
    <x v="33"/>
    <x v="50"/>
    <x v="23"/>
    <x v="31"/>
    <x v="36"/>
    <x v="17"/>
    <x v="110"/>
    <x v="267"/>
    <x v="38"/>
    <x v="19"/>
    <x v="10"/>
    <x v="2"/>
  </r>
  <r>
    <x v="224"/>
    <x v="47"/>
    <x v="21"/>
    <x v="37"/>
    <x v="15"/>
    <x v="38"/>
    <x v="4"/>
    <x v="7"/>
    <x v="354"/>
    <x v="34"/>
    <x v="24"/>
    <x v="7"/>
    <x v="2"/>
  </r>
  <r>
    <x v="225"/>
    <x v="19"/>
    <x v="75"/>
    <x v="0"/>
    <x v="13"/>
    <x v="38"/>
    <x v="12"/>
    <x v="50"/>
    <x v="271"/>
    <x v="61"/>
    <x v="29"/>
    <x v="7"/>
    <x v="2"/>
  </r>
  <r>
    <x v="226"/>
    <x v="30"/>
    <x v="30"/>
    <x v="76"/>
    <x v="9"/>
    <x v="152"/>
    <x v="8"/>
    <x v="39"/>
    <x v="271"/>
    <x v="18"/>
    <x v="83"/>
    <x v="11"/>
    <x v="2"/>
  </r>
  <r>
    <x v="227"/>
    <x v="53"/>
    <x v="17"/>
    <x v="47"/>
    <x v="22"/>
    <x v="48"/>
    <x v="14"/>
    <x v="27"/>
    <x v="405"/>
    <x v="48"/>
    <x v="42"/>
    <x v="26"/>
    <x v="4"/>
  </r>
  <r>
    <x v="228"/>
    <x v="32"/>
    <x v="20"/>
    <x v="23"/>
    <x v="7"/>
    <x v="40"/>
    <x v="18"/>
    <x v="39"/>
    <x v="226"/>
    <x v="41"/>
    <x v="27"/>
    <x v="10"/>
    <x v="2"/>
  </r>
  <r>
    <x v="229"/>
    <x v="23"/>
    <x v="125"/>
    <x v="4"/>
    <x v="11"/>
    <x v="50"/>
    <x v="12"/>
    <x v="61"/>
    <x v="178"/>
    <x v="47"/>
    <x v="22"/>
    <x v="11"/>
    <x v="1"/>
  </r>
  <r>
    <x v="230"/>
    <x v="33"/>
    <x v="43"/>
    <x v="3"/>
    <x v="7"/>
    <x v="33"/>
    <x v="10"/>
    <x v="29"/>
    <x v="186"/>
    <x v="46"/>
    <x v="19"/>
    <x v="20"/>
    <x v="2"/>
  </r>
  <r>
    <x v="231"/>
    <x v="32"/>
    <x v="25"/>
    <x v="23"/>
    <x v="9"/>
    <x v="40"/>
    <x v="23"/>
    <x v="43"/>
    <x v="230"/>
    <x v="40"/>
    <x v="29"/>
    <x v="10"/>
    <x v="2"/>
  </r>
  <r>
    <x v="232"/>
    <x v="78"/>
    <x v="48"/>
    <x v="49"/>
    <x v="19"/>
    <x v="27"/>
    <x v="4"/>
    <x v="21"/>
    <x v="411"/>
    <x v="20"/>
    <x v="49"/>
    <x v="32"/>
    <x v="2"/>
  </r>
  <r>
    <x v="233"/>
    <x v="71"/>
    <x v="10"/>
    <x v="52"/>
    <x v="9"/>
    <x v="34"/>
    <x v="6"/>
    <x v="4"/>
    <x v="271"/>
    <x v="32"/>
    <x v="34"/>
    <x v="23"/>
    <x v="4"/>
  </r>
  <r>
    <x v="234"/>
    <x v="34"/>
    <x v="110"/>
    <x v="0"/>
    <x v="32"/>
    <x v="59"/>
    <x v="26"/>
    <x v="55"/>
    <x v="419"/>
    <x v="72"/>
    <x v="34"/>
    <x v="17"/>
    <x v="1"/>
  </r>
  <r>
    <x v="235"/>
    <x v="32"/>
    <x v="22"/>
    <x v="46"/>
    <x v="36"/>
    <x v="41"/>
    <x v="15"/>
    <x v="31"/>
    <x v="312"/>
    <x v="47"/>
    <x v="48"/>
    <x v="53"/>
    <x v="5"/>
  </r>
  <r>
    <x v="236"/>
    <x v="22"/>
    <x v="45"/>
    <x v="4"/>
    <x v="29"/>
    <x v="40"/>
    <x v="7"/>
    <x v="21"/>
    <x v="383"/>
    <x v="79"/>
    <x v="53"/>
    <x v="11"/>
    <x v="3"/>
  </r>
  <r>
    <x v="237"/>
    <x v="68"/>
    <x v="2"/>
    <x v="51"/>
    <x v="42"/>
    <x v="67"/>
    <x v="3"/>
    <x v="17"/>
    <x v="404"/>
    <x v="40"/>
    <x v="59"/>
    <x v="22"/>
    <x v="3"/>
  </r>
  <r>
    <x v="238"/>
    <x v="32"/>
    <x v="46"/>
    <x v="6"/>
    <x v="42"/>
    <x v="50"/>
    <x v="27"/>
    <x v="55"/>
    <x v="248"/>
    <x v="48"/>
    <x v="29"/>
    <x v="29"/>
    <x v="3"/>
  </r>
  <r>
    <x v="239"/>
    <x v="62"/>
    <x v="25"/>
    <x v="58"/>
    <x v="42"/>
    <x v="34"/>
    <x v="17"/>
    <x v="59"/>
    <x v="399"/>
    <x v="34"/>
    <x v="40"/>
    <x v="22"/>
    <x v="2"/>
  </r>
  <r>
    <x v="240"/>
    <x v="37"/>
    <x v="79"/>
    <x v="20"/>
    <x v="19"/>
    <x v="39"/>
    <x v="10"/>
    <x v="32"/>
    <x v="316"/>
    <x v="43"/>
    <x v="26"/>
    <x v="11"/>
    <x v="2"/>
  </r>
  <r>
    <x v="241"/>
    <x v="28"/>
    <x v="66"/>
    <x v="18"/>
    <x v="71"/>
    <x v="51"/>
    <x v="27"/>
    <x v="89"/>
    <x v="393"/>
    <x v="50"/>
    <x v="39"/>
    <x v="11"/>
    <x v="2"/>
  </r>
  <r>
    <x v="242"/>
    <x v="56"/>
    <x v="19"/>
    <x v="45"/>
    <x v="67"/>
    <x v="36"/>
    <x v="4"/>
    <x v="7"/>
    <x v="332"/>
    <x v="35"/>
    <x v="44"/>
    <x v="51"/>
    <x v="5"/>
  </r>
  <r>
    <x v="243"/>
    <x v="42"/>
    <x v="29"/>
    <x v="32"/>
    <x v="59"/>
    <x v="50"/>
    <x v="10"/>
    <x v="41"/>
    <x v="391"/>
    <x v="50"/>
    <x v="39"/>
    <x v="26"/>
    <x v="4"/>
  </r>
  <r>
    <x v="244"/>
    <x v="67"/>
    <x v="10"/>
    <x v="44"/>
    <x v="36"/>
    <x v="34"/>
    <x v="6"/>
    <x v="13"/>
    <x v="380"/>
    <x v="24"/>
    <x v="44"/>
    <x v="10"/>
    <x v="3"/>
  </r>
  <r>
    <x v="245"/>
    <x v="30"/>
    <x v="11"/>
    <x v="68"/>
    <x v="35"/>
    <x v="138"/>
    <x v="4"/>
    <x v="4"/>
    <x v="303"/>
    <x v="37"/>
    <x v="70"/>
    <x v="18"/>
    <x v="4"/>
  </r>
  <r>
    <x v="246"/>
    <x v="29"/>
    <x v="43"/>
    <x v="12"/>
    <x v="29"/>
    <x v="30"/>
    <x v="12"/>
    <x v="47"/>
    <x v="295"/>
    <x v="48"/>
    <x v="19"/>
    <x v="6"/>
    <x v="2"/>
  </r>
  <r>
    <x v="247"/>
    <x v="52"/>
    <x v="54"/>
    <x v="7"/>
    <x v="33"/>
    <x v="65"/>
    <x v="32"/>
    <x v="65"/>
    <x v="416"/>
    <x v="43"/>
    <x v="33"/>
    <x v="17"/>
    <x v="2"/>
  </r>
  <r>
    <x v="248"/>
    <x v="73"/>
    <x v="35"/>
    <x v="55"/>
    <x v="11"/>
    <x v="36"/>
    <x v="25"/>
    <x v="43"/>
    <x v="406"/>
    <x v="22"/>
    <x v="38"/>
    <x v="24"/>
    <x v="3"/>
  </r>
  <r>
    <x v="249"/>
    <x v="28"/>
    <x v="29"/>
    <x v="12"/>
    <x v="29"/>
    <x v="55"/>
    <x v="29"/>
    <x v="47"/>
    <x v="264"/>
    <x v="49"/>
    <x v="32"/>
    <x v="24"/>
    <x v="3"/>
  </r>
  <r>
    <x v="250"/>
    <x v="40"/>
    <x v="43"/>
    <x v="9"/>
    <x v="20"/>
    <x v="54"/>
    <x v="20"/>
    <x v="43"/>
    <x v="332"/>
    <x v="46"/>
    <x v="48"/>
    <x v="28"/>
    <x v="4"/>
  </r>
  <r>
    <x v="251"/>
    <x v="69"/>
    <x v="32"/>
    <x v="53"/>
    <x v="32"/>
    <x v="68"/>
    <x v="33"/>
    <x v="92"/>
    <x v="424"/>
    <x v="32"/>
    <x v="57"/>
    <x v="7"/>
    <x v="2"/>
  </r>
  <r>
    <x v="252"/>
    <x v="63"/>
    <x v="4"/>
    <x v="48"/>
    <x v="11"/>
    <x v="137"/>
    <x v="6"/>
    <x v="12"/>
    <x v="350"/>
    <x v="42"/>
    <x v="33"/>
    <x v="26"/>
    <x v="2"/>
  </r>
  <r>
    <x v="253"/>
    <x v="57"/>
    <x v="47"/>
    <x v="23"/>
    <x v="24"/>
    <x v="54"/>
    <x v="18"/>
    <x v="42"/>
    <x v="402"/>
    <x v="34"/>
    <x v="26"/>
    <x v="24"/>
    <x v="3"/>
  </r>
  <r>
    <x v="254"/>
    <x v="22"/>
    <x v="23"/>
    <x v="25"/>
    <x v="19"/>
    <x v="61"/>
    <x v="4"/>
    <x v="10"/>
    <x v="239"/>
    <x v="53"/>
    <x v="22"/>
    <x v="22"/>
    <x v="3"/>
  </r>
  <r>
    <x v="255"/>
    <x v="85"/>
    <x v="21"/>
    <x v="52"/>
    <x v="31"/>
    <x v="57"/>
    <x v="17"/>
    <x v="47"/>
    <x v="425"/>
    <x v="17"/>
    <x v="43"/>
    <x v="12"/>
    <x v="3"/>
  </r>
  <r>
    <x v="256"/>
    <x v="61"/>
    <x v="41"/>
    <x v="46"/>
    <x v="20"/>
    <x v="36"/>
    <x v="4"/>
    <x v="21"/>
    <x v="414"/>
    <x v="17"/>
    <x v="26"/>
    <x v="12"/>
    <x v="2"/>
  </r>
  <r>
    <x v="257"/>
    <x v="59"/>
    <x v="102"/>
    <x v="37"/>
    <x v="22"/>
    <x v="49"/>
    <x v="26"/>
    <x v="64"/>
    <x v="358"/>
    <x v="28"/>
    <x v="14"/>
    <x v="18"/>
    <x v="2"/>
  </r>
  <r>
    <x v="258"/>
    <x v="24"/>
    <x v="62"/>
    <x v="6"/>
    <x v="11"/>
    <x v="46"/>
    <x v="8"/>
    <x v="23"/>
    <x v="378"/>
    <x v="77"/>
    <x v="35"/>
    <x v="15"/>
    <x v="2"/>
  </r>
  <r>
    <x v="259"/>
    <x v="25"/>
    <x v="66"/>
    <x v="2"/>
    <x v="17"/>
    <x v="57"/>
    <x v="4"/>
    <x v="25"/>
    <x v="398"/>
    <x v="77"/>
    <x v="42"/>
    <x v="16"/>
    <x v="2"/>
  </r>
  <r>
    <x v="260"/>
    <x v="22"/>
    <x v="70"/>
    <x v="6"/>
    <x v="13"/>
    <x v="43"/>
    <x v="8"/>
    <x v="27"/>
    <x v="374"/>
    <x v="78"/>
    <x v="33"/>
    <x v="15"/>
    <x v="2"/>
  </r>
  <r>
    <x v="261"/>
    <x v="28"/>
    <x v="44"/>
    <x v="6"/>
    <x v="22"/>
    <x v="49"/>
    <x v="20"/>
    <x v="38"/>
    <x v="248"/>
    <x v="50"/>
    <x v="21"/>
    <x v="29"/>
    <x v="3"/>
  </r>
  <r>
    <x v="262"/>
    <x v="64"/>
    <x v="2"/>
    <x v="48"/>
    <x v="4"/>
    <x v="31"/>
    <x v="7"/>
    <x v="9"/>
    <x v="312"/>
    <x v="34"/>
    <x v="26"/>
    <x v="22"/>
    <x v="3"/>
  </r>
  <r>
    <x v="263"/>
    <x v="36"/>
    <x v="77"/>
    <x v="12"/>
    <x v="22"/>
    <x v="55"/>
    <x v="12"/>
    <x v="22"/>
    <x v="402"/>
    <x v="63"/>
    <x v="34"/>
    <x v="20"/>
    <x v="2"/>
  </r>
  <r>
    <x v="264"/>
    <x v="27"/>
    <x v="70"/>
    <x v="12"/>
    <x v="5"/>
    <x v="115"/>
    <x v="4"/>
    <x v="15"/>
    <x v="206"/>
    <x v="51"/>
    <x v="16"/>
    <x v="12"/>
    <x v="2"/>
  </r>
  <r>
    <x v="265"/>
    <x v="37"/>
    <x v="66"/>
    <x v="60"/>
    <x v="13"/>
    <x v="75"/>
    <x v="12"/>
    <x v="85"/>
    <x v="312"/>
    <x v="32"/>
    <x v="14"/>
    <x v="7"/>
    <x v="2"/>
  </r>
  <r>
    <x v="266"/>
    <x v="56"/>
    <x v="44"/>
    <x v="48"/>
    <x v="20"/>
    <x v="26"/>
    <x v="6"/>
    <x v="19"/>
    <x v="410"/>
    <x v="24"/>
    <x v="21"/>
    <x v="10"/>
    <x v="3"/>
  </r>
  <r>
    <x v="267"/>
    <x v="29"/>
    <x v="60"/>
    <x v="32"/>
    <x v="15"/>
    <x v="45"/>
    <x v="7"/>
    <x v="48"/>
    <x v="256"/>
    <x v="48"/>
    <x v="14"/>
    <x v="11"/>
    <x v="2"/>
  </r>
  <r>
    <x v="268"/>
    <x v="56"/>
    <x v="30"/>
    <x v="42"/>
    <x v="19"/>
    <x v="120"/>
    <x v="6"/>
    <x v="8"/>
    <x v="402"/>
    <x v="31"/>
    <x v="24"/>
    <x v="12"/>
    <x v="3"/>
  </r>
  <r>
    <x v="269"/>
    <x v="56"/>
    <x v="33"/>
    <x v="44"/>
    <x v="19"/>
    <x v="121"/>
    <x v="4"/>
    <x v="6"/>
    <x v="402"/>
    <x v="31"/>
    <x v="25"/>
    <x v="12"/>
    <x v="3"/>
  </r>
  <r>
    <x v="270"/>
    <x v="27"/>
    <x v="13"/>
    <x v="38"/>
    <x v="7"/>
    <x v="25"/>
    <x v="9"/>
    <x v="24"/>
    <x v="271"/>
    <x v="53"/>
    <x v="15"/>
    <x v="12"/>
    <x v="3"/>
  </r>
  <r>
    <x v="271"/>
    <x v="32"/>
    <x v="44"/>
    <x v="24"/>
    <x v="11"/>
    <x v="35"/>
    <x v="15"/>
    <x v="99"/>
    <x v="206"/>
    <x v="39"/>
    <x v="16"/>
    <x v="11"/>
    <x v="3"/>
  </r>
  <r>
    <x v="272"/>
    <x v="43"/>
    <x v="36"/>
    <x v="31"/>
    <x v="25"/>
    <x v="56"/>
    <x v="19"/>
    <x v="92"/>
    <x v="360"/>
    <x v="44"/>
    <x v="25"/>
    <x v="12"/>
    <x v="3"/>
  </r>
  <r>
    <x v="273"/>
    <x v="39"/>
    <x v="37"/>
    <x v="30"/>
    <x v="29"/>
    <x v="39"/>
    <x v="30"/>
    <x v="124"/>
    <x v="332"/>
    <x v="42"/>
    <x v="15"/>
    <x v="11"/>
    <x v="2"/>
  </r>
  <r>
    <x v="274"/>
    <x v="27"/>
    <x v="23"/>
    <x v="29"/>
    <x v="22"/>
    <x v="50"/>
    <x v="26"/>
    <x v="66"/>
    <x v="243"/>
    <x v="51"/>
    <x v="30"/>
    <x v="33"/>
    <x v="2"/>
  </r>
  <r>
    <x v="275"/>
    <x v="24"/>
    <x v="22"/>
    <x v="29"/>
    <x v="20"/>
    <x v="59"/>
    <x v="20"/>
    <x v="47"/>
    <x v="221"/>
    <x v="54"/>
    <x v="27"/>
    <x v="33"/>
    <x v="3"/>
  </r>
  <r>
    <x v="276"/>
    <x v="49"/>
    <x v="48"/>
    <x v="23"/>
    <x v="33"/>
    <x v="65"/>
    <x v="37"/>
    <x v="87"/>
    <x v="404"/>
    <x v="42"/>
    <x v="27"/>
    <x v="22"/>
    <x v="2"/>
  </r>
  <r>
    <x v="277"/>
    <x v="49"/>
    <x v="90"/>
    <x v="12"/>
    <x v="27"/>
    <x v="45"/>
    <x v="30"/>
    <x v="68"/>
    <x v="382"/>
    <x v="42"/>
    <x v="26"/>
    <x v="25"/>
    <x v="3"/>
  </r>
  <r>
    <x v="278"/>
    <x v="51"/>
    <x v="68"/>
    <x v="39"/>
    <x v="31"/>
    <x v="46"/>
    <x v="21"/>
    <x v="53"/>
    <x v="387"/>
    <x v="49"/>
    <x v="33"/>
    <x v="39"/>
    <x v="4"/>
  </r>
  <r>
    <x v="279"/>
    <x v="46"/>
    <x v="58"/>
    <x v="26"/>
    <x v="33"/>
    <x v="53"/>
    <x v="25"/>
    <x v="82"/>
    <x v="408"/>
    <x v="36"/>
    <x v="24"/>
    <x v="16"/>
    <x v="2"/>
  </r>
  <r>
    <x v="280"/>
    <x v="31"/>
    <x v="60"/>
    <x v="5"/>
    <x v="17"/>
    <x v="42"/>
    <x v="6"/>
    <x v="12"/>
    <x v="316"/>
    <x v="41"/>
    <x v="25"/>
    <x v="10"/>
    <x v="2"/>
  </r>
  <r>
    <x v="281"/>
    <x v="56"/>
    <x v="54"/>
    <x v="42"/>
    <x v="25"/>
    <x v="53"/>
    <x v="35"/>
    <x v="67"/>
    <x v="389"/>
    <x v="40"/>
    <x v="32"/>
    <x v="12"/>
    <x v="3"/>
  </r>
  <r>
    <x v="282"/>
    <x v="53"/>
    <x v="40"/>
    <x v="20"/>
    <x v="84"/>
    <x v="34"/>
    <x v="13"/>
    <x v="44"/>
    <x v="426"/>
    <x v="28"/>
    <x v="31"/>
    <x v="7"/>
    <x v="3"/>
  </r>
  <r>
    <x v="283"/>
    <x v="69"/>
    <x v="44"/>
    <x v="66"/>
    <x v="37"/>
    <x v="84"/>
    <x v="6"/>
    <x v="8"/>
    <x v="342"/>
    <x v="17"/>
    <x v="36"/>
    <x v="39"/>
    <x v="4"/>
  </r>
  <r>
    <x v="284"/>
    <x v="56"/>
    <x v="34"/>
    <x v="50"/>
    <x v="48"/>
    <x v="70"/>
    <x v="4"/>
    <x v="7"/>
    <x v="354"/>
    <x v="40"/>
    <x v="45"/>
    <x v="39"/>
    <x v="2"/>
  </r>
  <r>
    <x v="285"/>
    <x v="86"/>
    <x v="11"/>
    <x v="62"/>
    <x v="22"/>
    <x v="45"/>
    <x v="6"/>
    <x v="15"/>
    <x v="417"/>
    <x v="28"/>
    <x v="29"/>
    <x v="16"/>
    <x v="3"/>
  </r>
  <r>
    <x v="286"/>
    <x v="60"/>
    <x v="36"/>
    <x v="39"/>
    <x v="11"/>
    <x v="24"/>
    <x v="7"/>
    <x v="9"/>
    <x v="358"/>
    <x v="30"/>
    <x v="24"/>
    <x v="12"/>
    <x v="2"/>
  </r>
  <r>
    <x v="287"/>
    <x v="55"/>
    <x v="23"/>
    <x v="64"/>
    <x v="27"/>
    <x v="85"/>
    <x v="10"/>
    <x v="35"/>
    <x v="354"/>
    <x v="35"/>
    <x v="28"/>
    <x v="50"/>
    <x v="3"/>
  </r>
  <r>
    <x v="288"/>
    <x v="33"/>
    <x v="52"/>
    <x v="28"/>
    <x v="31"/>
    <x v="29"/>
    <x v="21"/>
    <x v="107"/>
    <x v="312"/>
    <x v="34"/>
    <x v="16"/>
    <x v="11"/>
    <x v="3"/>
  </r>
  <r>
    <x v="289"/>
    <x v="37"/>
    <x v="48"/>
    <x v="8"/>
    <x v="13"/>
    <x v="68"/>
    <x v="16"/>
    <x v="38"/>
    <x v="190"/>
    <x v="25"/>
    <x v="14"/>
    <x v="33"/>
    <x v="2"/>
  </r>
  <r>
    <x v="290"/>
    <x v="32"/>
    <x v="66"/>
    <x v="1"/>
    <x v="20"/>
    <x v="41"/>
    <x v="17"/>
    <x v="32"/>
    <x v="230"/>
    <x v="46"/>
    <x v="36"/>
    <x v="41"/>
    <x v="4"/>
  </r>
  <r>
    <x v="291"/>
    <x v="72"/>
    <x v="75"/>
    <x v="53"/>
    <x v="33"/>
    <x v="91"/>
    <x v="7"/>
    <x v="15"/>
    <x v="395"/>
    <x v="29"/>
    <x v="46"/>
    <x v="47"/>
    <x v="4"/>
  </r>
  <r>
    <x v="292"/>
    <x v="42"/>
    <x v="33"/>
    <x v="45"/>
    <x v="10"/>
    <x v="15"/>
    <x v="6"/>
    <x v="10"/>
    <x v="113"/>
    <x v="47"/>
    <x v="32"/>
    <x v="50"/>
    <x v="3"/>
  </r>
  <r>
    <x v="293"/>
    <x v="31"/>
    <x v="33"/>
    <x v="32"/>
    <x v="25"/>
    <x v="43"/>
    <x v="29"/>
    <x v="52"/>
    <x v="320"/>
    <x v="43"/>
    <x v="26"/>
    <x v="24"/>
    <x v="2"/>
  </r>
  <r>
    <x v="294"/>
    <x v="77"/>
    <x v="40"/>
    <x v="58"/>
    <x v="29"/>
    <x v="66"/>
    <x v="28"/>
    <x v="93"/>
    <x v="423"/>
    <x v="28"/>
    <x v="62"/>
    <x v="39"/>
    <x v="3"/>
  </r>
  <r>
    <x v="295"/>
    <x v="78"/>
    <x v="12"/>
    <x v="54"/>
    <x v="17"/>
    <x v="45"/>
    <x v="12"/>
    <x v="23"/>
    <x v="406"/>
    <x v="23"/>
    <x v="88"/>
    <x v="17"/>
    <x v="4"/>
  </r>
  <r>
    <x v="296"/>
    <x v="75"/>
    <x v="21"/>
    <x v="50"/>
    <x v="19"/>
    <x v="29"/>
    <x v="10"/>
    <x v="15"/>
    <x v="412"/>
    <x v="24"/>
    <x v="80"/>
    <x v="7"/>
    <x v="3"/>
  </r>
  <r>
    <x v="297"/>
    <x v="59"/>
    <x v="32"/>
    <x v="48"/>
    <x v="24"/>
    <x v="28"/>
    <x v="4"/>
    <x v="12"/>
    <x v="303"/>
    <x v="33"/>
    <x v="49"/>
    <x v="37"/>
    <x v="3"/>
  </r>
  <r>
    <x v="298"/>
    <x v="62"/>
    <x v="27"/>
    <x v="47"/>
    <x v="9"/>
    <x v="81"/>
    <x v="6"/>
    <x v="8"/>
    <x v="363"/>
    <x v="42"/>
    <x v="37"/>
    <x v="17"/>
    <x v="3"/>
  </r>
  <r>
    <x v="299"/>
    <x v="72"/>
    <x v="50"/>
    <x v="50"/>
    <x v="22"/>
    <x v="45"/>
    <x v="6"/>
    <x v="26"/>
    <x v="422"/>
    <x v="24"/>
    <x v="40"/>
    <x v="29"/>
    <x v="3"/>
  </r>
  <r>
    <x v="300"/>
    <x v="23"/>
    <x v="73"/>
    <x v="0"/>
    <x v="10"/>
    <x v="30"/>
    <x v="41"/>
    <x v="57"/>
    <x v="350"/>
    <x v="72"/>
    <x v="43"/>
    <x v="18"/>
    <x v="2"/>
  </r>
  <r>
    <x v="301"/>
    <x v="19"/>
    <x v="99"/>
    <x v="2"/>
    <x v="24"/>
    <x v="35"/>
    <x v="17"/>
    <x v="28"/>
    <x v="166"/>
    <x v="70"/>
    <x v="51"/>
    <x v="48"/>
    <x v="4"/>
  </r>
  <r>
    <x v="302"/>
    <x v="89"/>
    <x v="40"/>
    <x v="67"/>
    <x v="29"/>
    <x v="56"/>
    <x v="6"/>
    <x v="9"/>
    <x v="380"/>
    <x v="14"/>
    <x v="55"/>
    <x v="45"/>
    <x v="3"/>
  </r>
  <r>
    <x v="303"/>
    <x v="49"/>
    <x v="48"/>
    <x v="31"/>
    <x v="25"/>
    <x v="52"/>
    <x v="15"/>
    <x v="40"/>
    <x v="350"/>
    <x v="23"/>
    <x v="54"/>
    <x v="20"/>
    <x v="3"/>
  </r>
  <r>
    <x v="304"/>
    <x v="44"/>
    <x v="93"/>
    <x v="0"/>
    <x v="22"/>
    <x v="56"/>
    <x v="11"/>
    <x v="22"/>
    <x v="402"/>
    <x v="48"/>
    <x v="48"/>
    <x v="11"/>
    <x v="3"/>
  </r>
  <r>
    <x v="305"/>
    <x v="60"/>
    <x v="70"/>
    <x v="22"/>
    <x v="24"/>
    <x v="70"/>
    <x v="17"/>
    <x v="28"/>
    <x v="421"/>
    <x v="40"/>
    <x v="60"/>
    <x v="18"/>
    <x v="3"/>
  </r>
  <r>
    <x v="306"/>
    <x v="44"/>
    <x v="95"/>
    <x v="0"/>
    <x v="22"/>
    <x v="59"/>
    <x v="11"/>
    <x v="20"/>
    <x v="402"/>
    <x v="47"/>
    <x v="45"/>
    <x v="11"/>
    <x v="3"/>
  </r>
  <r>
    <x v="307"/>
    <x v="30"/>
    <x v="69"/>
    <x v="0"/>
    <x v="19"/>
    <x v="53"/>
    <x v="8"/>
    <x v="13"/>
    <x v="320"/>
    <x v="39"/>
    <x v="35"/>
    <x v="10"/>
    <x v="2"/>
  </r>
  <r>
    <x v="308"/>
    <x v="87"/>
    <x v="44"/>
    <x v="78"/>
    <x v="52"/>
    <x v="83"/>
    <x v="23"/>
    <x v="71"/>
    <x v="427"/>
    <x v="30"/>
    <x v="39"/>
    <x v="55"/>
    <x v="2"/>
  </r>
  <r>
    <x v="309"/>
    <x v="14"/>
    <x v="5"/>
    <x v="40"/>
    <x v="3"/>
    <x v="29"/>
    <x v="42"/>
    <x v="141"/>
    <x v="5"/>
    <x v="37"/>
    <x v="21"/>
    <x v="43"/>
    <x v="3"/>
  </r>
  <r>
    <x v="310"/>
    <x v="20"/>
    <x v="86"/>
    <x v="1"/>
    <x v="19"/>
    <x v="41"/>
    <x v="17"/>
    <x v="26"/>
    <x v="166"/>
    <x v="67"/>
    <x v="23"/>
    <x v="53"/>
    <x v="3"/>
  </r>
  <r>
    <x v="311"/>
    <x v="68"/>
    <x v="30"/>
    <x v="52"/>
    <x v="29"/>
    <x v="43"/>
    <x v="29"/>
    <x v="49"/>
    <x v="414"/>
    <x v="38"/>
    <x v="50"/>
    <x v="33"/>
    <x v="2"/>
  </r>
  <r>
    <x v="312"/>
    <x v="58"/>
    <x v="32"/>
    <x v="66"/>
    <x v="28"/>
    <x v="79"/>
    <x v="12"/>
    <x v="23"/>
    <x v="287"/>
    <x v="36"/>
    <x v="37"/>
    <x v="41"/>
    <x v="4"/>
  </r>
  <r>
    <x v="313"/>
    <x v="72"/>
    <x v="33"/>
    <x v="66"/>
    <x v="30"/>
    <x v="72"/>
    <x v="10"/>
    <x v="17"/>
    <x v="412"/>
    <x v="27"/>
    <x v="47"/>
    <x v="25"/>
    <x v="4"/>
  </r>
  <r>
    <x v="314"/>
    <x v="79"/>
    <x v="26"/>
    <x v="66"/>
    <x v="22"/>
    <x v="51"/>
    <x v="10"/>
    <x v="35"/>
    <x v="424"/>
    <x v="29"/>
    <x v="30"/>
    <x v="17"/>
    <x v="3"/>
  </r>
  <r>
    <x v="315"/>
    <x v="35"/>
    <x v="76"/>
    <x v="23"/>
    <x v="11"/>
    <x v="62"/>
    <x v="14"/>
    <x v="76"/>
    <x v="312"/>
    <x v="31"/>
    <x v="32"/>
    <x v="11"/>
    <x v="2"/>
  </r>
  <r>
    <x v="316"/>
    <x v="39"/>
    <x v="35"/>
    <x v="31"/>
    <x v="22"/>
    <x v="49"/>
    <x v="21"/>
    <x v="44"/>
    <x v="363"/>
    <x v="49"/>
    <x v="53"/>
    <x v="18"/>
    <x v="3"/>
  </r>
  <r>
    <x v="317"/>
    <x v="72"/>
    <x v="52"/>
    <x v="66"/>
    <x v="20"/>
    <x v="35"/>
    <x v="6"/>
    <x v="31"/>
    <x v="395"/>
    <x v="17"/>
    <x v="18"/>
    <x v="20"/>
    <x v="2"/>
  </r>
  <r>
    <x v="318"/>
    <x v="78"/>
    <x v="36"/>
    <x v="63"/>
    <x v="11"/>
    <x v="34"/>
    <x v="6"/>
    <x v="9"/>
    <x v="385"/>
    <x v="11"/>
    <x v="49"/>
    <x v="23"/>
    <x v="2"/>
  </r>
  <r>
    <x v="319"/>
    <x v="81"/>
    <x v="59"/>
    <x v="66"/>
    <x v="61"/>
    <x v="46"/>
    <x v="7"/>
    <x v="36"/>
    <x v="429"/>
    <x v="19"/>
    <x v="35"/>
    <x v="20"/>
    <x v="4"/>
  </r>
  <r>
    <x v="320"/>
    <x v="53"/>
    <x v="32"/>
    <x v="50"/>
    <x v="33"/>
    <x v="70"/>
    <x v="7"/>
    <x v="15"/>
    <x v="350"/>
    <x v="38"/>
    <x v="55"/>
    <x v="42"/>
    <x v="3"/>
  </r>
  <r>
    <x v="321"/>
    <x v="57"/>
    <x v="51"/>
    <x v="61"/>
    <x v="22"/>
    <x v="39"/>
    <x v="11"/>
    <x v="18"/>
    <x v="412"/>
    <x v="28"/>
    <x v="31"/>
    <x v="4"/>
    <x v="2"/>
  </r>
  <r>
    <x v="322"/>
    <x v="56"/>
    <x v="21"/>
    <x v="52"/>
    <x v="25"/>
    <x v="103"/>
    <x v="15"/>
    <x v="69"/>
    <x v="410"/>
    <x v="30"/>
    <x v="26"/>
    <x v="11"/>
    <x v="2"/>
  </r>
  <r>
    <x v="323"/>
    <x v="47"/>
    <x v="11"/>
    <x v="53"/>
    <x v="19"/>
    <x v="37"/>
    <x v="6"/>
    <x v="12"/>
    <x v="221"/>
    <x v="32"/>
    <x v="75"/>
    <x v="45"/>
    <x v="4"/>
  </r>
  <r>
    <x v="324"/>
    <x v="22"/>
    <x v="89"/>
    <x v="2"/>
    <x v="17"/>
    <x v="26"/>
    <x v="35"/>
    <x v="57"/>
    <x v="327"/>
    <x v="69"/>
    <x v="40"/>
    <x v="18"/>
    <x v="2"/>
  </r>
  <r>
    <x v="325"/>
    <x v="32"/>
    <x v="8"/>
    <x v="40"/>
    <x v="5"/>
    <x v="19"/>
    <x v="11"/>
    <x v="19"/>
    <x v="264"/>
    <x v="44"/>
    <x v="49"/>
    <x v="2"/>
    <x v="3"/>
  </r>
  <r>
    <x v="326"/>
    <x v="44"/>
    <x v="12"/>
    <x v="48"/>
    <x v="9"/>
    <x v="30"/>
    <x v="26"/>
    <x v="40"/>
    <x v="264"/>
    <x v="44"/>
    <x v="66"/>
    <x v="28"/>
    <x v="3"/>
  </r>
  <r>
    <x v="327"/>
    <x v="27"/>
    <x v="47"/>
    <x v="22"/>
    <x v="15"/>
    <x v="69"/>
    <x v="12"/>
    <x v="66"/>
    <x v="199"/>
    <x v="17"/>
    <x v="25"/>
    <x v="7"/>
    <x v="2"/>
  </r>
  <r>
    <x v="328"/>
    <x v="90"/>
    <x v="30"/>
    <x v="63"/>
    <x v="40"/>
    <x v="52"/>
    <x v="6"/>
    <x v="41"/>
    <x v="425"/>
    <x v="13"/>
    <x v="43"/>
    <x v="31"/>
    <x v="3"/>
  </r>
  <r>
    <x v="329"/>
    <x v="68"/>
    <x v="45"/>
    <x v="71"/>
    <x v="47"/>
    <x v="87"/>
    <x v="6"/>
    <x v="9"/>
    <x v="372"/>
    <x v="13"/>
    <x v="45"/>
    <x v="42"/>
    <x v="4"/>
  </r>
  <r>
    <x v="330"/>
    <x v="68"/>
    <x v="35"/>
    <x v="50"/>
    <x v="29"/>
    <x v="41"/>
    <x v="19"/>
    <x v="41"/>
    <x v="420"/>
    <x v="38"/>
    <x v="73"/>
    <x v="33"/>
    <x v="3"/>
  </r>
  <r>
    <x v="331"/>
    <x v="67"/>
    <x v="61"/>
    <x v="66"/>
    <x v="65"/>
    <x v="51"/>
    <x v="6"/>
    <x v="18"/>
    <x v="385"/>
    <x v="23"/>
    <x v="61"/>
    <x v="58"/>
    <x v="3"/>
  </r>
  <r>
    <x v="332"/>
    <x v="36"/>
    <x v="32"/>
    <x v="38"/>
    <x v="20"/>
    <x v="57"/>
    <x v="24"/>
    <x v="54"/>
    <x v="350"/>
    <x v="43"/>
    <x v="32"/>
    <x v="31"/>
    <x v="3"/>
  </r>
  <r>
    <x v="333"/>
    <x v="36"/>
    <x v="10"/>
    <x v="42"/>
    <x v="11"/>
    <x v="43"/>
    <x v="11"/>
    <x v="21"/>
    <x v="320"/>
    <x v="33"/>
    <x v="42"/>
    <x v="11"/>
    <x v="3"/>
  </r>
  <r>
    <x v="334"/>
    <x v="88"/>
    <x v="31"/>
    <x v="68"/>
    <x v="27"/>
    <x v="48"/>
    <x v="17"/>
    <x v="37"/>
    <x v="425"/>
    <x v="18"/>
    <x v="42"/>
    <x v="20"/>
    <x v="3"/>
  </r>
  <r>
    <x v="335"/>
    <x v="30"/>
    <x v="42"/>
    <x v="28"/>
    <x v="13"/>
    <x v="50"/>
    <x v="23"/>
    <x v="48"/>
    <x v="354"/>
    <x v="54"/>
    <x v="36"/>
    <x v="7"/>
    <x v="2"/>
  </r>
  <r>
    <x v="336"/>
    <x v="27"/>
    <x v="62"/>
    <x v="7"/>
    <x v="19"/>
    <x v="53"/>
    <x v="11"/>
    <x v="31"/>
    <x v="350"/>
    <x v="55"/>
    <x v="38"/>
    <x v="16"/>
    <x v="3"/>
  </r>
  <r>
    <x v="337"/>
    <x v="31"/>
    <x v="45"/>
    <x v="26"/>
    <x v="11"/>
    <x v="51"/>
    <x v="23"/>
    <x v="42"/>
    <x v="358"/>
    <x v="53"/>
    <x v="36"/>
    <x v="7"/>
    <x v="3"/>
  </r>
  <r>
    <x v="338"/>
    <x v="36"/>
    <x v="68"/>
    <x v="15"/>
    <x v="10"/>
    <x v="42"/>
    <x v="17"/>
    <x v="36"/>
    <x v="303"/>
    <x v="43"/>
    <x v="16"/>
    <x v="15"/>
    <x v="3"/>
  </r>
  <r>
    <x v="339"/>
    <x v="31"/>
    <x v="36"/>
    <x v="26"/>
    <x v="10"/>
    <x v="51"/>
    <x v="23"/>
    <x v="47"/>
    <x v="358"/>
    <x v="55"/>
    <x v="36"/>
    <x v="7"/>
    <x v="3"/>
  </r>
  <r>
    <x v="340"/>
    <x v="49"/>
    <x v="26"/>
    <x v="31"/>
    <x v="20"/>
    <x v="59"/>
    <x v="16"/>
    <x v="43"/>
    <x v="363"/>
    <x v="31"/>
    <x v="32"/>
    <x v="20"/>
    <x v="4"/>
  </r>
  <r>
    <x v="341"/>
    <x v="9"/>
    <x v="106"/>
    <x v="5"/>
    <x v="3"/>
    <x v="8"/>
    <x v="12"/>
    <x v="83"/>
    <x v="18"/>
    <x v="68"/>
    <x v="44"/>
    <x v="54"/>
    <x v="5"/>
  </r>
  <r>
    <x v="342"/>
    <x v="48"/>
    <x v="25"/>
    <x v="52"/>
    <x v="11"/>
    <x v="45"/>
    <x v="6"/>
    <x v="20"/>
    <x v="354"/>
    <x v="30"/>
    <x v="13"/>
    <x v="12"/>
    <x v="2"/>
  </r>
  <r>
    <x v="343"/>
    <x v="37"/>
    <x v="69"/>
    <x v="61"/>
    <x v="11"/>
    <x v="75"/>
    <x v="13"/>
    <x v="90"/>
    <x v="287"/>
    <x v="28"/>
    <x v="16"/>
    <x v="6"/>
    <x v="2"/>
  </r>
  <r>
    <x v="344"/>
    <x v="80"/>
    <x v="56"/>
    <x v="65"/>
    <x v="17"/>
    <x v="26"/>
    <x v="6"/>
    <x v="19"/>
    <x v="406"/>
    <x v="15"/>
    <x v="19"/>
    <x v="18"/>
    <x v="2"/>
  </r>
  <r>
    <x v="345"/>
    <x v="73"/>
    <x v="25"/>
    <x v="76"/>
    <x v="44"/>
    <x v="29"/>
    <x v="7"/>
    <x v="32"/>
    <x v="421"/>
    <x v="34"/>
    <x v="22"/>
    <x v="55"/>
    <x v="4"/>
  </r>
  <r>
    <x v="346"/>
    <x v="19"/>
    <x v="83"/>
    <x v="2"/>
    <x v="76"/>
    <x v="85"/>
    <x v="58"/>
    <x v="114"/>
    <x v="402"/>
    <x v="59"/>
    <x v="15"/>
    <x v="18"/>
    <x v="2"/>
  </r>
  <r>
    <x v="347"/>
    <x v="68"/>
    <x v="54"/>
    <x v="59"/>
    <x v="22"/>
    <x v="50"/>
    <x v="13"/>
    <x v="43"/>
    <x v="385"/>
    <x v="30"/>
    <x v="27"/>
    <x v="33"/>
    <x v="3"/>
  </r>
  <r>
    <x v="348"/>
    <x v="40"/>
    <x v="89"/>
    <x v="22"/>
    <x v="17"/>
    <x v="27"/>
    <x v="9"/>
    <x v="36"/>
    <x v="230"/>
    <x v="22"/>
    <x v="17"/>
    <x v="11"/>
    <x v="2"/>
  </r>
  <r>
    <x v="349"/>
    <x v="30"/>
    <x v="10"/>
    <x v="30"/>
    <x v="7"/>
    <x v="22"/>
    <x v="20"/>
    <x v="32"/>
    <x v="119"/>
    <x v="41"/>
    <x v="9"/>
    <x v="31"/>
    <x v="3"/>
  </r>
  <r>
    <x v="350"/>
    <x v="75"/>
    <x v="39"/>
    <x v="54"/>
    <x v="22"/>
    <x v="48"/>
    <x v="19"/>
    <x v="58"/>
    <x v="412"/>
    <x v="22"/>
    <x v="23"/>
    <x v="26"/>
    <x v="3"/>
  </r>
  <r>
    <x v="351"/>
    <x v="67"/>
    <x v="56"/>
    <x v="49"/>
    <x v="24"/>
    <x v="48"/>
    <x v="10"/>
    <x v="35"/>
    <x v="402"/>
    <x v="27"/>
    <x v="25"/>
    <x v="26"/>
    <x v="3"/>
  </r>
  <r>
    <x v="352"/>
    <x v="30"/>
    <x v="74"/>
    <x v="5"/>
    <x v="24"/>
    <x v="38"/>
    <x v="15"/>
    <x v="21"/>
    <x v="320"/>
    <x v="38"/>
    <x v="23"/>
    <x v="6"/>
    <x v="2"/>
  </r>
  <r>
    <x v="353"/>
    <x v="40"/>
    <x v="17"/>
    <x v="46"/>
    <x v="3"/>
    <x v="22"/>
    <x v="11"/>
    <x v="19"/>
    <x v="256"/>
    <x v="48"/>
    <x v="38"/>
    <x v="22"/>
    <x v="3"/>
  </r>
  <r>
    <x v="354"/>
    <x v="51"/>
    <x v="34"/>
    <x v="47"/>
    <x v="20"/>
    <x v="26"/>
    <x v="9"/>
    <x v="22"/>
    <x v="358"/>
    <x v="36"/>
    <x v="27"/>
    <x v="31"/>
    <x v="3"/>
  </r>
  <r>
    <x v="355"/>
    <x v="73"/>
    <x v="27"/>
    <x v="66"/>
    <x v="29"/>
    <x v="56"/>
    <x v="12"/>
    <x v="24"/>
    <x v="404"/>
    <x v="30"/>
    <x v="25"/>
    <x v="31"/>
    <x v="4"/>
  </r>
  <r>
    <x v="356"/>
    <x v="57"/>
    <x v="21"/>
    <x v="58"/>
    <x v="38"/>
    <x v="112"/>
    <x v="6"/>
    <x v="10"/>
    <x v="287"/>
    <x v="31"/>
    <x v="32"/>
    <x v="37"/>
    <x v="3"/>
  </r>
  <r>
    <x v="357"/>
    <x v="78"/>
    <x v="36"/>
    <x v="49"/>
    <x v="48"/>
    <x v="33"/>
    <x v="26"/>
    <x v="43"/>
    <x v="358"/>
    <x v="17"/>
    <x v="19"/>
    <x v="15"/>
    <x v="1"/>
  </r>
  <r>
    <x v="358"/>
    <x v="43"/>
    <x v="33"/>
    <x v="34"/>
    <x v="20"/>
    <x v="43"/>
    <x v="26"/>
    <x v="81"/>
    <x v="383"/>
    <x v="50"/>
    <x v="24"/>
    <x v="12"/>
    <x v="3"/>
  </r>
  <r>
    <x v="359"/>
    <x v="44"/>
    <x v="35"/>
    <x v="35"/>
    <x v="19"/>
    <x v="43"/>
    <x v="23"/>
    <x v="73"/>
    <x v="383"/>
    <x v="50"/>
    <x v="24"/>
    <x v="12"/>
    <x v="2"/>
  </r>
  <r>
    <x v="360"/>
    <x v="24"/>
    <x v="83"/>
    <x v="16"/>
    <x v="10"/>
    <x v="63"/>
    <x v="15"/>
    <x v="71"/>
    <x v="256"/>
    <x v="39"/>
    <x v="26"/>
    <x v="10"/>
    <x v="2"/>
  </r>
  <r>
    <x v="361"/>
    <x v="52"/>
    <x v="29"/>
    <x v="53"/>
    <x v="70"/>
    <x v="60"/>
    <x v="6"/>
    <x v="13"/>
    <x v="380"/>
    <x v="39"/>
    <x v="44"/>
    <x v="41"/>
    <x v="4"/>
  </r>
  <r>
    <x v="362"/>
    <x v="41"/>
    <x v="43"/>
    <x v="34"/>
    <x v="24"/>
    <x v="50"/>
    <x v="24"/>
    <x v="113"/>
    <x v="363"/>
    <x v="38"/>
    <x v="23"/>
    <x v="12"/>
    <x v="2"/>
  </r>
  <r>
    <x v="363"/>
    <x v="39"/>
    <x v="81"/>
    <x v="24"/>
    <x v="69"/>
    <x v="80"/>
    <x v="31"/>
    <x v="123"/>
    <x v="425"/>
    <x v="44"/>
    <x v="69"/>
    <x v="10"/>
    <x v="2"/>
  </r>
  <r>
    <x v="364"/>
    <x v="59"/>
    <x v="39"/>
    <x v="64"/>
    <x v="15"/>
    <x v="74"/>
    <x v="6"/>
    <x v="14"/>
    <x v="287"/>
    <x v="38"/>
    <x v="28"/>
    <x v="41"/>
    <x v="3"/>
  </r>
  <r>
    <x v="365"/>
    <x v="23"/>
    <x v="52"/>
    <x v="12"/>
    <x v="10"/>
    <x v="54"/>
    <x v="34"/>
    <x v="114"/>
    <x v="175"/>
    <x v="56"/>
    <x v="10"/>
    <x v="26"/>
    <x v="2"/>
  </r>
  <r>
    <x v="366"/>
    <x v="72"/>
    <x v="26"/>
    <x v="51"/>
    <x v="11"/>
    <x v="84"/>
    <x v="7"/>
    <x v="14"/>
    <x v="404"/>
    <x v="36"/>
    <x v="38"/>
    <x v="25"/>
    <x v="3"/>
  </r>
  <r>
    <x v="367"/>
    <x v="21"/>
    <x v="90"/>
    <x v="0"/>
    <x v="9"/>
    <x v="29"/>
    <x v="34"/>
    <x v="46"/>
    <x v="332"/>
    <x v="74"/>
    <x v="30"/>
    <x v="18"/>
    <x v="2"/>
  </r>
  <r>
    <x v="368"/>
    <x v="48"/>
    <x v="48"/>
    <x v="33"/>
    <x v="19"/>
    <x v="52"/>
    <x v="35"/>
    <x v="61"/>
    <x v="303"/>
    <x v="40"/>
    <x v="35"/>
    <x v="42"/>
    <x v="4"/>
  </r>
  <r>
    <x v="369"/>
    <x v="19"/>
    <x v="104"/>
    <x v="3"/>
    <x v="17"/>
    <x v="22"/>
    <x v="32"/>
    <x v="42"/>
    <x v="141"/>
    <x v="64"/>
    <x v="18"/>
    <x v="48"/>
    <x v="4"/>
  </r>
  <r>
    <x v="370"/>
    <x v="30"/>
    <x v="123"/>
    <x v="20"/>
    <x v="11"/>
    <x v="10"/>
    <x v="15"/>
    <x v="54"/>
    <x v="166"/>
    <x v="48"/>
    <x v="6"/>
    <x v="32"/>
    <x v="2"/>
  </r>
  <r>
    <x v="371"/>
    <x v="58"/>
    <x v="8"/>
    <x v="47"/>
    <x v="13"/>
    <x v="29"/>
    <x v="6"/>
    <x v="18"/>
    <x v="342"/>
    <x v="27"/>
    <x v="52"/>
    <x v="33"/>
    <x v="4"/>
  </r>
  <r>
    <x v="372"/>
    <x v="17"/>
    <x v="70"/>
    <x v="8"/>
    <x v="13"/>
    <x v="8"/>
    <x v="19"/>
    <x v="42"/>
    <x v="119"/>
    <x v="61"/>
    <x v="11"/>
    <x v="38"/>
    <x v="3"/>
  </r>
  <r>
    <x v="373"/>
    <x v="48"/>
    <x v="92"/>
    <x v="22"/>
    <x v="10"/>
    <x v="40"/>
    <x v="6"/>
    <x v="26"/>
    <x v="385"/>
    <x v="38"/>
    <x v="18"/>
    <x v="28"/>
    <x v="3"/>
  </r>
  <r>
    <x v="374"/>
    <x v="44"/>
    <x v="43"/>
    <x v="33"/>
    <x v="2"/>
    <x v="33"/>
    <x v="9"/>
    <x v="24"/>
    <x v="342"/>
    <x v="36"/>
    <x v="22"/>
    <x v="10"/>
    <x v="2"/>
  </r>
  <r>
    <x v="375"/>
    <x v="81"/>
    <x v="104"/>
    <x v="63"/>
    <x v="19"/>
    <x v="51"/>
    <x v="13"/>
    <x v="29"/>
    <x v="406"/>
    <x v="22"/>
    <x v="22"/>
    <x v="25"/>
    <x v="3"/>
  </r>
  <r>
    <x v="376"/>
    <x v="31"/>
    <x v="47"/>
    <x v="35"/>
    <x v="15"/>
    <x v="37"/>
    <x v="21"/>
    <x v="60"/>
    <x v="320"/>
    <x v="37"/>
    <x v="18"/>
    <x v="7"/>
    <x v="2"/>
  </r>
  <r>
    <x v="377"/>
    <x v="72"/>
    <x v="25"/>
    <x v="69"/>
    <x v="17"/>
    <x v="41"/>
    <x v="12"/>
    <x v="18"/>
    <x v="190"/>
    <x v="12"/>
    <x v="27"/>
    <x v="53"/>
    <x v="3"/>
  </r>
  <r>
    <x v="378"/>
    <x v="76"/>
    <x v="27"/>
    <x v="63"/>
    <x v="17"/>
    <x v="54"/>
    <x v="6"/>
    <x v="12"/>
    <x v="421"/>
    <x v="28"/>
    <x v="11"/>
    <x v="12"/>
    <x v="2"/>
  </r>
  <r>
    <x v="379"/>
    <x v="57"/>
    <x v="30"/>
    <x v="55"/>
    <x v="31"/>
    <x v="39"/>
    <x v="22"/>
    <x v="48"/>
    <x v="404"/>
    <x v="27"/>
    <x v="51"/>
    <x v="18"/>
    <x v="3"/>
  </r>
  <r>
    <x v="380"/>
    <x v="33"/>
    <x v="70"/>
    <x v="30"/>
    <x v="11"/>
    <x v="23"/>
    <x v="39"/>
    <x v="56"/>
    <x v="190"/>
    <x v="38"/>
    <x v="18"/>
    <x v="23"/>
    <x v="3"/>
  </r>
  <r>
    <x v="381"/>
    <x v="64"/>
    <x v="35"/>
    <x v="73"/>
    <x v="31"/>
    <x v="29"/>
    <x v="6"/>
    <x v="16"/>
    <x v="380"/>
    <x v="29"/>
    <x v="28"/>
    <x v="36"/>
    <x v="3"/>
  </r>
  <r>
    <x v="382"/>
    <x v="23"/>
    <x v="60"/>
    <x v="18"/>
    <x v="4"/>
    <x v="25"/>
    <x v="7"/>
    <x v="44"/>
    <x v="134"/>
    <x v="20"/>
    <x v="22"/>
    <x v="10"/>
    <x v="2"/>
  </r>
  <r>
    <x v="383"/>
    <x v="79"/>
    <x v="17"/>
    <x v="72"/>
    <x v="15"/>
    <x v="35"/>
    <x v="6"/>
    <x v="23"/>
    <x v="383"/>
    <x v="3"/>
    <x v="44"/>
    <x v="17"/>
    <x v="5"/>
  </r>
  <r>
    <x v="384"/>
    <x v="72"/>
    <x v="29"/>
    <x v="65"/>
    <x v="14"/>
    <x v="31"/>
    <x v="7"/>
    <x v="21"/>
    <x v="385"/>
    <x v="18"/>
    <x v="30"/>
    <x v="37"/>
    <x v="3"/>
  </r>
  <r>
    <x v="385"/>
    <x v="94"/>
    <x v="73"/>
    <x v="76"/>
    <x v="38"/>
    <x v="63"/>
    <x v="6"/>
    <x v="37"/>
    <x v="434"/>
    <x v="9"/>
    <x v="30"/>
    <x v="36"/>
    <x v="4"/>
  </r>
  <r>
    <x v="386"/>
    <x v="53"/>
    <x v="34"/>
    <x v="49"/>
    <x v="24"/>
    <x v="40"/>
    <x v="11"/>
    <x v="13"/>
    <x v="230"/>
    <x v="35"/>
    <x v="25"/>
    <x v="40"/>
    <x v="4"/>
  </r>
  <r>
    <x v="387"/>
    <x v="6"/>
    <x v="50"/>
    <x v="1"/>
    <x v="7"/>
    <x v="17"/>
    <x v="4"/>
    <x v="21"/>
    <x v="43"/>
    <x v="69"/>
    <x v="46"/>
    <x v="50"/>
    <x v="4"/>
  </r>
  <r>
    <x v="388"/>
    <x v="48"/>
    <x v="83"/>
    <x v="10"/>
    <x v="13"/>
    <x v="42"/>
    <x v="6"/>
    <x v="25"/>
    <x v="380"/>
    <x v="35"/>
    <x v="18"/>
    <x v="22"/>
    <x v="3"/>
  </r>
  <r>
    <x v="389"/>
    <x v="78"/>
    <x v="26"/>
    <x v="60"/>
    <x v="22"/>
    <x v="44"/>
    <x v="31"/>
    <x v="66"/>
    <x v="404"/>
    <x v="22"/>
    <x v="35"/>
    <x v="26"/>
    <x v="2"/>
  </r>
  <r>
    <x v="390"/>
    <x v="46"/>
    <x v="39"/>
    <x v="29"/>
    <x v="13"/>
    <x v="90"/>
    <x v="6"/>
    <x v="10"/>
    <x v="271"/>
    <x v="34"/>
    <x v="34"/>
    <x v="36"/>
    <x v="2"/>
  </r>
  <r>
    <x v="391"/>
    <x v="39"/>
    <x v="44"/>
    <x v="22"/>
    <x v="11"/>
    <x v="63"/>
    <x v="7"/>
    <x v="21"/>
    <x v="264"/>
    <x v="32"/>
    <x v="18"/>
    <x v="23"/>
    <x v="3"/>
  </r>
  <r>
    <x v="392"/>
    <x v="72"/>
    <x v="27"/>
    <x v="69"/>
    <x v="25"/>
    <x v="58"/>
    <x v="17"/>
    <x v="29"/>
    <x v="402"/>
    <x v="22"/>
    <x v="23"/>
    <x v="31"/>
    <x v="3"/>
  </r>
  <r>
    <x v="393"/>
    <x v="37"/>
    <x v="25"/>
    <x v="53"/>
    <x v="9"/>
    <x v="145"/>
    <x v="9"/>
    <x v="20"/>
    <x v="350"/>
    <x v="18"/>
    <x v="68"/>
    <x v="6"/>
    <x v="3"/>
  </r>
  <r>
    <x v="394"/>
    <x v="21"/>
    <x v="48"/>
    <x v="3"/>
    <x v="7"/>
    <x v="47"/>
    <x v="18"/>
    <x v="29"/>
    <x v="271"/>
    <x v="56"/>
    <x v="25"/>
    <x v="20"/>
    <x v="3"/>
  </r>
  <r>
    <x v="395"/>
    <x v="57"/>
    <x v="20"/>
    <x v="63"/>
    <x v="25"/>
    <x v="47"/>
    <x v="4"/>
    <x v="16"/>
    <x v="410"/>
    <x v="38"/>
    <x v="36"/>
    <x v="36"/>
    <x v="4"/>
  </r>
  <r>
    <x v="396"/>
    <x v="23"/>
    <x v="7"/>
    <x v="40"/>
    <x v="5"/>
    <x v="26"/>
    <x v="21"/>
    <x v="61"/>
    <x v="141"/>
    <x v="62"/>
    <x v="25"/>
    <x v="35"/>
    <x v="2"/>
  </r>
  <r>
    <x v="397"/>
    <x v="66"/>
    <x v="60"/>
    <x v="67"/>
    <x v="56"/>
    <x v="49"/>
    <x v="6"/>
    <x v="13"/>
    <x v="385"/>
    <x v="34"/>
    <x v="31"/>
    <x v="59"/>
    <x v="5"/>
  </r>
  <r>
    <x v="398"/>
    <x v="42"/>
    <x v="54"/>
    <x v="39"/>
    <x v="17"/>
    <x v="58"/>
    <x v="4"/>
    <x v="16"/>
    <x v="380"/>
    <x v="49"/>
    <x v="20"/>
    <x v="24"/>
    <x v="2"/>
  </r>
  <r>
    <x v="399"/>
    <x v="45"/>
    <x v="62"/>
    <x v="21"/>
    <x v="24"/>
    <x v="60"/>
    <x v="29"/>
    <x v="59"/>
    <x v="385"/>
    <x v="40"/>
    <x v="20"/>
    <x v="15"/>
    <x v="2"/>
  </r>
  <r>
    <x v="400"/>
    <x v="69"/>
    <x v="52"/>
    <x v="66"/>
    <x v="15"/>
    <x v="37"/>
    <x v="10"/>
    <x v="41"/>
    <x v="423"/>
    <x v="37"/>
    <x v="19"/>
    <x v="4"/>
    <x v="0"/>
  </r>
  <r>
    <x v="401"/>
    <x v="45"/>
    <x v="33"/>
    <x v="52"/>
    <x v="17"/>
    <x v="46"/>
    <x v="14"/>
    <x v="17"/>
    <x v="332"/>
    <x v="47"/>
    <x v="23"/>
    <x v="37"/>
    <x v="3"/>
  </r>
  <r>
    <x v="402"/>
    <x v="36"/>
    <x v="59"/>
    <x v="22"/>
    <x v="22"/>
    <x v="50"/>
    <x v="6"/>
    <x v="13"/>
    <x v="363"/>
    <x v="38"/>
    <x v="23"/>
    <x v="10"/>
    <x v="2"/>
  </r>
  <r>
    <x v="403"/>
    <x v="63"/>
    <x v="10"/>
    <x v="68"/>
    <x v="21"/>
    <x v="48"/>
    <x v="10"/>
    <x v="19"/>
    <x v="287"/>
    <x v="30"/>
    <x v="23"/>
    <x v="42"/>
    <x v="2"/>
  </r>
  <r>
    <x v="404"/>
    <x v="34"/>
    <x v="68"/>
    <x v="70"/>
    <x v="15"/>
    <x v="61"/>
    <x v="25"/>
    <x v="119"/>
    <x v="303"/>
    <x v="20"/>
    <x v="15"/>
    <x v="4"/>
    <x v="2"/>
  </r>
  <r>
    <x v="405"/>
    <x v="68"/>
    <x v="18"/>
    <x v="54"/>
    <x v="13"/>
    <x v="47"/>
    <x v="4"/>
    <x v="9"/>
    <x v="383"/>
    <x v="10"/>
    <x v="32"/>
    <x v="7"/>
    <x v="3"/>
  </r>
  <r>
    <x v="406"/>
    <x v="53"/>
    <x v="13"/>
    <x v="40"/>
    <x v="27"/>
    <x v="61"/>
    <x v="10"/>
    <x v="20"/>
    <x v="422"/>
    <x v="60"/>
    <x v="53"/>
    <x v="16"/>
    <x v="2"/>
  </r>
  <r>
    <x v="407"/>
    <x v="56"/>
    <x v="41"/>
    <x v="42"/>
    <x v="11"/>
    <x v="32"/>
    <x v="21"/>
    <x v="45"/>
    <x v="363"/>
    <x v="28"/>
    <x v="34"/>
    <x v="39"/>
    <x v="3"/>
  </r>
  <r>
    <x v="408"/>
    <x v="41"/>
    <x v="36"/>
    <x v="45"/>
    <x v="22"/>
    <x v="28"/>
    <x v="7"/>
    <x v="12"/>
    <x v="105"/>
    <x v="44"/>
    <x v="41"/>
    <x v="63"/>
    <x v="3"/>
  </r>
  <r>
    <x v="409"/>
    <x v="67"/>
    <x v="23"/>
    <x v="69"/>
    <x v="13"/>
    <x v="53"/>
    <x v="6"/>
    <x v="15"/>
    <x v="412"/>
    <x v="29"/>
    <x v="24"/>
    <x v="7"/>
    <x v="3"/>
  </r>
  <r>
    <x v="410"/>
    <x v="40"/>
    <x v="100"/>
    <x v="2"/>
    <x v="1"/>
    <x v="33"/>
    <x v="36"/>
    <x v="42"/>
    <x v="141"/>
    <x v="32"/>
    <x v="20"/>
    <x v="17"/>
    <x v="2"/>
  </r>
  <r>
    <x v="411"/>
    <x v="83"/>
    <x v="19"/>
    <x v="65"/>
    <x v="22"/>
    <x v="56"/>
    <x v="15"/>
    <x v="41"/>
    <x v="404"/>
    <x v="17"/>
    <x v="23"/>
    <x v="28"/>
    <x v="2"/>
  </r>
  <r>
    <x v="412"/>
    <x v="49"/>
    <x v="45"/>
    <x v="42"/>
    <x v="19"/>
    <x v="44"/>
    <x v="25"/>
    <x v="46"/>
    <x v="287"/>
    <x v="32"/>
    <x v="33"/>
    <x v="38"/>
    <x v="3"/>
  </r>
  <r>
    <x v="413"/>
    <x v="78"/>
    <x v="25"/>
    <x v="55"/>
    <x v="22"/>
    <x v="46"/>
    <x v="25"/>
    <x v="62"/>
    <x v="403"/>
    <x v="27"/>
    <x v="44"/>
    <x v="25"/>
    <x v="3"/>
  </r>
  <r>
    <x v="414"/>
    <x v="52"/>
    <x v="22"/>
    <x v="55"/>
    <x v="13"/>
    <x v="25"/>
    <x v="4"/>
    <x v="8"/>
    <x v="295"/>
    <x v="38"/>
    <x v="41"/>
    <x v="28"/>
    <x v="2"/>
  </r>
  <r>
    <x v="415"/>
    <x v="58"/>
    <x v="12"/>
    <x v="51"/>
    <x v="7"/>
    <x v="43"/>
    <x v="10"/>
    <x v="18"/>
    <x v="363"/>
    <x v="32"/>
    <x v="51"/>
    <x v="11"/>
    <x v="3"/>
  </r>
  <r>
    <x v="416"/>
    <x v="49"/>
    <x v="72"/>
    <x v="24"/>
    <x v="15"/>
    <x v="50"/>
    <x v="4"/>
    <x v="22"/>
    <x v="385"/>
    <x v="26"/>
    <x v="22"/>
    <x v="23"/>
    <x v="2"/>
  </r>
  <r>
    <x v="417"/>
    <x v="46"/>
    <x v="11"/>
    <x v="41"/>
    <x v="11"/>
    <x v="54"/>
    <x v="6"/>
    <x v="10"/>
    <x v="354"/>
    <x v="40"/>
    <x v="32"/>
    <x v="16"/>
    <x v="2"/>
  </r>
  <r>
    <x v="418"/>
    <x v="57"/>
    <x v="8"/>
    <x v="49"/>
    <x v="9"/>
    <x v="38"/>
    <x v="6"/>
    <x v="14"/>
    <x v="338"/>
    <x v="30"/>
    <x v="68"/>
    <x v="33"/>
    <x v="3"/>
  </r>
  <r>
    <x v="419"/>
    <x v="47"/>
    <x v="73"/>
    <x v="11"/>
    <x v="24"/>
    <x v="40"/>
    <x v="6"/>
    <x v="25"/>
    <x v="372"/>
    <x v="31"/>
    <x v="32"/>
    <x v="22"/>
    <x v="3"/>
  </r>
  <r>
    <x v="420"/>
    <x v="59"/>
    <x v="12"/>
    <x v="39"/>
    <x v="90"/>
    <x v="32"/>
    <x v="6"/>
    <x v="17"/>
    <x v="431"/>
    <x v="24"/>
    <x v="28"/>
    <x v="7"/>
    <x v="2"/>
  </r>
  <r>
    <x v="421"/>
    <x v="47"/>
    <x v="15"/>
    <x v="56"/>
    <x v="25"/>
    <x v="43"/>
    <x v="6"/>
    <x v="11"/>
    <x v="239"/>
    <x v="27"/>
    <x v="54"/>
    <x v="41"/>
    <x v="5"/>
  </r>
  <r>
    <x v="422"/>
    <x v="59"/>
    <x v="23"/>
    <x v="59"/>
    <x v="15"/>
    <x v="100"/>
    <x v="6"/>
    <x v="12"/>
    <x v="380"/>
    <x v="16"/>
    <x v="67"/>
    <x v="11"/>
    <x v="2"/>
  </r>
  <r>
    <x v="423"/>
    <x v="59"/>
    <x v="23"/>
    <x v="60"/>
    <x v="15"/>
    <x v="100"/>
    <x v="7"/>
    <x v="12"/>
    <x v="380"/>
    <x v="16"/>
    <x v="68"/>
    <x v="11"/>
    <x v="2"/>
  </r>
  <r>
    <x v="424"/>
    <x v="59"/>
    <x v="34"/>
    <x v="68"/>
    <x v="43"/>
    <x v="77"/>
    <x v="6"/>
    <x v="18"/>
    <x v="287"/>
    <x v="18"/>
    <x v="28"/>
    <x v="59"/>
    <x v="3"/>
  </r>
  <r>
    <x v="425"/>
    <x v="55"/>
    <x v="70"/>
    <x v="39"/>
    <x v="10"/>
    <x v="17"/>
    <x v="6"/>
    <x v="11"/>
    <x v="332"/>
    <x v="29"/>
    <x v="9"/>
    <x v="20"/>
    <x v="2"/>
  </r>
  <r>
    <x v="426"/>
    <x v="55"/>
    <x v="65"/>
    <x v="36"/>
    <x v="9"/>
    <x v="16"/>
    <x v="4"/>
    <x v="8"/>
    <x v="363"/>
    <x v="29"/>
    <x v="4"/>
    <x v="20"/>
    <x v="3"/>
  </r>
  <r>
    <x v="427"/>
    <x v="69"/>
    <x v="19"/>
    <x v="55"/>
    <x v="25"/>
    <x v="44"/>
    <x v="35"/>
    <x v="61"/>
    <x v="417"/>
    <x v="44"/>
    <x v="54"/>
    <x v="31"/>
    <x v="4"/>
  </r>
  <r>
    <x v="428"/>
    <x v="46"/>
    <x v="27"/>
    <x v="40"/>
    <x v="22"/>
    <x v="36"/>
    <x v="10"/>
    <x v="20"/>
    <x v="372"/>
    <x v="46"/>
    <x v="37"/>
    <x v="23"/>
    <x v="3"/>
  </r>
  <r>
    <x v="429"/>
    <x v="46"/>
    <x v="91"/>
    <x v="27"/>
    <x v="25"/>
    <x v="41"/>
    <x v="24"/>
    <x v="50"/>
    <x v="372"/>
    <x v="43"/>
    <x v="29"/>
    <x v="28"/>
    <x v="3"/>
  </r>
  <r>
    <x v="430"/>
    <x v="45"/>
    <x v="30"/>
    <x v="50"/>
    <x v="20"/>
    <x v="18"/>
    <x v="12"/>
    <x v="19"/>
    <x v="141"/>
    <x v="46"/>
    <x v="41"/>
    <x v="58"/>
    <x v="4"/>
  </r>
  <r>
    <x v="431"/>
    <x v="42"/>
    <x v="29"/>
    <x v="51"/>
    <x v="22"/>
    <x v="15"/>
    <x v="13"/>
    <x v="21"/>
    <x v="127"/>
    <x v="44"/>
    <x v="52"/>
    <x v="59"/>
    <x v="4"/>
  </r>
  <r>
    <x v="432"/>
    <x v="40"/>
    <x v="74"/>
    <x v="31"/>
    <x v="29"/>
    <x v="49"/>
    <x v="23"/>
    <x v="76"/>
    <x v="417"/>
    <x v="60"/>
    <x v="36"/>
    <x v="40"/>
    <x v="3"/>
  </r>
  <r>
    <x v="433"/>
    <x v="18"/>
    <x v="27"/>
    <x v="23"/>
    <x v="78"/>
    <x v="14"/>
    <x v="28"/>
    <x v="86"/>
    <x v="141"/>
    <x v="56"/>
    <x v="17"/>
    <x v="46"/>
    <x v="3"/>
  </r>
  <r>
    <x v="434"/>
    <x v="60"/>
    <x v="22"/>
    <x v="53"/>
    <x v="22"/>
    <x v="33"/>
    <x v="4"/>
    <x v="10"/>
    <x v="303"/>
    <x v="27"/>
    <x v="27"/>
    <x v="33"/>
    <x v="5"/>
  </r>
  <r>
    <x v="435"/>
    <x v="31"/>
    <x v="43"/>
    <x v="25"/>
    <x v="10"/>
    <x v="44"/>
    <x v="14"/>
    <x v="32"/>
    <x v="372"/>
    <x v="55"/>
    <x v="27"/>
    <x v="4"/>
    <x v="3"/>
  </r>
  <r>
    <x v="436"/>
    <x v="25"/>
    <x v="21"/>
    <x v="32"/>
    <x v="20"/>
    <x v="53"/>
    <x v="45"/>
    <x v="106"/>
    <x v="256"/>
    <x v="44"/>
    <x v="41"/>
    <x v="35"/>
    <x v="2"/>
  </r>
  <r>
    <x v="437"/>
    <x v="57"/>
    <x v="34"/>
    <x v="73"/>
    <x v="68"/>
    <x v="37"/>
    <x v="39"/>
    <x v="70"/>
    <x v="389"/>
    <x v="29"/>
    <x v="47"/>
    <x v="45"/>
    <x v="4"/>
  </r>
  <r>
    <x v="438"/>
    <x v="58"/>
    <x v="10"/>
    <x v="47"/>
    <x v="10"/>
    <x v="41"/>
    <x v="6"/>
    <x v="18"/>
    <x v="332"/>
    <x v="30"/>
    <x v="66"/>
    <x v="32"/>
    <x v="4"/>
  </r>
  <r>
    <x v="439"/>
    <x v="58"/>
    <x v="8"/>
    <x v="42"/>
    <x v="9"/>
    <x v="40"/>
    <x v="6"/>
    <x v="16"/>
    <x v="332"/>
    <x v="33"/>
    <x v="67"/>
    <x v="31"/>
    <x v="4"/>
  </r>
  <r>
    <x v="440"/>
    <x v="55"/>
    <x v="40"/>
    <x v="63"/>
    <x v="27"/>
    <x v="35"/>
    <x v="10"/>
    <x v="20"/>
    <x v="271"/>
    <x v="28"/>
    <x v="40"/>
    <x v="50"/>
    <x v="4"/>
  </r>
  <r>
    <x v="441"/>
    <x v="57"/>
    <x v="8"/>
    <x v="46"/>
    <x v="9"/>
    <x v="38"/>
    <x v="6"/>
    <x v="15"/>
    <x v="332"/>
    <x v="37"/>
    <x v="64"/>
    <x v="31"/>
    <x v="4"/>
  </r>
  <r>
    <x v="442"/>
    <x v="65"/>
    <x v="70"/>
    <x v="55"/>
    <x v="17"/>
    <x v="47"/>
    <x v="6"/>
    <x v="7"/>
    <x v="412"/>
    <x v="29"/>
    <x v="33"/>
    <x v="12"/>
    <x v="3"/>
  </r>
  <r>
    <x v="443"/>
    <x v="53"/>
    <x v="54"/>
    <x v="31"/>
    <x v="15"/>
    <x v="53"/>
    <x v="26"/>
    <x v="56"/>
    <x v="402"/>
    <x v="30"/>
    <x v="25"/>
    <x v="23"/>
    <x v="3"/>
  </r>
  <r>
    <x v="444"/>
    <x v="85"/>
    <x v="13"/>
    <x v="75"/>
    <x v="25"/>
    <x v="47"/>
    <x v="23"/>
    <x v="37"/>
    <x v="380"/>
    <x v="16"/>
    <x v="30"/>
    <x v="38"/>
    <x v="4"/>
  </r>
  <r>
    <x v="445"/>
    <x v="77"/>
    <x v="32"/>
    <x v="49"/>
    <x v="49"/>
    <x v="36"/>
    <x v="19"/>
    <x v="37"/>
    <x v="342"/>
    <x v="14"/>
    <x v="23"/>
    <x v="12"/>
    <x v="2"/>
  </r>
  <r>
    <x v="446"/>
    <x v="60"/>
    <x v="29"/>
    <x v="48"/>
    <x v="13"/>
    <x v="88"/>
    <x v="15"/>
    <x v="43"/>
    <x v="354"/>
    <x v="15"/>
    <x v="43"/>
    <x v="16"/>
    <x v="3"/>
  </r>
  <r>
    <x v="447"/>
    <x v="58"/>
    <x v="42"/>
    <x v="64"/>
    <x v="19"/>
    <x v="70"/>
    <x v="6"/>
    <x v="9"/>
    <x v="312"/>
    <x v="21"/>
    <x v="28"/>
    <x v="42"/>
    <x v="4"/>
  </r>
  <r>
    <x v="448"/>
    <x v="38"/>
    <x v="67"/>
    <x v="49"/>
    <x v="64"/>
    <x v="85"/>
    <x v="34"/>
    <x v="136"/>
    <x v="424"/>
    <x v="43"/>
    <x v="76"/>
    <x v="10"/>
    <x v="2"/>
  </r>
  <r>
    <x v="449"/>
    <x v="78"/>
    <x v="56"/>
    <x v="49"/>
    <x v="46"/>
    <x v="63"/>
    <x v="4"/>
    <x v="8"/>
    <x v="424"/>
    <x v="37"/>
    <x v="36"/>
    <x v="43"/>
    <x v="3"/>
  </r>
  <r>
    <x v="450"/>
    <x v="57"/>
    <x v="58"/>
    <x v="49"/>
    <x v="13"/>
    <x v="118"/>
    <x v="4"/>
    <x v="10"/>
    <x v="402"/>
    <x v="28"/>
    <x v="25"/>
    <x v="0"/>
    <x v="0"/>
  </r>
  <r>
    <x v="451"/>
    <x v="62"/>
    <x v="5"/>
    <x v="49"/>
    <x v="25"/>
    <x v="51"/>
    <x v="11"/>
    <x v="26"/>
    <x v="303"/>
    <x v="34"/>
    <x v="30"/>
    <x v="41"/>
    <x v="3"/>
  </r>
  <r>
    <x v="452"/>
    <x v="26"/>
    <x v="24"/>
    <x v="49"/>
    <x v="20"/>
    <x v="51"/>
    <x v="40"/>
    <x v="100"/>
    <x v="256"/>
    <x v="48"/>
    <x v="40"/>
    <x v="33"/>
    <x v="2"/>
  </r>
  <r>
    <x v="453"/>
    <x v="51"/>
    <x v="9"/>
    <x v="49"/>
    <x v="24"/>
    <x v="51"/>
    <x v="15"/>
    <x v="27"/>
    <x v="363"/>
    <x v="54"/>
    <x v="52"/>
    <x v="20"/>
    <x v="3"/>
  </r>
  <r>
    <x v="454"/>
    <x v="29"/>
    <x v="30"/>
    <x v="49"/>
    <x v="11"/>
    <x v="51"/>
    <x v="16"/>
    <x v="37"/>
    <x v="354"/>
    <x v="60"/>
    <x v="26"/>
    <x v="6"/>
    <x v="2"/>
  </r>
  <r>
    <x v="455"/>
    <x v="35"/>
    <x v="27"/>
    <x v="49"/>
    <x v="17"/>
    <x v="62"/>
    <x v="48"/>
    <x v="122"/>
    <x v="350"/>
    <x v="50"/>
    <x v="61"/>
    <x v="17"/>
    <x v="2"/>
  </r>
  <r>
    <x v="456"/>
    <x v="46"/>
    <x v="29"/>
    <x v="49"/>
    <x v="20"/>
    <x v="48"/>
    <x v="39"/>
    <x v="129"/>
    <x v="342"/>
    <x v="34"/>
    <x v="17"/>
    <x v="11"/>
    <x v="2"/>
  </r>
  <r>
    <x v="457"/>
    <x v="45"/>
    <x v="33"/>
    <x v="49"/>
    <x v="19"/>
    <x v="49"/>
    <x v="23"/>
    <x v="109"/>
    <x v="332"/>
    <x v="35"/>
    <x v="26"/>
    <x v="12"/>
    <x v="2"/>
  </r>
  <r>
    <x v="458"/>
    <x v="57"/>
    <x v="64"/>
    <x v="24"/>
    <x v="25"/>
    <x v="68"/>
    <x v="29"/>
    <x v="47"/>
    <x v="410"/>
    <x v="36"/>
    <x v="29"/>
    <x v="18"/>
    <x v="2"/>
  </r>
  <r>
    <x v="459"/>
    <x v="23"/>
    <x v="26"/>
    <x v="49"/>
    <x v="20"/>
    <x v="60"/>
    <x v="33"/>
    <x v="80"/>
    <x v="221"/>
    <x v="51"/>
    <x v="39"/>
    <x v="38"/>
    <x v="3"/>
  </r>
  <r>
    <x v="460"/>
    <x v="35"/>
    <x v="32"/>
    <x v="49"/>
    <x v="22"/>
    <x v="47"/>
    <x v="32"/>
    <x v="49"/>
    <x v="385"/>
    <x v="46"/>
    <x v="37"/>
    <x v="2"/>
    <x v="3"/>
  </r>
  <r>
    <x v="461"/>
    <x v="52"/>
    <x v="62"/>
    <x v="24"/>
    <x v="19"/>
    <x v="40"/>
    <x v="6"/>
    <x v="27"/>
    <x v="320"/>
    <x v="21"/>
    <x v="19"/>
    <x v="11"/>
    <x v="2"/>
  </r>
  <r>
    <x v="462"/>
    <x v="44"/>
    <x v="6"/>
    <x v="24"/>
    <x v="13"/>
    <x v="41"/>
    <x v="0"/>
    <x v="22"/>
    <x v="389"/>
    <x v="53"/>
    <x v="49"/>
    <x v="24"/>
    <x v="3"/>
  </r>
  <r>
    <x v="463"/>
    <x v="72"/>
    <x v="26"/>
    <x v="49"/>
    <x v="24"/>
    <x v="61"/>
    <x v="12"/>
    <x v="36"/>
    <x v="421"/>
    <x v="28"/>
    <x v="23"/>
    <x v="24"/>
    <x v="2"/>
  </r>
  <r>
    <x v="464"/>
    <x v="56"/>
    <x v="11"/>
    <x v="24"/>
    <x v="13"/>
    <x v="35"/>
    <x v="15"/>
    <x v="27"/>
    <x v="175"/>
    <x v="34"/>
    <x v="28"/>
    <x v="53"/>
    <x v="3"/>
  </r>
  <r>
    <x v="465"/>
    <x v="53"/>
    <x v="39"/>
    <x v="24"/>
    <x v="24"/>
    <x v="65"/>
    <x v="13"/>
    <x v="26"/>
    <x v="412"/>
    <x v="40"/>
    <x v="18"/>
    <x v="20"/>
    <x v="3"/>
  </r>
  <r>
    <x v="466"/>
    <x v="34"/>
    <x v="101"/>
    <x v="24"/>
    <x v="13"/>
    <x v="47"/>
    <x v="4"/>
    <x v="7"/>
    <x v="303"/>
    <x v="49"/>
    <x v="39"/>
    <x v="29"/>
    <x v="3"/>
  </r>
  <r>
    <x v="467"/>
    <x v="82"/>
    <x v="22"/>
    <x v="49"/>
    <x v="61"/>
    <x v="29"/>
    <x v="4"/>
    <x v="29"/>
    <x v="425"/>
    <x v="32"/>
    <x v="28"/>
    <x v="45"/>
    <x v="4"/>
  </r>
  <r>
    <x v="468"/>
    <x v="65"/>
    <x v="41"/>
    <x v="74"/>
    <x v="55"/>
    <x v="63"/>
    <x v="4"/>
    <x v="11"/>
    <x v="404"/>
    <x v="34"/>
    <x v="24"/>
    <x v="36"/>
    <x v="2"/>
  </r>
  <r>
    <x v="469"/>
    <x v="45"/>
    <x v="54"/>
    <x v="24"/>
    <x v="32"/>
    <x v="64"/>
    <x v="20"/>
    <x v="41"/>
    <x v="385"/>
    <x v="38"/>
    <x v="29"/>
    <x v="15"/>
    <x v="2"/>
  </r>
  <r>
    <x v="470"/>
    <x v="48"/>
    <x v="36"/>
    <x v="49"/>
    <x v="66"/>
    <x v="27"/>
    <x v="4"/>
    <x v="11"/>
    <x v="385"/>
    <x v="33"/>
    <x v="35"/>
    <x v="33"/>
    <x v="3"/>
  </r>
  <r>
    <x v="471"/>
    <x v="46"/>
    <x v="79"/>
    <x v="24"/>
    <x v="13"/>
    <x v="33"/>
    <x v="4"/>
    <x v="14"/>
    <x v="256"/>
    <x v="24"/>
    <x v="21"/>
    <x v="18"/>
    <x v="2"/>
  </r>
  <r>
    <x v="472"/>
    <x v="65"/>
    <x v="68"/>
    <x v="24"/>
    <x v="20"/>
    <x v="48"/>
    <x v="16"/>
    <x v="47"/>
    <x v="398"/>
    <x v="18"/>
    <x v="34"/>
    <x v="33"/>
    <x v="3"/>
  </r>
  <r>
    <x v="473"/>
    <x v="91"/>
    <x v="17"/>
    <x v="74"/>
    <x v="9"/>
    <x v="38"/>
    <x v="6"/>
    <x v="9"/>
    <x v="423"/>
    <x v="1"/>
    <x v="41"/>
    <x v="0"/>
    <x v="3"/>
  </r>
  <r>
    <x v="474"/>
    <x v="44"/>
    <x v="37"/>
    <x v="49"/>
    <x v="22"/>
    <x v="57"/>
    <x v="39"/>
    <x v="100"/>
    <x v="363"/>
    <x v="20"/>
    <x v="21"/>
    <x v="6"/>
    <x v="2"/>
  </r>
  <r>
    <x v="475"/>
    <x v="28"/>
    <x v="47"/>
    <x v="24"/>
    <x v="11"/>
    <x v="41"/>
    <x v="10"/>
    <x v="22"/>
    <x v="368"/>
    <x v="57"/>
    <x v="40"/>
    <x v="12"/>
    <x v="3"/>
  </r>
  <r>
    <x v="476"/>
    <x v="59"/>
    <x v="17"/>
    <x v="49"/>
    <x v="20"/>
    <x v="30"/>
    <x v="6"/>
    <x v="15"/>
    <x v="383"/>
    <x v="38"/>
    <x v="48"/>
    <x v="29"/>
    <x v="3"/>
  </r>
  <r>
    <x v="477"/>
    <x v="77"/>
    <x v="22"/>
    <x v="49"/>
    <x v="22"/>
    <x v="42"/>
    <x v="27"/>
    <x v="63"/>
    <x v="402"/>
    <x v="24"/>
    <x v="37"/>
    <x v="25"/>
    <x v="3"/>
  </r>
  <r>
    <x v="478"/>
    <x v="43"/>
    <x v="44"/>
    <x v="49"/>
    <x v="10"/>
    <x v="110"/>
    <x v="6"/>
    <x v="19"/>
    <x v="327"/>
    <x v="39"/>
    <x v="23"/>
    <x v="11"/>
    <x v="3"/>
  </r>
  <r>
    <x v="479"/>
    <x v="21"/>
    <x v="42"/>
    <x v="1"/>
    <x v="13"/>
    <x v="37"/>
    <x v="9"/>
    <x v="19"/>
    <x v="190"/>
    <x v="45"/>
    <x v="18"/>
    <x v="12"/>
    <x v="3"/>
  </r>
  <r>
    <x v="480"/>
    <x v="47"/>
    <x v="33"/>
    <x v="24"/>
    <x v="25"/>
    <x v="55"/>
    <x v="14"/>
    <x v="39"/>
    <x v="354"/>
    <x v="31"/>
    <x v="35"/>
    <x v="20"/>
    <x v="3"/>
  </r>
  <r>
    <x v="481"/>
    <x v="48"/>
    <x v="36"/>
    <x v="24"/>
    <x v="24"/>
    <x v="55"/>
    <x v="14"/>
    <x v="38"/>
    <x v="354"/>
    <x v="24"/>
    <x v="36"/>
    <x v="20"/>
    <x v="3"/>
  </r>
  <r>
    <x v="482"/>
    <x v="3"/>
    <x v="133"/>
    <x v="24"/>
    <x v="5"/>
    <x v="13"/>
    <x v="32"/>
    <x v="91"/>
    <x v="43"/>
    <x v="83"/>
    <x v="24"/>
    <x v="39"/>
    <x v="2"/>
  </r>
  <r>
    <x v="483"/>
    <x v="93"/>
    <x v="65"/>
    <x v="49"/>
    <x v="44"/>
    <x v="58"/>
    <x v="10"/>
    <x v="17"/>
    <x v="433"/>
    <x v="6"/>
    <x v="36"/>
    <x v="35"/>
    <x v="2"/>
  </r>
  <r>
    <x v="484"/>
    <x v="62"/>
    <x v="44"/>
    <x v="49"/>
    <x v="49"/>
    <x v="81"/>
    <x v="10"/>
    <x v="11"/>
    <x v="417"/>
    <x v="19"/>
    <x v="18"/>
    <x v="41"/>
    <x v="3"/>
  </r>
  <r>
    <x v="485"/>
    <x v="94"/>
    <x v="65"/>
    <x v="49"/>
    <x v="44"/>
    <x v="58"/>
    <x v="10"/>
    <x v="17"/>
    <x v="433"/>
    <x v="6"/>
    <x v="36"/>
    <x v="35"/>
    <x v="2"/>
  </r>
  <r>
    <x v="486"/>
    <x v="83"/>
    <x v="37"/>
    <x v="49"/>
    <x v="46"/>
    <x v="48"/>
    <x v="6"/>
    <x v="41"/>
    <x v="428"/>
    <x v="42"/>
    <x v="30"/>
    <x v="52"/>
    <x v="3"/>
  </r>
  <r>
    <x v="487"/>
    <x v="80"/>
    <x v="56"/>
    <x v="49"/>
    <x v="25"/>
    <x v="38"/>
    <x v="4"/>
    <x v="13"/>
    <x v="402"/>
    <x v="26"/>
    <x v="19"/>
    <x v="38"/>
    <x v="2"/>
  </r>
  <r>
    <x v="488"/>
    <x v="43"/>
    <x v="34"/>
    <x v="49"/>
    <x v="19"/>
    <x v="41"/>
    <x v="26"/>
    <x v="112"/>
    <x v="342"/>
    <x v="35"/>
    <x v="20"/>
    <x v="7"/>
    <x v="2"/>
  </r>
  <r>
    <x v="489"/>
    <x v="43"/>
    <x v="45"/>
    <x v="49"/>
    <x v="27"/>
    <x v="57"/>
    <x v="43"/>
    <x v="103"/>
    <x v="363"/>
    <x v="20"/>
    <x v="23"/>
    <x v="7"/>
    <x v="2"/>
  </r>
  <r>
    <x v="490"/>
    <x v="29"/>
    <x v="13"/>
    <x v="49"/>
    <x v="24"/>
    <x v="55"/>
    <x v="25"/>
    <x v="54"/>
    <x v="295"/>
    <x v="43"/>
    <x v="23"/>
    <x v="22"/>
    <x v="3"/>
  </r>
  <r>
    <x v="491"/>
    <x v="40"/>
    <x v="76"/>
    <x v="24"/>
    <x v="20"/>
    <x v="124"/>
    <x v="4"/>
    <x v="9"/>
    <x v="391"/>
    <x v="44"/>
    <x v="22"/>
    <x v="4"/>
    <x v="3"/>
  </r>
  <r>
    <x v="492"/>
    <x v="51"/>
    <x v="41"/>
    <x v="49"/>
    <x v="22"/>
    <x v="130"/>
    <x v="4"/>
    <x v="14"/>
    <x v="389"/>
    <x v="43"/>
    <x v="41"/>
    <x v="29"/>
    <x v="3"/>
  </r>
  <r>
    <x v="493"/>
    <x v="15"/>
    <x v="23"/>
    <x v="24"/>
    <x v="15"/>
    <x v="58"/>
    <x v="19"/>
    <x v="36"/>
    <x v="100"/>
    <x v="69"/>
    <x v="19"/>
    <x v="41"/>
    <x v="3"/>
  </r>
  <r>
    <x v="494"/>
    <x v="68"/>
    <x v="22"/>
    <x v="49"/>
    <x v="32"/>
    <x v="33"/>
    <x v="10"/>
    <x v="31"/>
    <x v="420"/>
    <x v="44"/>
    <x v="53"/>
    <x v="33"/>
    <x v="3"/>
  </r>
  <r>
    <x v="495"/>
    <x v="55"/>
    <x v="8"/>
    <x v="49"/>
    <x v="19"/>
    <x v="38"/>
    <x v="10"/>
    <x v="22"/>
    <x v="342"/>
    <x v="26"/>
    <x v="23"/>
    <x v="25"/>
    <x v="2"/>
  </r>
  <r>
    <x v="496"/>
    <x v="58"/>
    <x v="54"/>
    <x v="49"/>
    <x v="13"/>
    <x v="33"/>
    <x v="14"/>
    <x v="41"/>
    <x v="391"/>
    <x v="42"/>
    <x v="18"/>
    <x v="15"/>
    <x v="1"/>
  </r>
  <r>
    <x v="497"/>
    <x v="59"/>
    <x v="21"/>
    <x v="49"/>
    <x v="31"/>
    <x v="41"/>
    <x v="20"/>
    <x v="73"/>
    <x v="395"/>
    <x v="31"/>
    <x v="32"/>
    <x v="20"/>
    <x v="3"/>
  </r>
  <r>
    <x v="498"/>
    <x v="76"/>
    <x v="11"/>
    <x v="49"/>
    <x v="30"/>
    <x v="42"/>
    <x v="28"/>
    <x v="40"/>
    <x v="398"/>
    <x v="32"/>
    <x v="42"/>
    <x v="23"/>
    <x v="3"/>
  </r>
  <r>
    <x v="499"/>
    <x v="52"/>
    <x v="41"/>
    <x v="24"/>
    <x v="17"/>
    <x v="66"/>
    <x v="6"/>
    <x v="8"/>
    <x v="342"/>
    <x v="46"/>
    <x v="14"/>
    <x v="20"/>
    <x v="1"/>
  </r>
  <r>
    <x v="500"/>
    <x v="41"/>
    <x v="34"/>
    <x v="49"/>
    <x v="25"/>
    <x v="46"/>
    <x v="18"/>
    <x v="104"/>
    <x v="363"/>
    <x v="42"/>
    <x v="22"/>
    <x v="12"/>
    <x v="2"/>
  </r>
  <r>
    <x v="501"/>
    <x v="41"/>
    <x v="37"/>
    <x v="49"/>
    <x v="27"/>
    <x v="48"/>
    <x v="17"/>
    <x v="103"/>
    <x v="363"/>
    <x v="41"/>
    <x v="22"/>
    <x v="17"/>
    <x v="2"/>
  </r>
  <r>
    <x v="502"/>
    <x v="59"/>
    <x v="17"/>
    <x v="49"/>
    <x v="15"/>
    <x v="26"/>
    <x v="18"/>
    <x v="34"/>
    <x v="332"/>
    <x v="26"/>
    <x v="13"/>
    <x v="17"/>
    <x v="3"/>
  </r>
  <r>
    <x v="503"/>
    <x v="76"/>
    <x v="41"/>
    <x v="49"/>
    <x v="15"/>
    <x v="52"/>
    <x v="4"/>
    <x v="8"/>
    <x v="417"/>
    <x v="31"/>
    <x v="6"/>
    <x v="15"/>
    <x v="2"/>
  </r>
  <r>
    <x v="504"/>
    <x v="70"/>
    <x v="40"/>
    <x v="49"/>
    <x v="15"/>
    <x v="46"/>
    <x v="4"/>
    <x v="9"/>
    <x v="412"/>
    <x v="31"/>
    <x v="5"/>
    <x v="7"/>
    <x v="2"/>
  </r>
  <r>
    <x v="505"/>
    <x v="73"/>
    <x v="12"/>
    <x v="49"/>
    <x v="10"/>
    <x v="37"/>
    <x v="10"/>
    <x v="15"/>
    <x v="332"/>
    <x v="10"/>
    <x v="28"/>
    <x v="18"/>
    <x v="4"/>
  </r>
  <r>
    <x v="506"/>
    <x v="71"/>
    <x v="20"/>
    <x v="49"/>
    <x v="33"/>
    <x v="56"/>
    <x v="54"/>
    <x v="75"/>
    <x v="417"/>
    <x v="42"/>
    <x v="38"/>
    <x v="29"/>
    <x v="4"/>
  </r>
  <r>
    <x v="507"/>
    <x v="29"/>
    <x v="42"/>
    <x v="24"/>
    <x v="19"/>
    <x v="54"/>
    <x v="8"/>
    <x v="32"/>
    <x v="354"/>
    <x v="59"/>
    <x v="28"/>
    <x v="15"/>
    <x v="3"/>
  </r>
  <r>
    <x v="508"/>
    <x v="64"/>
    <x v="17"/>
    <x v="49"/>
    <x v="24"/>
    <x v="57"/>
    <x v="16"/>
    <x v="41"/>
    <x v="380"/>
    <x v="24"/>
    <x v="64"/>
    <x v="28"/>
    <x v="4"/>
  </r>
  <r>
    <x v="509"/>
    <x v="26"/>
    <x v="82"/>
    <x v="24"/>
    <x v="10"/>
    <x v="71"/>
    <x v="18"/>
    <x v="96"/>
    <x v="264"/>
    <x v="38"/>
    <x v="21"/>
    <x v="10"/>
    <x v="2"/>
  </r>
  <r>
    <x v="510"/>
    <x v="3"/>
    <x v="32"/>
    <x v="24"/>
    <x v="11"/>
    <x v="23"/>
    <x v="19"/>
    <x v="44"/>
    <x v="11"/>
    <x v="82"/>
    <x v="36"/>
    <x v="63"/>
    <x v="5"/>
  </r>
  <r>
    <x v="511"/>
    <x v="55"/>
    <x v="13"/>
    <x v="49"/>
    <x v="22"/>
    <x v="22"/>
    <x v="4"/>
    <x v="7"/>
    <x v="332"/>
    <x v="17"/>
    <x v="36"/>
    <x v="26"/>
    <x v="4"/>
  </r>
  <r>
    <x v="512"/>
    <x v="43"/>
    <x v="35"/>
    <x v="49"/>
    <x v="22"/>
    <x v="47"/>
    <x v="21"/>
    <x v="69"/>
    <x v="383"/>
    <x v="47"/>
    <x v="19"/>
    <x v="16"/>
    <x v="2"/>
  </r>
  <r>
    <x v="513"/>
    <x v="19"/>
    <x v="27"/>
    <x v="49"/>
    <x v="7"/>
    <x v="33"/>
    <x v="23"/>
    <x v="135"/>
    <x v="15"/>
    <x v="24"/>
    <x v="12"/>
    <x v="39"/>
    <x v="3"/>
  </r>
  <r>
    <x v="514"/>
    <x v="52"/>
    <x v="40"/>
    <x v="58"/>
    <x v="35"/>
    <x v="57"/>
    <x v="9"/>
    <x v="37"/>
    <x v="421"/>
    <x v="41"/>
    <x v="20"/>
    <x v="4"/>
    <x v="2"/>
  </r>
  <r>
    <x v="515"/>
    <x v="32"/>
    <x v="80"/>
    <x v="17"/>
    <x v="22"/>
    <x v="59"/>
    <x v="20"/>
    <x v="32"/>
    <x v="342"/>
    <x v="52"/>
    <x v="15"/>
    <x v="12"/>
    <x v="2"/>
  </r>
  <r>
    <x v="516"/>
    <x v="42"/>
    <x v="55"/>
    <x v="41"/>
    <x v="76"/>
    <x v="49"/>
    <x v="30"/>
    <x v="102"/>
    <x v="410"/>
    <x v="39"/>
    <x v="19"/>
    <x v="10"/>
    <x v="2"/>
  </r>
  <r>
    <x v="517"/>
    <x v="77"/>
    <x v="29"/>
    <x v="51"/>
    <x v="11"/>
    <x v="22"/>
    <x v="6"/>
    <x v="18"/>
    <x v="402"/>
    <x v="16"/>
    <x v="22"/>
    <x v="10"/>
    <x v="3"/>
  </r>
  <r>
    <x v="518"/>
    <x v="72"/>
    <x v="52"/>
    <x v="58"/>
    <x v="10"/>
    <x v="34"/>
    <x v="4"/>
    <x v="12"/>
    <x v="354"/>
    <x v="21"/>
    <x v="25"/>
    <x v="20"/>
    <x v="3"/>
  </r>
  <r>
    <x v="519"/>
    <x v="38"/>
    <x v="53"/>
    <x v="18"/>
    <x v="13"/>
    <x v="41"/>
    <x v="4"/>
    <x v="24"/>
    <x v="264"/>
    <x v="32"/>
    <x v="10"/>
    <x v="17"/>
    <x v="3"/>
  </r>
  <r>
    <x v="520"/>
    <x v="80"/>
    <x v="54"/>
    <x v="45"/>
    <x v="17"/>
    <x v="45"/>
    <x v="11"/>
    <x v="16"/>
    <x v="412"/>
    <x v="12"/>
    <x v="32"/>
    <x v="10"/>
    <x v="3"/>
  </r>
  <r>
    <x v="521"/>
    <x v="35"/>
    <x v="118"/>
    <x v="27"/>
    <x v="13"/>
    <x v="51"/>
    <x v="7"/>
    <x v="17"/>
    <x v="221"/>
    <x v="38"/>
    <x v="9"/>
    <x v="20"/>
    <x v="1"/>
  </r>
  <r>
    <x v="522"/>
    <x v="84"/>
    <x v="36"/>
    <x v="52"/>
    <x v="15"/>
    <x v="34"/>
    <x v="12"/>
    <x v="29"/>
    <x v="422"/>
    <x v="22"/>
    <x v="18"/>
    <x v="4"/>
    <x v="3"/>
  </r>
  <r>
    <x v="523"/>
    <x v="30"/>
    <x v="103"/>
    <x v="0"/>
    <x v="22"/>
    <x v="44"/>
    <x v="6"/>
    <x v="8"/>
    <x v="327"/>
    <x v="42"/>
    <x v="14"/>
    <x v="10"/>
    <x v="2"/>
  </r>
  <r>
    <x v="524"/>
    <x v="36"/>
    <x v="52"/>
    <x v="13"/>
    <x v="27"/>
    <x v="59"/>
    <x v="14"/>
    <x v="57"/>
    <x v="372"/>
    <x v="29"/>
    <x v="24"/>
    <x v="6"/>
    <x v="3"/>
  </r>
  <r>
    <x v="525"/>
    <x v="36"/>
    <x v="56"/>
    <x v="13"/>
    <x v="22"/>
    <x v="48"/>
    <x v="6"/>
    <x v="18"/>
    <x v="372"/>
    <x v="43"/>
    <x v="21"/>
    <x v="7"/>
    <x v="3"/>
  </r>
  <r>
    <x v="526"/>
    <x v="47"/>
    <x v="30"/>
    <x v="48"/>
    <x v="49"/>
    <x v="35"/>
    <x v="10"/>
    <x v="14"/>
    <x v="312"/>
    <x v="46"/>
    <x v="41"/>
    <x v="47"/>
    <x v="4"/>
  </r>
  <r>
    <x v="527"/>
    <x v="41"/>
    <x v="39"/>
    <x v="41"/>
    <x v="32"/>
    <x v="55"/>
    <x v="26"/>
    <x v="46"/>
    <x v="363"/>
    <x v="43"/>
    <x v="15"/>
    <x v="26"/>
    <x v="3"/>
  </r>
  <r>
    <x v="528"/>
    <x v="54"/>
    <x v="66"/>
    <x v="37"/>
    <x v="54"/>
    <x v="73"/>
    <x v="11"/>
    <x v="59"/>
    <x v="431"/>
    <x v="44"/>
    <x v="26"/>
    <x v="25"/>
    <x v="3"/>
  </r>
  <r>
    <x v="529"/>
    <x v="16"/>
    <x v="23"/>
    <x v="19"/>
    <x v="31"/>
    <x v="38"/>
    <x v="15"/>
    <x v="33"/>
    <x v="175"/>
    <x v="68"/>
    <x v="14"/>
    <x v="52"/>
    <x v="3"/>
  </r>
  <r>
    <x v="530"/>
    <x v="41"/>
    <x v="8"/>
    <x v="54"/>
    <x v="20"/>
    <x v="46"/>
    <x v="25"/>
    <x v="51"/>
    <x v="368"/>
    <x v="51"/>
    <x v="16"/>
    <x v="7"/>
    <x v="2"/>
  </r>
  <r>
    <x v="531"/>
    <x v="84"/>
    <x v="26"/>
    <x v="55"/>
    <x v="24"/>
    <x v="44"/>
    <x v="4"/>
    <x v="10"/>
    <x v="422"/>
    <x v="10"/>
    <x v="16"/>
    <x v="11"/>
    <x v="2"/>
  </r>
  <r>
    <x v="532"/>
    <x v="28"/>
    <x v="64"/>
    <x v="0"/>
    <x v="19"/>
    <x v="40"/>
    <x v="18"/>
    <x v="23"/>
    <x v="248"/>
    <x v="44"/>
    <x v="22"/>
    <x v="20"/>
    <x v="3"/>
  </r>
  <r>
    <x v="533"/>
    <x v="35"/>
    <x v="27"/>
    <x v="38"/>
    <x v="4"/>
    <x v="21"/>
    <x v="10"/>
    <x v="23"/>
    <x v="221"/>
    <x v="38"/>
    <x v="36"/>
    <x v="17"/>
    <x v="2"/>
  </r>
  <r>
    <x v="534"/>
    <x v="45"/>
    <x v="87"/>
    <x v="18"/>
    <x v="15"/>
    <x v="99"/>
    <x v="10"/>
    <x v="97"/>
    <x v="279"/>
    <x v="2"/>
    <x v="88"/>
    <x v="23"/>
    <x v="3"/>
  </r>
  <r>
    <x v="535"/>
    <x v="49"/>
    <x v="56"/>
    <x v="50"/>
    <x v="17"/>
    <x v="42"/>
    <x v="28"/>
    <x v="65"/>
    <x v="406"/>
    <x v="62"/>
    <x v="19"/>
    <x v="16"/>
    <x v="2"/>
  </r>
  <r>
    <x v="536"/>
    <x v="68"/>
    <x v="17"/>
    <x v="51"/>
    <x v="15"/>
    <x v="42"/>
    <x v="14"/>
    <x v="22"/>
    <x v="363"/>
    <x v="15"/>
    <x v="55"/>
    <x v="17"/>
    <x v="3"/>
  </r>
  <r>
    <x v="537"/>
    <x v="67"/>
    <x v="36"/>
    <x v="50"/>
    <x v="24"/>
    <x v="85"/>
    <x v="3"/>
    <x v="11"/>
    <x v="422"/>
    <x v="25"/>
    <x v="32"/>
    <x v="23"/>
    <x v="2"/>
  </r>
  <r>
    <x v="538"/>
    <x v="66"/>
    <x v="25"/>
    <x v="41"/>
    <x v="17"/>
    <x v="51"/>
    <x v="6"/>
    <x v="10"/>
    <x v="385"/>
    <x v="21"/>
    <x v="42"/>
    <x v="10"/>
    <x v="2"/>
  </r>
  <r>
    <x v="539"/>
    <x v="36"/>
    <x v="45"/>
    <x v="24"/>
    <x v="33"/>
    <x v="39"/>
    <x v="16"/>
    <x v="105"/>
    <x v="332"/>
    <x v="39"/>
    <x v="23"/>
    <x v="11"/>
    <x v="2"/>
  </r>
  <r>
    <x v="540"/>
    <x v="35"/>
    <x v="48"/>
    <x v="23"/>
    <x v="33"/>
    <x v="41"/>
    <x v="14"/>
    <x v="98"/>
    <x v="332"/>
    <x v="40"/>
    <x v="24"/>
    <x v="11"/>
    <x v="2"/>
  </r>
  <r>
    <x v="541"/>
    <x v="53"/>
    <x v="52"/>
    <x v="22"/>
    <x v="10"/>
    <x v="43"/>
    <x v="9"/>
    <x v="26"/>
    <x v="320"/>
    <x v="25"/>
    <x v="17"/>
    <x v="12"/>
    <x v="2"/>
  </r>
  <r>
    <x v="542"/>
    <x v="32"/>
    <x v="42"/>
    <x v="25"/>
    <x v="27"/>
    <x v="40"/>
    <x v="21"/>
    <x v="39"/>
    <x v="320"/>
    <x v="61"/>
    <x v="58"/>
    <x v="46"/>
    <x v="3"/>
  </r>
  <r>
    <x v="543"/>
    <x v="21"/>
    <x v="74"/>
    <x v="0"/>
    <x v="59"/>
    <x v="87"/>
    <x v="21"/>
    <x v="52"/>
    <x v="406"/>
    <x v="58"/>
    <x v="34"/>
    <x v="23"/>
    <x v="2"/>
  </r>
  <r>
    <x v="544"/>
    <x v="41"/>
    <x v="56"/>
    <x v="29"/>
    <x v="15"/>
    <x v="61"/>
    <x v="4"/>
    <x v="9"/>
    <x v="385"/>
    <x v="48"/>
    <x v="11"/>
    <x v="6"/>
    <x v="2"/>
  </r>
  <r>
    <x v="545"/>
    <x v="40"/>
    <x v="45"/>
    <x v="26"/>
    <x v="20"/>
    <x v="60"/>
    <x v="7"/>
    <x v="25"/>
    <x v="332"/>
    <x v="39"/>
    <x v="22"/>
    <x v="10"/>
    <x v="3"/>
  </r>
  <r>
    <x v="546"/>
    <x v="29"/>
    <x v="73"/>
    <x v="23"/>
    <x v="17"/>
    <x v="74"/>
    <x v="20"/>
    <x v="79"/>
    <x v="239"/>
    <x v="33"/>
    <x v="23"/>
    <x v="10"/>
    <x v="2"/>
  </r>
  <r>
    <x v="547"/>
    <x v="57"/>
    <x v="12"/>
    <x v="54"/>
    <x v="24"/>
    <x v="68"/>
    <x v="4"/>
    <x v="13"/>
    <x v="385"/>
    <x v="37"/>
    <x v="25"/>
    <x v="12"/>
    <x v="2"/>
  </r>
  <r>
    <x v="548"/>
    <x v="29"/>
    <x v="30"/>
    <x v="14"/>
    <x v="29"/>
    <x v="50"/>
    <x v="21"/>
    <x v="37"/>
    <x v="239"/>
    <x v="44"/>
    <x v="19"/>
    <x v="26"/>
    <x v="3"/>
  </r>
  <r>
    <x v="549"/>
    <x v="54"/>
    <x v="120"/>
    <x v="22"/>
    <x v="33"/>
    <x v="68"/>
    <x v="11"/>
    <x v="81"/>
    <x v="424"/>
    <x v="55"/>
    <x v="26"/>
    <x v="37"/>
    <x v="1"/>
  </r>
  <r>
    <x v="550"/>
    <x v="32"/>
    <x v="22"/>
    <x v="21"/>
    <x v="10"/>
    <x v="36"/>
    <x v="47"/>
    <x v="96"/>
    <x v="239"/>
    <x v="39"/>
    <x v="20"/>
    <x v="12"/>
    <x v="2"/>
  </r>
  <r>
    <x v="551"/>
    <x v="40"/>
    <x v="104"/>
    <x v="0"/>
    <x v="3"/>
    <x v="28"/>
    <x v="24"/>
    <x v="27"/>
    <x v="157"/>
    <x v="39"/>
    <x v="17"/>
    <x v="16"/>
    <x v="2"/>
  </r>
  <r>
    <x v="552"/>
    <x v="49"/>
    <x v="112"/>
    <x v="28"/>
    <x v="19"/>
    <x v="49"/>
    <x v="30"/>
    <x v="133"/>
    <x v="350"/>
    <x v="36"/>
    <x v="15"/>
    <x v="11"/>
    <x v="2"/>
  </r>
  <r>
    <x v="553"/>
    <x v="48"/>
    <x v="113"/>
    <x v="27"/>
    <x v="17"/>
    <x v="47"/>
    <x v="31"/>
    <x v="132"/>
    <x v="342"/>
    <x v="36"/>
    <x v="15"/>
    <x v="11"/>
    <x v="2"/>
  </r>
  <r>
    <x v="554"/>
    <x v="30"/>
    <x v="118"/>
    <x v="12"/>
    <x v="15"/>
    <x v="95"/>
    <x v="7"/>
    <x v="17"/>
    <x v="239"/>
    <x v="47"/>
    <x v="27"/>
    <x v="23"/>
    <x v="4"/>
  </r>
  <r>
    <x v="555"/>
    <x v="42"/>
    <x v="13"/>
    <x v="35"/>
    <x v="10"/>
    <x v="30"/>
    <x v="25"/>
    <x v="51"/>
    <x v="287"/>
    <x v="30"/>
    <x v="88"/>
    <x v="24"/>
    <x v="3"/>
  </r>
  <r>
    <x v="556"/>
    <x v="52"/>
    <x v="45"/>
    <x v="45"/>
    <x v="17"/>
    <x v="34"/>
    <x v="16"/>
    <x v="34"/>
    <x v="391"/>
    <x v="51"/>
    <x v="24"/>
    <x v="11"/>
    <x v="2"/>
  </r>
  <r>
    <x v="557"/>
    <x v="48"/>
    <x v="54"/>
    <x v="44"/>
    <x v="17"/>
    <x v="34"/>
    <x v="21"/>
    <x v="62"/>
    <x v="395"/>
    <x v="58"/>
    <x v="25"/>
    <x v="12"/>
    <x v="2"/>
  </r>
  <r>
    <x v="558"/>
    <x v="31"/>
    <x v="64"/>
    <x v="10"/>
    <x v="63"/>
    <x v="78"/>
    <x v="4"/>
    <x v="5"/>
    <x v="372"/>
    <x v="49"/>
    <x v="31"/>
    <x v="22"/>
    <x v="4"/>
  </r>
  <r>
    <x v="559"/>
    <x v="26"/>
    <x v="70"/>
    <x v="5"/>
    <x v="36"/>
    <x v="70"/>
    <x v="6"/>
    <x v="14"/>
    <x v="303"/>
    <x v="52"/>
    <x v="25"/>
    <x v="22"/>
    <x v="2"/>
  </r>
  <r>
    <x v="560"/>
    <x v="36"/>
    <x v="105"/>
    <x v="1"/>
    <x v="15"/>
    <x v="33"/>
    <x v="4"/>
    <x v="8"/>
    <x v="264"/>
    <x v="44"/>
    <x v="20"/>
    <x v="33"/>
    <x v="1"/>
  </r>
  <r>
    <x v="561"/>
    <x v="40"/>
    <x v="39"/>
    <x v="30"/>
    <x v="25"/>
    <x v="29"/>
    <x v="10"/>
    <x v="22"/>
    <x v="239"/>
    <x v="45"/>
    <x v="29"/>
    <x v="36"/>
    <x v="4"/>
  </r>
  <r>
    <x v="562"/>
    <x v="20"/>
    <x v="32"/>
    <x v="27"/>
    <x v="79"/>
    <x v="31"/>
    <x v="24"/>
    <x v="134"/>
    <x v="113"/>
    <x v="28"/>
    <x v="19"/>
    <x v="37"/>
    <x v="3"/>
  </r>
  <r>
    <x v="563"/>
    <x v="60"/>
    <x v="33"/>
    <x v="39"/>
    <x v="15"/>
    <x v="69"/>
    <x v="8"/>
    <x v="26"/>
    <x v="380"/>
    <x v="4"/>
    <x v="12"/>
    <x v="15"/>
    <x v="2"/>
  </r>
  <r>
    <x v="564"/>
    <x v="51"/>
    <x v="112"/>
    <x v="25"/>
    <x v="20"/>
    <x v="67"/>
    <x v="35"/>
    <x v="139"/>
    <x v="424"/>
    <x v="53"/>
    <x v="29"/>
    <x v="36"/>
    <x v="2"/>
  </r>
  <r>
    <x v="565"/>
    <x v="95"/>
    <x v="23"/>
    <x v="65"/>
    <x v="74"/>
    <x v="59"/>
    <x v="22"/>
    <x v="65"/>
    <x v="332"/>
    <x v="10"/>
    <x v="46"/>
    <x v="64"/>
    <x v="2"/>
  </r>
  <r>
    <x v="566"/>
    <x v="47"/>
    <x v="20"/>
    <x v="59"/>
    <x v="25"/>
    <x v="42"/>
    <x v="9"/>
    <x v="24"/>
    <x v="332"/>
    <x v="24"/>
    <x v="16"/>
    <x v="45"/>
    <x v="3"/>
  </r>
  <r>
    <x v="567"/>
    <x v="39"/>
    <x v="37"/>
    <x v="47"/>
    <x v="19"/>
    <x v="37"/>
    <x v="7"/>
    <x v="23"/>
    <x v="350"/>
    <x v="20"/>
    <x v="8"/>
    <x v="12"/>
    <x v="2"/>
  </r>
  <r>
    <x v="568"/>
    <x v="50"/>
    <x v="47"/>
    <x v="17"/>
    <x v="27"/>
    <x v="50"/>
    <x v="20"/>
    <x v="47"/>
    <x v="421"/>
    <x v="26"/>
    <x v="23"/>
    <x v="11"/>
    <x v="2"/>
  </r>
  <r>
    <x v="569"/>
    <x v="73"/>
    <x v="41"/>
    <x v="59"/>
    <x v="3"/>
    <x v="36"/>
    <x v="23"/>
    <x v="36"/>
    <x v="354"/>
    <x v="6"/>
    <x v="30"/>
    <x v="26"/>
    <x v="4"/>
  </r>
  <r>
    <x v="570"/>
    <x v="25"/>
    <x v="43"/>
    <x v="7"/>
    <x v="3"/>
    <x v="37"/>
    <x v="4"/>
    <x v="14"/>
    <x v="312"/>
    <x v="44"/>
    <x v="43"/>
    <x v="15"/>
    <x v="3"/>
  </r>
  <r>
    <x v="571"/>
    <x v="24"/>
    <x v="104"/>
    <x v="2"/>
    <x v="47"/>
    <x v="59"/>
    <x v="4"/>
    <x v="7"/>
    <x v="287"/>
    <x v="53"/>
    <x v="19"/>
    <x v="33"/>
    <x v="1"/>
  </r>
  <r>
    <x v="572"/>
    <x v="28"/>
    <x v="32"/>
    <x v="31"/>
    <x v="5"/>
    <x v="43"/>
    <x v="15"/>
    <x v="36"/>
    <x v="342"/>
    <x v="43"/>
    <x v="26"/>
    <x v="4"/>
    <x v="2"/>
  </r>
  <r>
    <x v="573"/>
    <x v="25"/>
    <x v="50"/>
    <x v="6"/>
    <x v="5"/>
    <x v="39"/>
    <x v="9"/>
    <x v="21"/>
    <x v="303"/>
    <x v="48"/>
    <x v="32"/>
    <x v="15"/>
    <x v="3"/>
  </r>
  <r>
    <x v="574"/>
    <x v="54"/>
    <x v="12"/>
    <x v="46"/>
    <x v="9"/>
    <x v="13"/>
    <x v="4"/>
    <x v="7"/>
    <x v="320"/>
    <x v="16"/>
    <x v="41"/>
    <x v="23"/>
    <x v="3"/>
  </r>
  <r>
    <x v="575"/>
    <x v="74"/>
    <x v="29"/>
    <x v="52"/>
    <x v="11"/>
    <x v="55"/>
    <x v="15"/>
    <x v="48"/>
    <x v="412"/>
    <x v="15"/>
    <x v="28"/>
    <x v="23"/>
    <x v="2"/>
  </r>
  <r>
    <x v="576"/>
    <x v="47"/>
    <x v="54"/>
    <x v="14"/>
    <x v="11"/>
    <x v="47"/>
    <x v="25"/>
    <x v="42"/>
    <x v="358"/>
    <x v="26"/>
    <x v="18"/>
    <x v="16"/>
    <x v="2"/>
  </r>
  <r>
    <x v="577"/>
    <x v="36"/>
    <x v="40"/>
    <x v="36"/>
    <x v="9"/>
    <x v="123"/>
    <x v="6"/>
    <x v="10"/>
    <x v="354"/>
    <x v="30"/>
    <x v="22"/>
    <x v="12"/>
    <x v="3"/>
  </r>
  <r>
    <x v="578"/>
    <x v="66"/>
    <x v="21"/>
    <x v="45"/>
    <x v="11"/>
    <x v="45"/>
    <x v="6"/>
    <x v="9"/>
    <x v="385"/>
    <x v="8"/>
    <x v="28"/>
    <x v="7"/>
    <x v="3"/>
  </r>
  <r>
    <x v="579"/>
    <x v="53"/>
    <x v="82"/>
    <x v="43"/>
    <x v="17"/>
    <x v="22"/>
    <x v="15"/>
    <x v="25"/>
    <x v="256"/>
    <x v="27"/>
    <x v="19"/>
    <x v="33"/>
    <x v="2"/>
  </r>
  <r>
    <x v="580"/>
    <x v="22"/>
    <x v="29"/>
    <x v="24"/>
    <x v="20"/>
    <x v="46"/>
    <x v="30"/>
    <x v="39"/>
    <x v="199"/>
    <x v="38"/>
    <x v="20"/>
    <x v="20"/>
    <x v="2"/>
  </r>
  <r>
    <x v="581"/>
    <x v="35"/>
    <x v="82"/>
    <x v="21"/>
    <x v="7"/>
    <x v="37"/>
    <x v="4"/>
    <x v="7"/>
    <x v="271"/>
    <x v="32"/>
    <x v="14"/>
    <x v="12"/>
    <x v="2"/>
  </r>
  <r>
    <x v="582"/>
    <x v="51"/>
    <x v="140"/>
    <x v="34"/>
    <x v="11"/>
    <x v="42"/>
    <x v="32"/>
    <x v="136"/>
    <x v="354"/>
    <x v="27"/>
    <x v="15"/>
    <x v="12"/>
    <x v="2"/>
  </r>
  <r>
    <x v="583"/>
    <x v="61"/>
    <x v="29"/>
    <x v="41"/>
    <x v="15"/>
    <x v="47"/>
    <x v="7"/>
    <x v="11"/>
    <x v="372"/>
    <x v="20"/>
    <x v="29"/>
    <x v="10"/>
    <x v="3"/>
  </r>
  <r>
    <x v="584"/>
    <x v="46"/>
    <x v="30"/>
    <x v="39"/>
    <x v="15"/>
    <x v="27"/>
    <x v="12"/>
    <x v="25"/>
    <x v="372"/>
    <x v="38"/>
    <x v="27"/>
    <x v="23"/>
    <x v="2"/>
  </r>
  <r>
    <x v="585"/>
    <x v="39"/>
    <x v="96"/>
    <x v="11"/>
    <x v="17"/>
    <x v="47"/>
    <x v="12"/>
    <x v="25"/>
    <x v="350"/>
    <x v="52"/>
    <x v="10"/>
    <x v="18"/>
    <x v="2"/>
  </r>
  <r>
    <x v="586"/>
    <x v="36"/>
    <x v="92"/>
    <x v="10"/>
    <x v="22"/>
    <x v="44"/>
    <x v="46"/>
    <x v="82"/>
    <x v="368"/>
    <x v="60"/>
    <x v="15"/>
    <x v="20"/>
    <x v="2"/>
  </r>
  <r>
    <x v="587"/>
    <x v="61"/>
    <x v="10"/>
    <x v="45"/>
    <x v="32"/>
    <x v="23"/>
    <x v="20"/>
    <x v="43"/>
    <x v="303"/>
    <x v="25"/>
    <x v="16"/>
    <x v="15"/>
    <x v="2"/>
  </r>
  <r>
    <x v="588"/>
    <x v="85"/>
    <x v="33"/>
    <x v="58"/>
    <x v="10"/>
    <x v="33"/>
    <x v="15"/>
    <x v="34"/>
    <x v="421"/>
    <x v="18"/>
    <x v="11"/>
    <x v="4"/>
    <x v="2"/>
  </r>
  <r>
    <x v="589"/>
    <x v="33"/>
    <x v="35"/>
    <x v="23"/>
    <x v="15"/>
    <x v="57"/>
    <x v="16"/>
    <x v="23"/>
    <x v="221"/>
    <x v="33"/>
    <x v="11"/>
    <x v="23"/>
    <x v="3"/>
  </r>
  <r>
    <x v="590"/>
    <x v="38"/>
    <x v="36"/>
    <x v="31"/>
    <x v="16"/>
    <x v="41"/>
    <x v="32"/>
    <x v="52"/>
    <x v="354"/>
    <x v="45"/>
    <x v="16"/>
    <x v="17"/>
    <x v="2"/>
  </r>
  <r>
    <x v="591"/>
    <x v="34"/>
    <x v="92"/>
    <x v="23"/>
    <x v="22"/>
    <x v="22"/>
    <x v="4"/>
    <x v="9"/>
    <x v="287"/>
    <x v="49"/>
    <x v="18"/>
    <x v="37"/>
    <x v="2"/>
  </r>
  <r>
    <x v="592"/>
    <x v="51"/>
    <x v="126"/>
    <x v="32"/>
    <x v="17"/>
    <x v="41"/>
    <x v="35"/>
    <x v="137"/>
    <x v="354"/>
    <x v="37"/>
    <x v="10"/>
    <x v="11"/>
    <x v="2"/>
  </r>
  <r>
    <x v="593"/>
    <x v="24"/>
    <x v="66"/>
    <x v="18"/>
    <x v="9"/>
    <x v="33"/>
    <x v="13"/>
    <x v="34"/>
    <x v="287"/>
    <x v="56"/>
    <x v="22"/>
    <x v="6"/>
    <x v="2"/>
  </r>
  <r>
    <x v="594"/>
    <x v="44"/>
    <x v="64"/>
    <x v="23"/>
    <x v="30"/>
    <x v="58"/>
    <x v="13"/>
    <x v="32"/>
    <x v="410"/>
    <x v="40"/>
    <x v="21"/>
    <x v="16"/>
    <x v="2"/>
  </r>
  <r>
    <x v="595"/>
    <x v="30"/>
    <x v="68"/>
    <x v="4"/>
    <x v="5"/>
    <x v="3"/>
    <x v="3"/>
    <x v="3"/>
    <x v="221"/>
    <x v="52"/>
    <x v="9"/>
    <x v="11"/>
    <x v="2"/>
  </r>
  <r>
    <x v="596"/>
    <x v="34"/>
    <x v="26"/>
    <x v="48"/>
    <x v="9"/>
    <x v="102"/>
    <x v="4"/>
    <x v="11"/>
    <x v="332"/>
    <x v="42"/>
    <x v="67"/>
    <x v="11"/>
    <x v="2"/>
  </r>
  <r>
    <x v="597"/>
    <x v="27"/>
    <x v="139"/>
    <x v="0"/>
    <x v="45"/>
    <x v="60"/>
    <x v="4"/>
    <x v="8"/>
    <x v="256"/>
    <x v="75"/>
    <x v="16"/>
    <x v="29"/>
    <x v="0"/>
  </r>
  <r>
    <x v="598"/>
    <x v="45"/>
    <x v="119"/>
    <x v="24"/>
    <x v="22"/>
    <x v="50"/>
    <x v="12"/>
    <x v="88"/>
    <x v="410"/>
    <x v="60"/>
    <x v="16"/>
    <x v="17"/>
    <x v="2"/>
  </r>
  <r>
    <x v="599"/>
    <x v="39"/>
    <x v="40"/>
    <x v="51"/>
    <x v="11"/>
    <x v="148"/>
    <x v="16"/>
    <x v="56"/>
    <x v="350"/>
    <x v="15"/>
    <x v="79"/>
    <x v="4"/>
    <x v="2"/>
  </r>
  <r>
    <x v="600"/>
    <x v="43"/>
    <x v="39"/>
    <x v="32"/>
    <x v="25"/>
    <x v="47"/>
    <x v="21"/>
    <x v="113"/>
    <x v="372"/>
    <x v="44"/>
    <x v="24"/>
    <x v="11"/>
    <x v="2"/>
  </r>
  <r>
    <x v="601"/>
    <x v="43"/>
    <x v="37"/>
    <x v="31"/>
    <x v="24"/>
    <x v="47"/>
    <x v="24"/>
    <x v="115"/>
    <x v="372"/>
    <x v="43"/>
    <x v="23"/>
    <x v="11"/>
    <x v="2"/>
  </r>
  <r>
    <x v="602"/>
    <x v="4"/>
    <x v="37"/>
    <x v="2"/>
    <x v="2"/>
    <x v="1"/>
    <x v="18"/>
    <x v="38"/>
    <x v="14"/>
    <x v="87"/>
    <x v="24"/>
    <x v="53"/>
    <x v="3"/>
  </r>
  <r>
    <x v="603"/>
    <x v="23"/>
    <x v="66"/>
    <x v="2"/>
    <x v="13"/>
    <x v="29"/>
    <x v="8"/>
    <x v="19"/>
    <x v="303"/>
    <x v="59"/>
    <x v="29"/>
    <x v="12"/>
    <x v="3"/>
  </r>
  <r>
    <x v="604"/>
    <x v="47"/>
    <x v="59"/>
    <x v="28"/>
    <x v="31"/>
    <x v="50"/>
    <x v="18"/>
    <x v="66"/>
    <x v="414"/>
    <x v="43"/>
    <x v="15"/>
    <x v="16"/>
    <x v="2"/>
  </r>
  <r>
    <x v="605"/>
    <x v="71"/>
    <x v="26"/>
    <x v="55"/>
    <x v="13"/>
    <x v="34"/>
    <x v="4"/>
    <x v="13"/>
    <x v="380"/>
    <x v="23"/>
    <x v="24"/>
    <x v="31"/>
    <x v="3"/>
  </r>
  <r>
    <x v="606"/>
    <x v="59"/>
    <x v="130"/>
    <x v="43"/>
    <x v="27"/>
    <x v="39"/>
    <x v="26"/>
    <x v="83"/>
    <x v="372"/>
    <x v="20"/>
    <x v="19"/>
    <x v="22"/>
    <x v="3"/>
  </r>
  <r>
    <x v="607"/>
    <x v="23"/>
    <x v="64"/>
    <x v="2"/>
    <x v="13"/>
    <x v="30"/>
    <x v="9"/>
    <x v="17"/>
    <x v="287"/>
    <x v="59"/>
    <x v="29"/>
    <x v="11"/>
    <x v="3"/>
  </r>
  <r>
    <x v="608"/>
    <x v="28"/>
    <x v="26"/>
    <x v="48"/>
    <x v="22"/>
    <x v="36"/>
    <x v="22"/>
    <x v="79"/>
    <x v="303"/>
    <x v="44"/>
    <x v="32"/>
    <x v="15"/>
    <x v="1"/>
  </r>
  <r>
    <x v="609"/>
    <x v="44"/>
    <x v="89"/>
    <x v="4"/>
    <x v="5"/>
    <x v="41"/>
    <x v="3"/>
    <x v="8"/>
    <x v="354"/>
    <x v="41"/>
    <x v="16"/>
    <x v="16"/>
    <x v="1"/>
  </r>
  <r>
    <x v="610"/>
    <x v="37"/>
    <x v="132"/>
    <x v="15"/>
    <x v="63"/>
    <x v="36"/>
    <x v="11"/>
    <x v="48"/>
    <x v="389"/>
    <x v="49"/>
    <x v="11"/>
    <x v="18"/>
    <x v="2"/>
  </r>
  <r>
    <x v="611"/>
    <x v="23"/>
    <x v="92"/>
    <x v="8"/>
    <x v="11"/>
    <x v="56"/>
    <x v="10"/>
    <x v="13"/>
    <x v="175"/>
    <x v="52"/>
    <x v="9"/>
    <x v="20"/>
    <x v="2"/>
  </r>
  <r>
    <x v="612"/>
    <x v="27"/>
    <x v="40"/>
    <x v="19"/>
    <x v="29"/>
    <x v="40"/>
    <x v="16"/>
    <x v="31"/>
    <x v="256"/>
    <x v="49"/>
    <x v="13"/>
    <x v="26"/>
    <x v="2"/>
  </r>
  <r>
    <x v="613"/>
    <x v="31"/>
    <x v="46"/>
    <x v="12"/>
    <x v="20"/>
    <x v="31"/>
    <x v="11"/>
    <x v="29"/>
    <x v="206"/>
    <x v="46"/>
    <x v="23"/>
    <x v="40"/>
    <x v="3"/>
  </r>
  <r>
    <x v="614"/>
    <x v="50"/>
    <x v="17"/>
    <x v="47"/>
    <x v="5"/>
    <x v="25"/>
    <x v="13"/>
    <x v="27"/>
    <x v="368"/>
    <x v="39"/>
    <x v="28"/>
    <x v="20"/>
    <x v="3"/>
  </r>
  <r>
    <x v="615"/>
    <x v="59"/>
    <x v="131"/>
    <x v="43"/>
    <x v="25"/>
    <x v="43"/>
    <x v="21"/>
    <x v="79"/>
    <x v="375"/>
    <x v="18"/>
    <x v="19"/>
    <x v="22"/>
    <x v="2"/>
  </r>
  <r>
    <x v="616"/>
    <x v="42"/>
    <x v="49"/>
    <x v="34"/>
    <x v="29"/>
    <x v="56"/>
    <x v="16"/>
    <x v="105"/>
    <x v="410"/>
    <x v="50"/>
    <x v="23"/>
    <x v="12"/>
    <x v="2"/>
  </r>
  <r>
    <x v="617"/>
    <x v="40"/>
    <x v="74"/>
    <x v="0"/>
    <x v="31"/>
    <x v="47"/>
    <x v="13"/>
    <x v="27"/>
    <x v="395"/>
    <x v="48"/>
    <x v="7"/>
    <x v="11"/>
    <x v="2"/>
  </r>
  <r>
    <x v="618"/>
    <x v="33"/>
    <x v="33"/>
    <x v="36"/>
    <x v="17"/>
    <x v="38"/>
    <x v="10"/>
    <x v="42"/>
    <x v="332"/>
    <x v="46"/>
    <x v="8"/>
    <x v="11"/>
    <x v="2"/>
  </r>
  <r>
    <x v="619"/>
    <x v="52"/>
    <x v="84"/>
    <x v="28"/>
    <x v="22"/>
    <x v="41"/>
    <x v="21"/>
    <x v="71"/>
    <x v="354"/>
    <x v="40"/>
    <x v="13"/>
    <x v="17"/>
    <x v="2"/>
  </r>
  <r>
    <x v="620"/>
    <x v="25"/>
    <x v="40"/>
    <x v="18"/>
    <x v="24"/>
    <x v="32"/>
    <x v="13"/>
    <x v="28"/>
    <x v="264"/>
    <x v="41"/>
    <x v="10"/>
    <x v="7"/>
    <x v="3"/>
  </r>
  <r>
    <x v="621"/>
    <x v="29"/>
    <x v="36"/>
    <x v="11"/>
    <x v="22"/>
    <x v="42"/>
    <x v="12"/>
    <x v="43"/>
    <x v="271"/>
    <x v="33"/>
    <x v="19"/>
    <x v="20"/>
    <x v="2"/>
  </r>
  <r>
    <x v="622"/>
    <x v="37"/>
    <x v="48"/>
    <x v="4"/>
    <x v="11"/>
    <x v="45"/>
    <x v="10"/>
    <x v="16"/>
    <x v="332"/>
    <x v="34"/>
    <x v="6"/>
    <x v="15"/>
    <x v="2"/>
  </r>
  <r>
    <x v="623"/>
    <x v="24"/>
    <x v="68"/>
    <x v="0"/>
    <x v="41"/>
    <x v="49"/>
    <x v="17"/>
    <x v="39"/>
    <x v="332"/>
    <x v="58"/>
    <x v="16"/>
    <x v="12"/>
    <x v="2"/>
  </r>
  <r>
    <x v="624"/>
    <x v="42"/>
    <x v="39"/>
    <x v="24"/>
    <x v="26"/>
    <x v="57"/>
    <x v="35"/>
    <x v="100"/>
    <x v="363"/>
    <x v="22"/>
    <x v="15"/>
    <x v="7"/>
    <x v="2"/>
  </r>
  <r>
    <x v="625"/>
    <x v="29"/>
    <x v="32"/>
    <x v="8"/>
    <x v="24"/>
    <x v="47"/>
    <x v="15"/>
    <x v="42"/>
    <x v="271"/>
    <x v="33"/>
    <x v="21"/>
    <x v="20"/>
    <x v="2"/>
  </r>
  <r>
    <x v="626"/>
    <x v="24"/>
    <x v="17"/>
    <x v="30"/>
    <x v="15"/>
    <x v="16"/>
    <x v="36"/>
    <x v="117"/>
    <x v="248"/>
    <x v="8"/>
    <x v="92"/>
    <x v="12"/>
    <x v="2"/>
  </r>
  <r>
    <x v="627"/>
    <x v="28"/>
    <x v="136"/>
    <x v="10"/>
    <x v="30"/>
    <x v="49"/>
    <x v="4"/>
    <x v="6"/>
    <x v="190"/>
    <x v="66"/>
    <x v="22"/>
    <x v="36"/>
    <x v="1"/>
  </r>
  <r>
    <x v="628"/>
    <x v="43"/>
    <x v="68"/>
    <x v="17"/>
    <x v="29"/>
    <x v="40"/>
    <x v="4"/>
    <x v="7"/>
    <x v="332"/>
    <x v="41"/>
    <x v="17"/>
    <x v="25"/>
    <x v="2"/>
  </r>
  <r>
    <x v="629"/>
    <x v="34"/>
    <x v="80"/>
    <x v="9"/>
    <x v="25"/>
    <x v="47"/>
    <x v="18"/>
    <x v="43"/>
    <x v="402"/>
    <x v="55"/>
    <x v="34"/>
    <x v="35"/>
    <x v="3"/>
  </r>
  <r>
    <x v="630"/>
    <x v="17"/>
    <x v="50"/>
    <x v="2"/>
    <x v="9"/>
    <x v="30"/>
    <x v="3"/>
    <x v="5"/>
    <x v="287"/>
    <x v="58"/>
    <x v="30"/>
    <x v="12"/>
    <x v="2"/>
  </r>
  <r>
    <x v="631"/>
    <x v="17"/>
    <x v="109"/>
    <x v="3"/>
    <x v="31"/>
    <x v="34"/>
    <x v="27"/>
    <x v="52"/>
    <x v="127"/>
    <x v="73"/>
    <x v="11"/>
    <x v="52"/>
    <x v="3"/>
  </r>
  <r>
    <x v="632"/>
    <x v="48"/>
    <x v="47"/>
    <x v="66"/>
    <x v="17"/>
    <x v="142"/>
    <x v="12"/>
    <x v="31"/>
    <x v="363"/>
    <x v="29"/>
    <x v="29"/>
    <x v="15"/>
    <x v="2"/>
  </r>
  <r>
    <x v="633"/>
    <x v="42"/>
    <x v="111"/>
    <x v="13"/>
    <x v="34"/>
    <x v="51"/>
    <x v="3"/>
    <x v="8"/>
    <x v="402"/>
    <x v="56"/>
    <x v="14"/>
    <x v="39"/>
    <x v="2"/>
  </r>
  <r>
    <x v="634"/>
    <x v="26"/>
    <x v="103"/>
    <x v="3"/>
    <x v="13"/>
    <x v="55"/>
    <x v="10"/>
    <x v="13"/>
    <x v="256"/>
    <x v="51"/>
    <x v="9"/>
    <x v="15"/>
    <x v="2"/>
  </r>
  <r>
    <x v="635"/>
    <x v="23"/>
    <x v="35"/>
    <x v="34"/>
    <x v="24"/>
    <x v="45"/>
    <x v="16"/>
    <x v="66"/>
    <x v="354"/>
    <x v="67"/>
    <x v="22"/>
    <x v="12"/>
    <x v="2"/>
  </r>
  <r>
    <x v="636"/>
    <x v="30"/>
    <x v="48"/>
    <x v="20"/>
    <x v="11"/>
    <x v="38"/>
    <x v="9"/>
    <x v="33"/>
    <x v="383"/>
    <x v="60"/>
    <x v="24"/>
    <x v="10"/>
    <x v="2"/>
  </r>
  <r>
    <x v="637"/>
    <x v="30"/>
    <x v="124"/>
    <x v="10"/>
    <x v="13"/>
    <x v="75"/>
    <x v="11"/>
    <x v="16"/>
    <x v="230"/>
    <x v="38"/>
    <x v="12"/>
    <x v="12"/>
    <x v="2"/>
  </r>
  <r>
    <x v="638"/>
    <x v="35"/>
    <x v="54"/>
    <x v="0"/>
    <x v="20"/>
    <x v="56"/>
    <x v="19"/>
    <x v="52"/>
    <x v="417"/>
    <x v="62"/>
    <x v="27"/>
    <x v="10"/>
    <x v="3"/>
  </r>
  <r>
    <x v="639"/>
    <x v="43"/>
    <x v="36"/>
    <x v="23"/>
    <x v="25"/>
    <x v="55"/>
    <x v="28"/>
    <x v="98"/>
    <x v="368"/>
    <x v="22"/>
    <x v="18"/>
    <x v="7"/>
    <x v="2"/>
  </r>
  <r>
    <x v="640"/>
    <x v="43"/>
    <x v="74"/>
    <x v="0"/>
    <x v="19"/>
    <x v="51"/>
    <x v="19"/>
    <x v="32"/>
    <x v="389"/>
    <x v="47"/>
    <x v="22"/>
    <x v="10"/>
    <x v="2"/>
  </r>
  <r>
    <x v="641"/>
    <x v="36"/>
    <x v="88"/>
    <x v="29"/>
    <x v="44"/>
    <x v="38"/>
    <x v="12"/>
    <x v="10"/>
    <x v="248"/>
    <x v="57"/>
    <x v="30"/>
    <x v="39"/>
    <x v="3"/>
  </r>
  <r>
    <x v="642"/>
    <x v="45"/>
    <x v="44"/>
    <x v="24"/>
    <x v="22"/>
    <x v="41"/>
    <x v="28"/>
    <x v="126"/>
    <x v="349"/>
    <x v="33"/>
    <x v="19"/>
    <x v="12"/>
    <x v="2"/>
  </r>
  <r>
    <x v="643"/>
    <x v="18"/>
    <x v="59"/>
    <x v="0"/>
    <x v="10"/>
    <x v="28"/>
    <x v="9"/>
    <x v="12"/>
    <x v="303"/>
    <x v="58"/>
    <x v="27"/>
    <x v="7"/>
    <x v="2"/>
  </r>
  <r>
    <x v="644"/>
    <x v="69"/>
    <x v="30"/>
    <x v="58"/>
    <x v="25"/>
    <x v="59"/>
    <x v="25"/>
    <x v="95"/>
    <x v="418"/>
    <x v="25"/>
    <x v="15"/>
    <x v="20"/>
    <x v="2"/>
  </r>
  <r>
    <x v="645"/>
    <x v="64"/>
    <x v="27"/>
    <x v="54"/>
    <x v="24"/>
    <x v="58"/>
    <x v="21"/>
    <x v="95"/>
    <x v="414"/>
    <x v="25"/>
    <x v="13"/>
    <x v="12"/>
    <x v="2"/>
  </r>
  <r>
    <x v="646"/>
    <x v="26"/>
    <x v="42"/>
    <x v="18"/>
    <x v="13"/>
    <x v="33"/>
    <x v="12"/>
    <x v="22"/>
    <x v="336"/>
    <x v="64"/>
    <x v="35"/>
    <x v="12"/>
    <x v="3"/>
  </r>
  <r>
    <x v="647"/>
    <x v="35"/>
    <x v="21"/>
    <x v="38"/>
    <x v="20"/>
    <x v="43"/>
    <x v="12"/>
    <x v="51"/>
    <x v="342"/>
    <x v="42"/>
    <x v="9"/>
    <x v="4"/>
    <x v="3"/>
  </r>
  <r>
    <x v="648"/>
    <x v="39"/>
    <x v="20"/>
    <x v="40"/>
    <x v="22"/>
    <x v="46"/>
    <x v="16"/>
    <x v="62"/>
    <x v="343"/>
    <x v="42"/>
    <x v="10"/>
    <x v="11"/>
    <x v="2"/>
  </r>
  <r>
    <x v="649"/>
    <x v="25"/>
    <x v="41"/>
    <x v="18"/>
    <x v="13"/>
    <x v="34"/>
    <x v="12"/>
    <x v="25"/>
    <x v="333"/>
    <x v="64"/>
    <x v="34"/>
    <x v="15"/>
    <x v="3"/>
  </r>
  <r>
    <x v="650"/>
    <x v="36"/>
    <x v="66"/>
    <x v="10"/>
    <x v="27"/>
    <x v="52"/>
    <x v="17"/>
    <x v="34"/>
    <x v="356"/>
    <x v="41"/>
    <x v="17"/>
    <x v="12"/>
    <x v="2"/>
  </r>
  <r>
    <x v="651"/>
    <x v="29"/>
    <x v="45"/>
    <x v="13"/>
    <x v="20"/>
    <x v="60"/>
    <x v="24"/>
    <x v="60"/>
    <x v="346"/>
    <x v="51"/>
    <x v="23"/>
    <x v="11"/>
    <x v="2"/>
  </r>
  <r>
    <x v="652"/>
    <x v="31"/>
    <x v="39"/>
    <x v="68"/>
    <x v="7"/>
    <x v="147"/>
    <x v="14"/>
    <x v="26"/>
    <x v="253"/>
    <x v="21"/>
    <x v="68"/>
    <x v="6"/>
    <x v="3"/>
  </r>
  <r>
    <x v="653"/>
    <x v="31"/>
    <x v="117"/>
    <x v="7"/>
    <x v="10"/>
    <x v="21"/>
    <x v="22"/>
    <x v="41"/>
    <x v="146"/>
    <x v="63"/>
    <x v="5"/>
    <x v="29"/>
    <x v="3"/>
  </r>
  <r>
    <x v="654"/>
    <x v="16"/>
    <x v="126"/>
    <x v="1"/>
    <x v="11"/>
    <x v="20"/>
    <x v="15"/>
    <x v="27"/>
    <x v="117"/>
    <x v="72"/>
    <x v="8"/>
    <x v="36"/>
    <x v="3"/>
  </r>
  <r>
    <x v="655"/>
    <x v="34"/>
    <x v="110"/>
    <x v="0"/>
    <x v="15"/>
    <x v="47"/>
    <x v="10"/>
    <x v="25"/>
    <x v="253"/>
    <x v="37"/>
    <x v="12"/>
    <x v="17"/>
    <x v="2"/>
  </r>
  <r>
    <x v="656"/>
    <x v="41"/>
    <x v="32"/>
    <x v="21"/>
    <x v="20"/>
    <x v="55"/>
    <x v="33"/>
    <x v="83"/>
    <x v="365"/>
    <x v="31"/>
    <x v="14"/>
    <x v="7"/>
    <x v="2"/>
  </r>
  <r>
    <x v="657"/>
    <x v="43"/>
    <x v="52"/>
    <x v="25"/>
    <x v="25"/>
    <x v="38"/>
    <x v="9"/>
    <x v="98"/>
    <x v="341"/>
    <x v="35"/>
    <x v="19"/>
    <x v="16"/>
    <x v="2"/>
  </r>
  <r>
    <x v="658"/>
    <x v="46"/>
    <x v="67"/>
    <x v="26"/>
    <x v="11"/>
    <x v="59"/>
    <x v="4"/>
    <x v="29"/>
    <x v="318"/>
    <x v="37"/>
    <x v="4"/>
    <x v="15"/>
    <x v="2"/>
  </r>
  <r>
    <x v="659"/>
    <x v="41"/>
    <x v="76"/>
    <x v="0"/>
    <x v="7"/>
    <x v="32"/>
    <x v="8"/>
    <x v="13"/>
    <x v="288"/>
    <x v="43"/>
    <x v="15"/>
    <x v="20"/>
    <x v="3"/>
  </r>
  <r>
    <x v="660"/>
    <x v="44"/>
    <x v="72"/>
    <x v="11"/>
    <x v="25"/>
    <x v="56"/>
    <x v="11"/>
    <x v="38"/>
    <x v="386"/>
    <x v="43"/>
    <x v="17"/>
    <x v="12"/>
    <x v="3"/>
  </r>
  <r>
    <x v="661"/>
    <x v="45"/>
    <x v="70"/>
    <x v="10"/>
    <x v="29"/>
    <x v="54"/>
    <x v="12"/>
    <x v="42"/>
    <x v="386"/>
    <x v="43"/>
    <x v="16"/>
    <x v="12"/>
    <x v="3"/>
  </r>
  <r>
    <x v="662"/>
    <x v="41"/>
    <x v="54"/>
    <x v="18"/>
    <x v="27"/>
    <x v="52"/>
    <x v="12"/>
    <x v="68"/>
    <x v="318"/>
    <x v="26"/>
    <x v="16"/>
    <x v="11"/>
    <x v="2"/>
  </r>
  <r>
    <x v="663"/>
    <x v="28"/>
    <x v="56"/>
    <x v="32"/>
    <x v="24"/>
    <x v="66"/>
    <x v="13"/>
    <x v="92"/>
    <x v="400"/>
    <x v="57"/>
    <x v="24"/>
    <x v="12"/>
    <x v="2"/>
  </r>
  <r>
    <x v="664"/>
    <x v="24"/>
    <x v="54"/>
    <x v="2"/>
    <x v="17"/>
    <x v="45"/>
    <x v="24"/>
    <x v="89"/>
    <x v="322"/>
    <x v="67"/>
    <x v="15"/>
    <x v="16"/>
    <x v="3"/>
  </r>
  <r>
    <x v="665"/>
    <x v="32"/>
    <x v="80"/>
    <x v="1"/>
    <x v="10"/>
    <x v="39"/>
    <x v="7"/>
    <x v="26"/>
    <x v="262"/>
    <x v="51"/>
    <x v="16"/>
    <x v="15"/>
    <x v="2"/>
  </r>
  <r>
    <x v="666"/>
    <x v="47"/>
    <x v="73"/>
    <x v="26"/>
    <x v="19"/>
    <x v="45"/>
    <x v="23"/>
    <x v="130"/>
    <x v="342"/>
    <x v="40"/>
    <x v="17"/>
    <x v="11"/>
    <x v="2"/>
  </r>
  <r>
    <x v="667"/>
    <x v="48"/>
    <x v="50"/>
    <x v="27"/>
    <x v="17"/>
    <x v="45"/>
    <x v="23"/>
    <x v="131"/>
    <x v="343"/>
    <x v="39"/>
    <x v="17"/>
    <x v="11"/>
    <x v="2"/>
  </r>
  <r>
    <x v="668"/>
    <x v="32"/>
    <x v="29"/>
    <x v="29"/>
    <x v="9"/>
    <x v="102"/>
    <x v="0"/>
    <x v="38"/>
    <x v="312"/>
    <x v="42"/>
    <x v="54"/>
    <x v="12"/>
    <x v="3"/>
  </r>
  <r>
    <x v="669"/>
    <x v="32"/>
    <x v="29"/>
    <x v="30"/>
    <x v="9"/>
    <x v="102"/>
    <x v="1"/>
    <x v="39"/>
    <x v="309"/>
    <x v="43"/>
    <x v="53"/>
    <x v="12"/>
    <x v="3"/>
  </r>
  <r>
    <x v="670"/>
    <x v="25"/>
    <x v="127"/>
    <x v="0"/>
    <x v="29"/>
    <x v="65"/>
    <x v="7"/>
    <x v="10"/>
    <x v="195"/>
    <x v="55"/>
    <x v="8"/>
    <x v="20"/>
    <x v="2"/>
  </r>
  <r>
    <x v="671"/>
    <x v="22"/>
    <x v="89"/>
    <x v="18"/>
    <x v="19"/>
    <x v="129"/>
    <x v="5"/>
    <x v="42"/>
    <x v="214"/>
    <x v="52"/>
    <x v="22"/>
    <x v="24"/>
    <x v="3"/>
  </r>
  <r>
    <x v="672"/>
    <x v="22"/>
    <x v="63"/>
    <x v="17"/>
    <x v="19"/>
    <x v="128"/>
    <x v="6"/>
    <x v="12"/>
    <x v="213"/>
    <x v="52"/>
    <x v="21"/>
    <x v="24"/>
    <x v="3"/>
  </r>
  <r>
    <x v="673"/>
    <x v="36"/>
    <x v="33"/>
    <x v="30"/>
    <x v="33"/>
    <x v="42"/>
    <x v="7"/>
    <x v="28"/>
    <x v="349"/>
    <x v="48"/>
    <x v="23"/>
    <x v="26"/>
    <x v="2"/>
  </r>
  <r>
    <x v="674"/>
    <x v="24"/>
    <x v="43"/>
    <x v="3"/>
    <x v="22"/>
    <x v="39"/>
    <x v="21"/>
    <x v="87"/>
    <x v="323"/>
    <x v="62"/>
    <x v="22"/>
    <x v="17"/>
    <x v="2"/>
  </r>
  <r>
    <x v="675"/>
    <x v="23"/>
    <x v="50"/>
    <x v="0"/>
    <x v="11"/>
    <x v="116"/>
    <x v="12"/>
    <x v="39"/>
    <x v="268"/>
    <x v="43"/>
    <x v="22"/>
    <x v="11"/>
    <x v="3"/>
  </r>
  <r>
    <x v="676"/>
    <x v="18"/>
    <x v="36"/>
    <x v="14"/>
    <x v="19"/>
    <x v="77"/>
    <x v="9"/>
    <x v="31"/>
    <x v="313"/>
    <x v="76"/>
    <x v="27"/>
    <x v="17"/>
    <x v="2"/>
  </r>
  <r>
    <x v="677"/>
    <x v="43"/>
    <x v="100"/>
    <x v="5"/>
    <x v="19"/>
    <x v="44"/>
    <x v="26"/>
    <x v="91"/>
    <x v="359"/>
    <x v="48"/>
    <x v="15"/>
    <x v="20"/>
    <x v="2"/>
  </r>
  <r>
    <x v="678"/>
    <x v="24"/>
    <x v="54"/>
    <x v="1"/>
    <x v="20"/>
    <x v="40"/>
    <x v="20"/>
    <x v="80"/>
    <x v="324"/>
    <x v="67"/>
    <x v="21"/>
    <x v="17"/>
    <x v="2"/>
  </r>
  <r>
    <x v="679"/>
    <x v="52"/>
    <x v="22"/>
    <x v="41"/>
    <x v="17"/>
    <x v="46"/>
    <x v="11"/>
    <x v="55"/>
    <x v="363"/>
    <x v="33"/>
    <x v="12"/>
    <x v="12"/>
    <x v="2"/>
  </r>
  <r>
    <x v="680"/>
    <x v="53"/>
    <x v="48"/>
    <x v="24"/>
    <x v="15"/>
    <x v="42"/>
    <x v="19"/>
    <x v="52"/>
    <x v="391"/>
    <x v="30"/>
    <x v="18"/>
    <x v="22"/>
    <x v="3"/>
  </r>
  <r>
    <x v="681"/>
    <x v="39"/>
    <x v="62"/>
    <x v="17"/>
    <x v="27"/>
    <x v="62"/>
    <x v="21"/>
    <x v="110"/>
    <x v="354"/>
    <x v="21"/>
    <x v="14"/>
    <x v="10"/>
    <x v="2"/>
  </r>
  <r>
    <x v="682"/>
    <x v="27"/>
    <x v="25"/>
    <x v="43"/>
    <x v="22"/>
    <x v="45"/>
    <x v="18"/>
    <x v="77"/>
    <x v="293"/>
    <x v="45"/>
    <x v="30"/>
    <x v="16"/>
    <x v="3"/>
  </r>
  <r>
    <x v="683"/>
    <x v="41"/>
    <x v="64"/>
    <x v="17"/>
    <x v="27"/>
    <x v="47"/>
    <x v="25"/>
    <x v="120"/>
    <x v="362"/>
    <x v="35"/>
    <x v="16"/>
    <x v="15"/>
    <x v="2"/>
  </r>
  <r>
    <x v="684"/>
    <x v="24"/>
    <x v="58"/>
    <x v="2"/>
    <x v="20"/>
    <x v="44"/>
    <x v="17"/>
    <x v="82"/>
    <x v="323"/>
    <x v="60"/>
    <x v="22"/>
    <x v="16"/>
    <x v="3"/>
  </r>
  <r>
    <x v="685"/>
    <x v="30"/>
    <x v="56"/>
    <x v="0"/>
    <x v="22"/>
    <x v="18"/>
    <x v="7"/>
    <x v="7"/>
    <x v="238"/>
    <x v="50"/>
    <x v="18"/>
    <x v="31"/>
    <x v="2"/>
  </r>
  <r>
    <x v="686"/>
    <x v="54"/>
    <x v="11"/>
    <x v="54"/>
    <x v="17"/>
    <x v="28"/>
    <x v="7"/>
    <x v="20"/>
    <x v="151"/>
    <x v="29"/>
    <x v="15"/>
    <x v="50"/>
    <x v="3"/>
  </r>
  <r>
    <x v="687"/>
    <x v="61"/>
    <x v="114"/>
    <x v="30"/>
    <x v="22"/>
    <x v="92"/>
    <x v="7"/>
    <x v="54"/>
    <x v="347"/>
    <x v="11"/>
    <x v="80"/>
    <x v="23"/>
    <x v="2"/>
  </r>
  <r>
    <x v="688"/>
    <x v="40"/>
    <x v="36"/>
    <x v="31"/>
    <x v="20"/>
    <x v="89"/>
    <x v="24"/>
    <x v="58"/>
    <x v="324"/>
    <x v="22"/>
    <x v="36"/>
    <x v="15"/>
    <x v="2"/>
  </r>
  <r>
    <x v="689"/>
    <x v="46"/>
    <x v="25"/>
    <x v="44"/>
    <x v="5"/>
    <x v="2"/>
    <x v="21"/>
    <x v="36"/>
    <x v="147"/>
    <x v="36"/>
    <x v="43"/>
    <x v="31"/>
    <x v="4"/>
  </r>
  <r>
    <x v="690"/>
    <x v="47"/>
    <x v="41"/>
    <x v="34"/>
    <x v="36"/>
    <x v="45"/>
    <x v="4"/>
    <x v="8"/>
    <x v="383"/>
    <x v="41"/>
    <x v="14"/>
    <x v="29"/>
    <x v="3"/>
  </r>
  <r>
    <x v="691"/>
    <x v="25"/>
    <x v="58"/>
    <x v="8"/>
    <x v="42"/>
    <x v="45"/>
    <x v="26"/>
    <x v="101"/>
    <x v="240"/>
    <x v="37"/>
    <x v="13"/>
    <x v="11"/>
    <x v="2"/>
  </r>
  <r>
    <x v="692"/>
    <x v="39"/>
    <x v="47"/>
    <x v="9"/>
    <x v="32"/>
    <x v="31"/>
    <x v="8"/>
    <x v="11"/>
    <x v="316"/>
    <x v="35"/>
    <x v="6"/>
    <x v="20"/>
    <x v="2"/>
  </r>
  <r>
    <x v="693"/>
    <x v="4"/>
    <x v="53"/>
    <x v="0"/>
    <x v="7"/>
    <x v="7"/>
    <x v="14"/>
    <x v="81"/>
    <x v="23"/>
    <x v="68"/>
    <x v="56"/>
    <x v="54"/>
    <x v="4"/>
  </r>
  <r>
    <x v="694"/>
    <x v="30"/>
    <x v="48"/>
    <x v="8"/>
    <x v="20"/>
    <x v="77"/>
    <x v="14"/>
    <x v="40"/>
    <x v="295"/>
    <x v="36"/>
    <x v="28"/>
    <x v="15"/>
    <x v="3"/>
  </r>
  <r>
    <x v="695"/>
    <x v="37"/>
    <x v="43"/>
    <x v="22"/>
    <x v="24"/>
    <x v="47"/>
    <x v="3"/>
    <x v="12"/>
    <x v="272"/>
    <x v="38"/>
    <x v="19"/>
    <x v="18"/>
    <x v="3"/>
  </r>
  <r>
    <x v="696"/>
    <x v="35"/>
    <x v="12"/>
    <x v="40"/>
    <x v="19"/>
    <x v="15"/>
    <x v="3"/>
    <x v="4"/>
    <x v="51"/>
    <x v="45"/>
    <x v="32"/>
    <x v="53"/>
    <x v="4"/>
  </r>
  <r>
    <x v="697"/>
    <x v="37"/>
    <x v="9"/>
    <x v="39"/>
    <x v="11"/>
    <x v="4"/>
    <x v="3"/>
    <x v="4"/>
    <x v="66"/>
    <x v="39"/>
    <x v="33"/>
    <x v="50"/>
    <x v="4"/>
  </r>
  <r>
    <x v="698"/>
    <x v="27"/>
    <x v="44"/>
    <x v="12"/>
    <x v="10"/>
    <x v="105"/>
    <x v="3"/>
    <x v="6"/>
    <x v="289"/>
    <x v="38"/>
    <x v="48"/>
    <x v="7"/>
    <x v="2"/>
  </r>
  <r>
    <x v="699"/>
    <x v="29"/>
    <x v="39"/>
    <x v="31"/>
    <x v="25"/>
    <x v="33"/>
    <x v="3"/>
    <x v="9"/>
    <x v="281"/>
    <x v="34"/>
    <x v="17"/>
    <x v="24"/>
    <x v="3"/>
  </r>
  <r>
    <x v="700"/>
    <x v="26"/>
    <x v="40"/>
    <x v="10"/>
    <x v="22"/>
    <x v="31"/>
    <x v="3"/>
    <x v="8"/>
    <x v="176"/>
    <x v="42"/>
    <x v="9"/>
    <x v="26"/>
    <x v="2"/>
  </r>
  <r>
    <x v="701"/>
    <x v="82"/>
    <x v="41"/>
    <x v="55"/>
    <x v="25"/>
    <x v="35"/>
    <x v="7"/>
    <x v="18"/>
    <x v="415"/>
    <x v="21"/>
    <x v="30"/>
    <x v="32"/>
    <x v="3"/>
  </r>
  <r>
    <x v="702"/>
    <x v="61"/>
    <x v="35"/>
    <x v="33"/>
    <x v="20"/>
    <x v="62"/>
    <x v="20"/>
    <x v="32"/>
    <x v="362"/>
    <x v="36"/>
    <x v="33"/>
    <x v="31"/>
    <x v="2"/>
  </r>
  <r>
    <x v="703"/>
    <x v="22"/>
    <x v="27"/>
    <x v="24"/>
    <x v="13"/>
    <x v="65"/>
    <x v="3"/>
    <x v="1"/>
    <x v="101"/>
    <x v="56"/>
    <x v="20"/>
    <x v="38"/>
    <x v="1"/>
  </r>
  <r>
    <x v="704"/>
    <x v="79"/>
    <x v="30"/>
    <x v="54"/>
    <x v="25"/>
    <x v="66"/>
    <x v="19"/>
    <x v="35"/>
    <x v="401"/>
    <x v="33"/>
    <x v="38"/>
    <x v="37"/>
    <x v="3"/>
  </r>
  <r>
    <x v="705"/>
    <x v="51"/>
    <x v="42"/>
    <x v="19"/>
    <x v="31"/>
    <x v="44"/>
    <x v="8"/>
    <x v="24"/>
    <x v="372"/>
    <x v="35"/>
    <x v="20"/>
    <x v="26"/>
    <x v="3"/>
  </r>
  <r>
    <x v="706"/>
    <x v="61"/>
    <x v="13"/>
    <x v="42"/>
    <x v="5"/>
    <x v="47"/>
    <x v="19"/>
    <x v="21"/>
    <x v="162"/>
    <x v="40"/>
    <x v="35"/>
    <x v="43"/>
    <x v="3"/>
  </r>
  <r>
    <x v="707"/>
    <x v="24"/>
    <x v="79"/>
    <x v="0"/>
    <x v="18"/>
    <x v="34"/>
    <x v="21"/>
    <x v="41"/>
    <x v="232"/>
    <x v="41"/>
    <x v="7"/>
    <x v="11"/>
    <x v="2"/>
  </r>
  <r>
    <x v="708"/>
    <x v="44"/>
    <x v="68"/>
    <x v="15"/>
    <x v="31"/>
    <x v="60"/>
    <x v="9"/>
    <x v="53"/>
    <x v="409"/>
    <x v="40"/>
    <x v="16"/>
    <x v="15"/>
    <x v="2"/>
  </r>
  <r>
    <x v="709"/>
    <x v="23"/>
    <x v="73"/>
    <x v="0"/>
    <x v="10"/>
    <x v="62"/>
    <x v="9"/>
    <x v="16"/>
    <x v="210"/>
    <x v="46"/>
    <x v="22"/>
    <x v="16"/>
    <x v="2"/>
  </r>
  <r>
    <x v="710"/>
    <x v="2"/>
    <x v="32"/>
    <x v="0"/>
    <x v="13"/>
    <x v="11"/>
    <x v="16"/>
    <x v="36"/>
    <x v="7"/>
    <x v="81"/>
    <x v="36"/>
    <x v="63"/>
    <x v="4"/>
  </r>
  <r>
    <x v="711"/>
    <x v="20"/>
    <x v="45"/>
    <x v="13"/>
    <x v="11"/>
    <x v="39"/>
    <x v="15"/>
    <x v="30"/>
    <x v="312"/>
    <x v="73"/>
    <x v="26"/>
    <x v="17"/>
    <x v="2"/>
  </r>
  <r>
    <x v="712"/>
    <x v="24"/>
    <x v="39"/>
    <x v="28"/>
    <x v="25"/>
    <x v="31"/>
    <x v="6"/>
    <x v="10"/>
    <x v="272"/>
    <x v="36"/>
    <x v="15"/>
    <x v="24"/>
    <x v="2"/>
  </r>
  <r>
    <x v="713"/>
    <x v="24"/>
    <x v="36"/>
    <x v="14"/>
    <x v="25"/>
    <x v="39"/>
    <x v="15"/>
    <x v="31"/>
    <x v="225"/>
    <x v="48"/>
    <x v="11"/>
    <x v="29"/>
    <x v="2"/>
  </r>
  <r>
    <x v="714"/>
    <x v="28"/>
    <x v="11"/>
    <x v="34"/>
    <x v="17"/>
    <x v="13"/>
    <x v="3"/>
    <x v="2"/>
    <x v="134"/>
    <x v="52"/>
    <x v="26"/>
    <x v="33"/>
    <x v="4"/>
  </r>
  <r>
    <x v="715"/>
    <x v="31"/>
    <x v="50"/>
    <x v="9"/>
    <x v="17"/>
    <x v="28"/>
    <x v="34"/>
    <x v="39"/>
    <x v="80"/>
    <x v="58"/>
    <x v="36"/>
    <x v="52"/>
    <x v="5"/>
  </r>
  <r>
    <x v="716"/>
    <x v="12"/>
    <x v="58"/>
    <x v="8"/>
    <x v="13"/>
    <x v="34"/>
    <x v="16"/>
    <x v="18"/>
    <x v="60"/>
    <x v="68"/>
    <x v="39"/>
    <x v="35"/>
    <x v="3"/>
  </r>
  <r>
    <x v="717"/>
    <x v="28"/>
    <x v="73"/>
    <x v="7"/>
    <x v="20"/>
    <x v="21"/>
    <x v="4"/>
    <x v="3"/>
    <x v="232"/>
    <x v="50"/>
    <x v="17"/>
    <x v="32"/>
    <x v="1"/>
  </r>
  <r>
    <x v="718"/>
    <x v="57"/>
    <x v="34"/>
    <x v="42"/>
    <x v="4"/>
    <x v="96"/>
    <x v="34"/>
    <x v="42"/>
    <x v="369"/>
    <x v="50"/>
    <x v="48"/>
    <x v="18"/>
    <x v="0"/>
  </r>
  <r>
    <x v="719"/>
    <x v="69"/>
    <x v="37"/>
    <x v="44"/>
    <x v="5"/>
    <x v="98"/>
    <x v="36"/>
    <x v="45"/>
    <x v="371"/>
    <x v="50"/>
    <x v="48"/>
    <x v="18"/>
    <x v="1"/>
  </r>
  <r>
    <x v="720"/>
    <x v="41"/>
    <x v="73"/>
    <x v="26"/>
    <x v="5"/>
    <x v="51"/>
    <x v="16"/>
    <x v="17"/>
    <x v="282"/>
    <x v="44"/>
    <x v="9"/>
    <x v="11"/>
    <x v="2"/>
  </r>
  <r>
    <x v="721"/>
    <x v="29"/>
    <x v="69"/>
    <x v="10"/>
    <x v="4"/>
    <x v="29"/>
    <x v="27"/>
    <x v="49"/>
    <x v="252"/>
    <x v="51"/>
    <x v="13"/>
    <x v="10"/>
    <x v="2"/>
  </r>
  <r>
    <x v="722"/>
    <x v="20"/>
    <x v="12"/>
    <x v="28"/>
    <x v="19"/>
    <x v="0"/>
    <x v="36"/>
    <x v="94"/>
    <x v="2"/>
    <x v="38"/>
    <x v="2"/>
    <x v="41"/>
    <x v="4"/>
  </r>
  <r>
    <x v="723"/>
    <x v="54"/>
    <x v="17"/>
    <x v="35"/>
    <x v="5"/>
    <x v="38"/>
    <x v="9"/>
    <x v="22"/>
    <x v="265"/>
    <x v="36"/>
    <x v="45"/>
    <x v="36"/>
    <x v="4"/>
  </r>
  <r>
    <x v="724"/>
    <x v="13"/>
    <x v="41"/>
    <x v="4"/>
    <x v="15"/>
    <x v="55"/>
    <x v="13"/>
    <x v="20"/>
    <x v="245"/>
    <x v="58"/>
    <x v="9"/>
    <x v="20"/>
    <x v="2"/>
  </r>
  <r>
    <x v="725"/>
    <x v="64"/>
    <x v="32"/>
    <x v="47"/>
    <x v="23"/>
    <x v="48"/>
    <x v="9"/>
    <x v="28"/>
    <x v="317"/>
    <x v="36"/>
    <x v="39"/>
    <x v="46"/>
    <x v="4"/>
  </r>
  <r>
    <x v="726"/>
    <x v="19"/>
    <x v="68"/>
    <x v="0"/>
    <x v="29"/>
    <x v="78"/>
    <x v="21"/>
    <x v="25"/>
    <x v="229"/>
    <x v="57"/>
    <x v="25"/>
    <x v="24"/>
    <x v="2"/>
  </r>
  <r>
    <x v="727"/>
    <x v="59"/>
    <x v="41"/>
    <x v="45"/>
    <x v="22"/>
    <x v="82"/>
    <x v="34"/>
    <x v="62"/>
    <x v="293"/>
    <x v="35"/>
    <x v="34"/>
    <x v="32"/>
    <x v="3"/>
  </r>
  <r>
    <x v="728"/>
    <x v="24"/>
    <x v="73"/>
    <x v="35"/>
    <x v="11"/>
    <x v="51"/>
    <x v="9"/>
    <x v="87"/>
    <x v="230"/>
    <x v="40"/>
    <x v="24"/>
    <x v="11"/>
    <x v="2"/>
  </r>
  <r>
    <x v="729"/>
    <x v="52"/>
    <x v="9"/>
    <x v="46"/>
    <x v="7"/>
    <x v="25"/>
    <x v="26"/>
    <x v="36"/>
    <x v="199"/>
    <x v="30"/>
    <x v="45"/>
    <x v="28"/>
    <x v="3"/>
  </r>
  <r>
    <x v="730"/>
    <x v="17"/>
    <x v="64"/>
    <x v="21"/>
    <x v="9"/>
    <x v="44"/>
    <x v="14"/>
    <x v="25"/>
    <x v="278"/>
    <x v="71"/>
    <x v="28"/>
    <x v="17"/>
    <x v="2"/>
  </r>
  <r>
    <x v="731"/>
    <x v="27"/>
    <x v="72"/>
    <x v="16"/>
    <x v="9"/>
    <x v="41"/>
    <x v="12"/>
    <x v="33"/>
    <x v="338"/>
    <x v="62"/>
    <x v="32"/>
    <x v="18"/>
    <x v="3"/>
  </r>
  <r>
    <x v="732"/>
    <x v="17"/>
    <x v="62"/>
    <x v="21"/>
    <x v="5"/>
    <x v="43"/>
    <x v="12"/>
    <x v="26"/>
    <x v="278"/>
    <x v="70"/>
    <x v="28"/>
    <x v="17"/>
    <x v="2"/>
  </r>
  <r>
    <x v="733"/>
    <x v="46"/>
    <x v="33"/>
    <x v="44"/>
    <x v="10"/>
    <x v="48"/>
    <x v="9"/>
    <x v="16"/>
    <x v="293"/>
    <x v="40"/>
    <x v="17"/>
    <x v="12"/>
    <x v="2"/>
  </r>
  <r>
    <x v="734"/>
    <x v="33"/>
    <x v="32"/>
    <x v="32"/>
    <x v="20"/>
    <x v="43"/>
    <x v="26"/>
    <x v="113"/>
    <x v="355"/>
    <x v="34"/>
    <x v="69"/>
    <x v="16"/>
    <x v="2"/>
  </r>
  <r>
    <x v="735"/>
    <x v="46"/>
    <x v="23"/>
    <x v="39"/>
    <x v="4"/>
    <x v="43"/>
    <x v="43"/>
    <x v="49"/>
    <x v="250"/>
    <x v="59"/>
    <x v="35"/>
    <x v="32"/>
    <x v="3"/>
  </r>
  <r>
    <x v="736"/>
    <x v="29"/>
    <x v="83"/>
    <x v="2"/>
    <x v="20"/>
    <x v="34"/>
    <x v="10"/>
    <x v="8"/>
    <x v="156"/>
    <x v="63"/>
    <x v="33"/>
    <x v="41"/>
    <x v="4"/>
  </r>
  <r>
    <x v="737"/>
    <x v="35"/>
    <x v="10"/>
    <x v="34"/>
    <x v="20"/>
    <x v="36"/>
    <x v="16"/>
    <x v="41"/>
    <x v="202"/>
    <x v="52"/>
    <x v="40"/>
    <x v="37"/>
    <x v="4"/>
  </r>
  <r>
    <x v="738"/>
    <x v="70"/>
    <x v="12"/>
    <x v="47"/>
    <x v="7"/>
    <x v="17"/>
    <x v="17"/>
    <x v="26"/>
    <x v="276"/>
    <x v="27"/>
    <x v="29"/>
    <x v="28"/>
    <x v="4"/>
  </r>
  <r>
    <x v="739"/>
    <x v="21"/>
    <x v="48"/>
    <x v="22"/>
    <x v="9"/>
    <x v="37"/>
    <x v="15"/>
    <x v="18"/>
    <x v="90"/>
    <x v="52"/>
    <x v="44"/>
    <x v="36"/>
    <x v="3"/>
  </r>
  <r>
    <x v="740"/>
    <x v="25"/>
    <x v="60"/>
    <x v="6"/>
    <x v="24"/>
    <x v="40"/>
    <x v="15"/>
    <x v="80"/>
    <x v="324"/>
    <x v="63"/>
    <x v="16"/>
    <x v="12"/>
    <x v="2"/>
  </r>
  <r>
    <x v="741"/>
    <x v="11"/>
    <x v="129"/>
    <x v="66"/>
    <x v="11"/>
    <x v="3"/>
    <x v="15"/>
    <x v="83"/>
    <x v="52"/>
    <x v="76"/>
    <x v="22"/>
    <x v="39"/>
    <x v="3"/>
  </r>
  <r>
    <x v="742"/>
    <x v="28"/>
    <x v="32"/>
    <x v="32"/>
    <x v="24"/>
    <x v="30"/>
    <x v="7"/>
    <x v="19"/>
    <x v="228"/>
    <x v="36"/>
    <x v="6"/>
    <x v="25"/>
    <x v="2"/>
  </r>
  <r>
    <x v="743"/>
    <x v="25"/>
    <x v="60"/>
    <x v="6"/>
    <x v="20"/>
    <x v="41"/>
    <x v="17"/>
    <x v="79"/>
    <x v="324"/>
    <x v="63"/>
    <x v="15"/>
    <x v="16"/>
    <x v="2"/>
  </r>
  <r>
    <x v="744"/>
    <x v="25"/>
    <x v="63"/>
    <x v="7"/>
    <x v="22"/>
    <x v="40"/>
    <x v="16"/>
    <x v="81"/>
    <x v="326"/>
    <x v="63"/>
    <x v="16"/>
    <x v="16"/>
    <x v="2"/>
  </r>
  <r>
    <x v="745"/>
    <x v="21"/>
    <x v="40"/>
    <x v="22"/>
    <x v="17"/>
    <x v="34"/>
    <x v="13"/>
    <x v="18"/>
    <x v="90"/>
    <x v="53"/>
    <x v="45"/>
    <x v="37"/>
    <x v="3"/>
  </r>
  <r>
    <x v="746"/>
    <x v="22"/>
    <x v="42"/>
    <x v="23"/>
    <x v="11"/>
    <x v="35"/>
    <x v="13"/>
    <x v="16"/>
    <x v="90"/>
    <x v="52"/>
    <x v="46"/>
    <x v="36"/>
    <x v="3"/>
  </r>
  <r>
    <x v="747"/>
    <x v="29"/>
    <x v="62"/>
    <x v="3"/>
    <x v="11"/>
    <x v="43"/>
    <x v="27"/>
    <x v="37"/>
    <x v="189"/>
    <x v="56"/>
    <x v="26"/>
    <x v="32"/>
    <x v="3"/>
  </r>
  <r>
    <x v="748"/>
    <x v="30"/>
    <x v="79"/>
    <x v="1"/>
    <x v="13"/>
    <x v="27"/>
    <x v="31"/>
    <x v="37"/>
    <x v="58"/>
    <x v="53"/>
    <x v="19"/>
    <x v="42"/>
    <x v="3"/>
  </r>
  <r>
    <x v="749"/>
    <x v="22"/>
    <x v="48"/>
    <x v="3"/>
    <x v="4"/>
    <x v="49"/>
    <x v="36"/>
    <x v="40"/>
    <x v="143"/>
    <x v="65"/>
    <x v="19"/>
    <x v="28"/>
    <x v="2"/>
  </r>
  <r>
    <x v="750"/>
    <x v="26"/>
    <x v="22"/>
    <x v="24"/>
    <x v="11"/>
    <x v="30"/>
    <x v="28"/>
    <x v="42"/>
    <x v="187"/>
    <x v="55"/>
    <x v="16"/>
    <x v="20"/>
    <x v="1"/>
  </r>
  <r>
    <x v="751"/>
    <x v="44"/>
    <x v="5"/>
    <x v="37"/>
    <x v="5"/>
    <x v="30"/>
    <x v="6"/>
    <x v="4"/>
    <x v="168"/>
    <x v="35"/>
    <x v="20"/>
    <x v="35"/>
    <x v="4"/>
  </r>
  <r>
    <x v="752"/>
    <x v="57"/>
    <x v="26"/>
    <x v="46"/>
    <x v="13"/>
    <x v="67"/>
    <x v="6"/>
    <x v="4"/>
    <x v="258"/>
    <x v="24"/>
    <x v="27"/>
    <x v="42"/>
    <x v="4"/>
  </r>
  <r>
    <x v="753"/>
    <x v="41"/>
    <x v="17"/>
    <x v="40"/>
    <x v="25"/>
    <x v="72"/>
    <x v="7"/>
    <x v="10"/>
    <x v="216"/>
    <x v="43"/>
    <x v="41"/>
    <x v="42"/>
    <x v="4"/>
  </r>
  <r>
    <x v="754"/>
    <x v="24"/>
    <x v="37"/>
    <x v="0"/>
    <x v="15"/>
    <x v="30"/>
    <x v="7"/>
    <x v="8"/>
    <x v="138"/>
    <x v="52"/>
    <x v="20"/>
    <x v="32"/>
    <x v="1"/>
  </r>
  <r>
    <x v="755"/>
    <x v="41"/>
    <x v="58"/>
    <x v="19"/>
    <x v="42"/>
    <x v="57"/>
    <x v="30"/>
    <x v="63"/>
    <x v="348"/>
    <x v="34"/>
    <x v="12"/>
    <x v="20"/>
    <x v="3"/>
  </r>
  <r>
    <x v="756"/>
    <x v="25"/>
    <x v="56"/>
    <x v="4"/>
    <x v="20"/>
    <x v="39"/>
    <x v="18"/>
    <x v="83"/>
    <x v="323"/>
    <x v="65"/>
    <x v="17"/>
    <x v="12"/>
    <x v="2"/>
  </r>
  <r>
    <x v="757"/>
    <x v="45"/>
    <x v="48"/>
    <x v="18"/>
    <x v="5"/>
    <x v="41"/>
    <x v="10"/>
    <x v="15"/>
    <x v="187"/>
    <x v="27"/>
    <x v="11"/>
    <x v="18"/>
    <x v="2"/>
  </r>
  <r>
    <x v="758"/>
    <x v="29"/>
    <x v="79"/>
    <x v="0"/>
    <x v="13"/>
    <x v="31"/>
    <x v="30"/>
    <x v="29"/>
    <x v="153"/>
    <x v="60"/>
    <x v="27"/>
    <x v="38"/>
    <x v="3"/>
  </r>
  <r>
    <x v="759"/>
    <x v="37"/>
    <x v="17"/>
    <x v="29"/>
    <x v="30"/>
    <x v="117"/>
    <x v="14"/>
    <x v="20"/>
    <x v="155"/>
    <x v="34"/>
    <x v="40"/>
    <x v="45"/>
    <x v="3"/>
  </r>
  <r>
    <x v="760"/>
    <x v="42"/>
    <x v="86"/>
    <x v="14"/>
    <x v="20"/>
    <x v="49"/>
    <x v="9"/>
    <x v="24"/>
    <x v="366"/>
    <x v="46"/>
    <x v="26"/>
    <x v="26"/>
    <x v="2"/>
  </r>
  <r>
    <x v="761"/>
    <x v="43"/>
    <x v="96"/>
    <x v="12"/>
    <x v="19"/>
    <x v="46"/>
    <x v="8"/>
    <x v="22"/>
    <x v="371"/>
    <x v="45"/>
    <x v="27"/>
    <x v="25"/>
    <x v="3"/>
  </r>
  <r>
    <x v="762"/>
    <x v="60"/>
    <x v="43"/>
    <x v="38"/>
    <x v="22"/>
    <x v="29"/>
    <x v="29"/>
    <x v="50"/>
    <x v="188"/>
    <x v="27"/>
    <x v="41"/>
    <x v="46"/>
    <x v="4"/>
  </r>
  <r>
    <x v="763"/>
    <x v="21"/>
    <x v="50"/>
    <x v="0"/>
    <x v="20"/>
    <x v="35"/>
    <x v="32"/>
    <x v="58"/>
    <x v="120"/>
    <x v="55"/>
    <x v="18"/>
    <x v="36"/>
    <x v="3"/>
  </r>
  <r>
    <x v="764"/>
    <x v="60"/>
    <x v="116"/>
    <x v="34"/>
    <x v="69"/>
    <x v="75"/>
    <x v="23"/>
    <x v="93"/>
    <x v="432"/>
    <x v="34"/>
    <x v="30"/>
    <x v="10"/>
    <x v="2"/>
  </r>
  <r>
    <x v="765"/>
    <x v="25"/>
    <x v="21"/>
    <x v="24"/>
    <x v="11"/>
    <x v="34"/>
    <x v="30"/>
    <x v="46"/>
    <x v="187"/>
    <x v="56"/>
    <x v="20"/>
    <x v="22"/>
    <x v="2"/>
  </r>
  <r>
    <x v="766"/>
    <x v="25"/>
    <x v="68"/>
    <x v="3"/>
    <x v="17"/>
    <x v="41"/>
    <x v="16"/>
    <x v="81"/>
    <x v="321"/>
    <x v="65"/>
    <x v="19"/>
    <x v="16"/>
    <x v="2"/>
  </r>
  <r>
    <x v="767"/>
    <x v="54"/>
    <x v="35"/>
    <x v="23"/>
    <x v="10"/>
    <x v="45"/>
    <x v="10"/>
    <x v="12"/>
    <x v="340"/>
    <x v="34"/>
    <x v="27"/>
    <x v="10"/>
    <x v="3"/>
  </r>
  <r>
    <x v="768"/>
    <x v="25"/>
    <x v="62"/>
    <x v="3"/>
    <x v="15"/>
    <x v="43"/>
    <x v="17"/>
    <x v="83"/>
    <x v="323"/>
    <x v="65"/>
    <x v="20"/>
    <x v="17"/>
    <x v="3"/>
  </r>
  <r>
    <x v="769"/>
    <x v="24"/>
    <x v="54"/>
    <x v="1"/>
    <x v="17"/>
    <x v="43"/>
    <x v="27"/>
    <x v="37"/>
    <x v="166"/>
    <x v="54"/>
    <x v="20"/>
    <x v="29"/>
    <x v="3"/>
  </r>
  <r>
    <x v="770"/>
    <x v="36"/>
    <x v="17"/>
    <x v="39"/>
    <x v="19"/>
    <x v="41"/>
    <x v="17"/>
    <x v="37"/>
    <x v="93"/>
    <x v="43"/>
    <x v="39"/>
    <x v="50"/>
    <x v="4"/>
  </r>
  <r>
    <x v="771"/>
    <x v="36"/>
    <x v="130"/>
    <x v="2"/>
    <x v="33"/>
    <x v="47"/>
    <x v="6"/>
    <x v="5"/>
    <x v="388"/>
    <x v="60"/>
    <x v="11"/>
    <x v="33"/>
    <x v="0"/>
  </r>
  <r>
    <x v="772"/>
    <x v="42"/>
    <x v="17"/>
    <x v="36"/>
    <x v="22"/>
    <x v="19"/>
    <x v="10"/>
    <x v="33"/>
    <x v="176"/>
    <x v="52"/>
    <x v="31"/>
    <x v="42"/>
    <x v="2"/>
  </r>
  <r>
    <x v="773"/>
    <x v="27"/>
    <x v="63"/>
    <x v="10"/>
    <x v="19"/>
    <x v="43"/>
    <x v="16"/>
    <x v="27"/>
    <x v="317"/>
    <x v="70"/>
    <x v="31"/>
    <x v="31"/>
    <x v="4"/>
  </r>
  <r>
    <x v="774"/>
    <x v="21"/>
    <x v="54"/>
    <x v="6"/>
    <x v="63"/>
    <x v="23"/>
    <x v="11"/>
    <x v="12"/>
    <x v="221"/>
    <x v="53"/>
    <x v="21"/>
    <x v="31"/>
    <x v="4"/>
  </r>
  <r>
    <x v="775"/>
    <x v="45"/>
    <x v="52"/>
    <x v="20"/>
    <x v="29"/>
    <x v="44"/>
    <x v="15"/>
    <x v="108"/>
    <x v="354"/>
    <x v="35"/>
    <x v="21"/>
    <x v="12"/>
    <x v="2"/>
  </r>
  <r>
    <x v="776"/>
    <x v="25"/>
    <x v="45"/>
    <x v="27"/>
    <x v="22"/>
    <x v="47"/>
    <x v="12"/>
    <x v="73"/>
    <x v="239"/>
    <x v="51"/>
    <x v="33"/>
    <x v="33"/>
    <x v="2"/>
  </r>
  <r>
    <x v="777"/>
    <x v="14"/>
    <x v="48"/>
    <x v="0"/>
    <x v="15"/>
    <x v="42"/>
    <x v="6"/>
    <x v="3"/>
    <x v="113"/>
    <x v="71"/>
    <x v="16"/>
    <x v="39"/>
    <x v="3"/>
  </r>
  <r>
    <x v="778"/>
    <x v="27"/>
    <x v="43"/>
    <x v="13"/>
    <x v="19"/>
    <x v="41"/>
    <x v="34"/>
    <x v="55"/>
    <x v="148"/>
    <x v="55"/>
    <x v="21"/>
    <x v="31"/>
    <x v="3"/>
  </r>
  <r>
    <x v="779"/>
    <x v="26"/>
    <x v="16"/>
    <x v="39"/>
    <x v="1"/>
    <x v="22"/>
    <x v="7"/>
    <x v="5"/>
    <x v="39"/>
    <x v="41"/>
    <x v="14"/>
    <x v="39"/>
    <x v="3"/>
  </r>
  <r>
    <x v="780"/>
    <x v="46"/>
    <x v="26"/>
    <x v="48"/>
    <x v="40"/>
    <x v="92"/>
    <x v="2"/>
    <x v="5"/>
    <x v="188"/>
    <x v="35"/>
    <x v="19"/>
    <x v="57"/>
    <x v="3"/>
  </r>
  <r>
    <x v="781"/>
    <x v="44"/>
    <x v="12"/>
    <x v="46"/>
    <x v="82"/>
    <x v="77"/>
    <x v="2"/>
    <x v="3"/>
    <x v="390"/>
    <x v="30"/>
    <x v="22"/>
    <x v="32"/>
    <x v="3"/>
  </r>
  <r>
    <x v="782"/>
    <x v="53"/>
    <x v="36"/>
    <x v="44"/>
    <x v="27"/>
    <x v="28"/>
    <x v="3"/>
    <x v="2"/>
    <x v="266"/>
    <x v="45"/>
    <x v="24"/>
    <x v="47"/>
    <x v="3"/>
  </r>
  <r>
    <x v="783"/>
    <x v="47"/>
    <x v="28"/>
    <x v="46"/>
    <x v="49"/>
    <x v="57"/>
    <x v="2"/>
    <x v="4"/>
    <x v="238"/>
    <x v="39"/>
    <x v="26"/>
    <x v="47"/>
    <x v="4"/>
  </r>
  <r>
    <x v="784"/>
    <x v="39"/>
    <x v="18"/>
    <x v="40"/>
    <x v="15"/>
    <x v="42"/>
    <x v="2"/>
    <x v="0"/>
    <x v="135"/>
    <x v="39"/>
    <x v="29"/>
    <x v="43"/>
    <x v="3"/>
  </r>
  <r>
    <x v="785"/>
    <x v="6"/>
    <x v="79"/>
    <x v="19"/>
    <x v="4"/>
    <x v="104"/>
    <x v="7"/>
    <x v="56"/>
    <x v="71"/>
    <x v="74"/>
    <x v="23"/>
    <x v="33"/>
    <x v="2"/>
  </r>
  <r>
    <x v="786"/>
    <x v="21"/>
    <x v="30"/>
    <x v="31"/>
    <x v="80"/>
    <x v="47"/>
    <x v="26"/>
    <x v="39"/>
    <x v="366"/>
    <x v="50"/>
    <x v="26"/>
    <x v="22"/>
    <x v="3"/>
  </r>
  <r>
    <x v="787"/>
    <x v="37"/>
    <x v="23"/>
    <x v="32"/>
    <x v="15"/>
    <x v="44"/>
    <x v="32"/>
    <x v="74"/>
    <x v="239"/>
    <x v="42"/>
    <x v="34"/>
    <x v="33"/>
    <x v="3"/>
  </r>
  <r>
    <x v="788"/>
    <x v="37"/>
    <x v="60"/>
    <x v="12"/>
    <x v="9"/>
    <x v="35"/>
    <x v="39"/>
    <x v="40"/>
    <x v="130"/>
    <x v="50"/>
    <x v="51"/>
    <x v="42"/>
    <x v="3"/>
  </r>
  <r>
    <x v="789"/>
    <x v="49"/>
    <x v="30"/>
    <x v="37"/>
    <x v="17"/>
    <x v="54"/>
    <x v="10"/>
    <x v="17"/>
    <x v="347"/>
    <x v="36"/>
    <x v="18"/>
    <x v="26"/>
    <x v="2"/>
  </r>
  <r>
    <x v="790"/>
    <x v="39"/>
    <x v="37"/>
    <x v="27"/>
    <x v="17"/>
    <x v="18"/>
    <x v="14"/>
    <x v="22"/>
    <x v="137"/>
    <x v="30"/>
    <x v="42"/>
    <x v="36"/>
    <x v="2"/>
  </r>
  <r>
    <x v="791"/>
    <x v="39"/>
    <x v="6"/>
    <x v="36"/>
    <x v="10"/>
    <x v="27"/>
    <x v="53"/>
    <x v="71"/>
    <x v="208"/>
    <x v="59"/>
    <x v="49"/>
    <x v="33"/>
    <x v="4"/>
  </r>
  <r>
    <x v="792"/>
    <x v="47"/>
    <x v="8"/>
    <x v="33"/>
    <x v="17"/>
    <x v="24"/>
    <x v="52"/>
    <x v="67"/>
    <x v="347"/>
    <x v="59"/>
    <x v="52"/>
    <x v="23"/>
    <x v="3"/>
  </r>
  <r>
    <x v="793"/>
    <x v="37"/>
    <x v="70"/>
    <x v="19"/>
    <x v="15"/>
    <x v="56"/>
    <x v="11"/>
    <x v="69"/>
    <x v="317"/>
    <x v="32"/>
    <x v="21"/>
    <x v="7"/>
    <x v="1"/>
  </r>
  <r>
    <x v="794"/>
    <x v="40"/>
    <x v="20"/>
    <x v="38"/>
    <x v="32"/>
    <x v="26"/>
    <x v="10"/>
    <x v="13"/>
    <x v="104"/>
    <x v="42"/>
    <x v="35"/>
    <x v="45"/>
    <x v="4"/>
  </r>
  <r>
    <x v="795"/>
    <x v="19"/>
    <x v="58"/>
    <x v="1"/>
    <x v="10"/>
    <x v="43"/>
    <x v="8"/>
    <x v="19"/>
    <x v="324"/>
    <x v="79"/>
    <x v="35"/>
    <x v="26"/>
    <x v="2"/>
  </r>
  <r>
    <x v="796"/>
    <x v="27"/>
    <x v="58"/>
    <x v="1"/>
    <x v="11"/>
    <x v="37"/>
    <x v="13"/>
    <x v="32"/>
    <x v="326"/>
    <x v="60"/>
    <x v="27"/>
    <x v="17"/>
    <x v="2"/>
  </r>
  <r>
    <x v="797"/>
    <x v="29"/>
    <x v="29"/>
    <x v="29"/>
    <x v="10"/>
    <x v="41"/>
    <x v="29"/>
    <x v="60"/>
    <x v="295"/>
    <x v="57"/>
    <x v="21"/>
    <x v="12"/>
    <x v="3"/>
  </r>
  <r>
    <x v="798"/>
    <x v="41"/>
    <x v="15"/>
    <x v="38"/>
    <x v="17"/>
    <x v="23"/>
    <x v="19"/>
    <x v="66"/>
    <x v="160"/>
    <x v="51"/>
    <x v="34"/>
    <x v="42"/>
    <x v="3"/>
  </r>
  <r>
    <x v="799"/>
    <x v="73"/>
    <x v="62"/>
    <x v="50"/>
    <x v="3"/>
    <x v="34"/>
    <x v="6"/>
    <x v="20"/>
    <x v="351"/>
    <x v="19"/>
    <x v="22"/>
    <x v="25"/>
    <x v="1"/>
  </r>
  <r>
    <x v="800"/>
    <x v="25"/>
    <x v="26"/>
    <x v="38"/>
    <x v="25"/>
    <x v="31"/>
    <x v="23"/>
    <x v="36"/>
    <x v="51"/>
    <x v="46"/>
    <x v="34"/>
    <x v="54"/>
    <x v="4"/>
  </r>
  <r>
    <x v="801"/>
    <x v="15"/>
    <x v="36"/>
    <x v="17"/>
    <x v="5"/>
    <x v="36"/>
    <x v="7"/>
    <x v="5"/>
    <x v="84"/>
    <x v="73"/>
    <x v="16"/>
    <x v="38"/>
    <x v="2"/>
  </r>
  <r>
    <x v="802"/>
    <x v="49"/>
    <x v="20"/>
    <x v="52"/>
    <x v="15"/>
    <x v="37"/>
    <x v="13"/>
    <x v="19"/>
    <x v="133"/>
    <x v="48"/>
    <x v="38"/>
    <x v="49"/>
    <x v="4"/>
  </r>
  <r>
    <x v="803"/>
    <x v="52"/>
    <x v="11"/>
    <x v="49"/>
    <x v="53"/>
    <x v="45"/>
    <x v="9"/>
    <x v="11"/>
    <x v="115"/>
    <x v="31"/>
    <x v="14"/>
    <x v="50"/>
    <x v="4"/>
  </r>
  <r>
    <x v="804"/>
    <x v="54"/>
    <x v="33"/>
    <x v="40"/>
    <x v="22"/>
    <x v="55"/>
    <x v="13"/>
    <x v="46"/>
    <x v="370"/>
    <x v="34"/>
    <x v="26"/>
    <x v="20"/>
    <x v="4"/>
  </r>
  <r>
    <x v="805"/>
    <x v="51"/>
    <x v="41"/>
    <x v="34"/>
    <x v="17"/>
    <x v="57"/>
    <x v="10"/>
    <x v="39"/>
    <x v="381"/>
    <x v="36"/>
    <x v="22"/>
    <x v="16"/>
    <x v="4"/>
  </r>
  <r>
    <x v="806"/>
    <x v="36"/>
    <x v="15"/>
    <x v="49"/>
    <x v="40"/>
    <x v="53"/>
    <x v="11"/>
    <x v="18"/>
    <x v="125"/>
    <x v="39"/>
    <x v="26"/>
    <x v="46"/>
    <x v="4"/>
  </r>
  <r>
    <x v="807"/>
    <x v="55"/>
    <x v="34"/>
    <x v="42"/>
    <x v="11"/>
    <x v="34"/>
    <x v="7"/>
    <x v="14"/>
    <x v="179"/>
    <x v="26"/>
    <x v="41"/>
    <x v="35"/>
    <x v="4"/>
  </r>
  <r>
    <x v="808"/>
    <x v="55"/>
    <x v="34"/>
    <x v="58"/>
    <x v="43"/>
    <x v="55"/>
    <x v="11"/>
    <x v="18"/>
    <x v="323"/>
    <x v="41"/>
    <x v="61"/>
    <x v="45"/>
    <x v="4"/>
  </r>
  <r>
    <x v="809"/>
    <x v="36"/>
    <x v="12"/>
    <x v="48"/>
    <x v="13"/>
    <x v="56"/>
    <x v="6"/>
    <x v="6"/>
    <x v="76"/>
    <x v="38"/>
    <x v="24"/>
    <x v="49"/>
    <x v="4"/>
  </r>
  <r>
    <x v="810"/>
    <x v="42"/>
    <x v="0"/>
    <x v="45"/>
    <x v="9"/>
    <x v="38"/>
    <x v="10"/>
    <x v="15"/>
    <x v="168"/>
    <x v="53"/>
    <x v="38"/>
    <x v="43"/>
    <x v="4"/>
  </r>
  <r>
    <x v="811"/>
    <x v="35"/>
    <x v="17"/>
    <x v="40"/>
    <x v="15"/>
    <x v="21"/>
    <x v="6"/>
    <x v="4"/>
    <x v="155"/>
    <x v="43"/>
    <x v="30"/>
    <x v="36"/>
    <x v="4"/>
  </r>
  <r>
    <x v="812"/>
    <x v="55"/>
    <x v="21"/>
    <x v="48"/>
    <x v="13"/>
    <x v="15"/>
    <x v="4"/>
    <x v="3"/>
    <x v="98"/>
    <x v="32"/>
    <x v="31"/>
    <x v="46"/>
    <x v="4"/>
  </r>
  <r>
    <x v="813"/>
    <x v="29"/>
    <x v="33"/>
    <x v="40"/>
    <x v="24"/>
    <x v="45"/>
    <x v="6"/>
    <x v="5"/>
    <x v="156"/>
    <x v="56"/>
    <x v="16"/>
    <x v="47"/>
    <x v="3"/>
  </r>
  <r>
    <x v="814"/>
    <x v="38"/>
    <x v="5"/>
    <x v="52"/>
    <x v="10"/>
    <x v="53"/>
    <x v="9"/>
    <x v="17"/>
    <x v="246"/>
    <x v="48"/>
    <x v="29"/>
    <x v="25"/>
    <x v="2"/>
  </r>
  <r>
    <x v="815"/>
    <x v="43"/>
    <x v="23"/>
    <x v="52"/>
    <x v="13"/>
    <x v="74"/>
    <x v="4"/>
    <x v="4"/>
    <x v="180"/>
    <x v="43"/>
    <x v="24"/>
    <x v="37"/>
    <x v="3"/>
  </r>
  <r>
    <x v="816"/>
    <x v="48"/>
    <x v="25"/>
    <x v="52"/>
    <x v="11"/>
    <x v="51"/>
    <x v="12"/>
    <x v="45"/>
    <x v="215"/>
    <x v="41"/>
    <x v="20"/>
    <x v="35"/>
    <x v="3"/>
  </r>
  <r>
    <x v="817"/>
    <x v="17"/>
    <x v="50"/>
    <x v="12"/>
    <x v="17"/>
    <x v="83"/>
    <x v="25"/>
    <x v="30"/>
    <x v="140"/>
    <x v="59"/>
    <x v="33"/>
    <x v="37"/>
    <x v="4"/>
  </r>
  <r>
    <x v="818"/>
    <x v="33"/>
    <x v="54"/>
    <x v="5"/>
    <x v="11"/>
    <x v="52"/>
    <x v="12"/>
    <x v="26"/>
    <x v="316"/>
    <x v="48"/>
    <x v="23"/>
    <x v="20"/>
    <x v="2"/>
  </r>
  <r>
    <x v="819"/>
    <x v="38"/>
    <x v="37"/>
    <x v="27"/>
    <x v="10"/>
    <x v="21"/>
    <x v="18"/>
    <x v="32"/>
    <x v="139"/>
    <x v="28"/>
    <x v="47"/>
    <x v="35"/>
    <x v="3"/>
  </r>
  <r>
    <x v="820"/>
    <x v="24"/>
    <x v="48"/>
    <x v="14"/>
    <x v="5"/>
    <x v="41"/>
    <x v="7"/>
    <x v="12"/>
    <x v="200"/>
    <x v="39"/>
    <x v="24"/>
    <x v="10"/>
    <x v="2"/>
  </r>
  <r>
    <x v="821"/>
    <x v="19"/>
    <x v="50"/>
    <x v="2"/>
    <x v="13"/>
    <x v="78"/>
    <x v="6"/>
    <x v="10"/>
    <x v="251"/>
    <x v="50"/>
    <x v="31"/>
    <x v="12"/>
    <x v="2"/>
  </r>
  <r>
    <x v="822"/>
    <x v="41"/>
    <x v="11"/>
    <x v="39"/>
    <x v="11"/>
    <x v="63"/>
    <x v="20"/>
    <x v="21"/>
    <x v="163"/>
    <x v="27"/>
    <x v="31"/>
    <x v="36"/>
    <x v="3"/>
  </r>
  <r>
    <x v="823"/>
    <x v="36"/>
    <x v="21"/>
    <x v="40"/>
    <x v="19"/>
    <x v="28"/>
    <x v="24"/>
    <x v="42"/>
    <x v="170"/>
    <x v="46"/>
    <x v="48"/>
    <x v="33"/>
    <x v="3"/>
  </r>
  <r>
    <x v="824"/>
    <x v="43"/>
    <x v="26"/>
    <x v="41"/>
    <x v="19"/>
    <x v="66"/>
    <x v="6"/>
    <x v="4"/>
    <x v="208"/>
    <x v="25"/>
    <x v="20"/>
    <x v="43"/>
    <x v="4"/>
  </r>
  <r>
    <x v="825"/>
    <x v="38"/>
    <x v="68"/>
    <x v="20"/>
    <x v="13"/>
    <x v="60"/>
    <x v="23"/>
    <x v="106"/>
    <x v="314"/>
    <x v="25"/>
    <x v="10"/>
    <x v="7"/>
    <x v="2"/>
  </r>
  <r>
    <x v="826"/>
    <x v="43"/>
    <x v="29"/>
    <x v="43"/>
    <x v="19"/>
    <x v="31"/>
    <x v="29"/>
    <x v="40"/>
    <x v="87"/>
    <x v="32"/>
    <x v="22"/>
    <x v="47"/>
    <x v="3"/>
  </r>
  <r>
    <x v="827"/>
    <x v="20"/>
    <x v="48"/>
    <x v="9"/>
    <x v="27"/>
    <x v="42"/>
    <x v="7"/>
    <x v="16"/>
    <x v="263"/>
    <x v="58"/>
    <x v="23"/>
    <x v="23"/>
    <x v="2"/>
  </r>
  <r>
    <x v="828"/>
    <x v="57"/>
    <x v="10"/>
    <x v="48"/>
    <x v="10"/>
    <x v="29"/>
    <x v="6"/>
    <x v="4"/>
    <x v="306"/>
    <x v="45"/>
    <x v="49"/>
    <x v="32"/>
    <x v="3"/>
  </r>
  <r>
    <x v="829"/>
    <x v="54"/>
    <x v="26"/>
    <x v="50"/>
    <x v="19"/>
    <x v="67"/>
    <x v="6"/>
    <x v="7"/>
    <x v="242"/>
    <x v="34"/>
    <x v="27"/>
    <x v="40"/>
    <x v="4"/>
  </r>
  <r>
    <x v="830"/>
    <x v="38"/>
    <x v="21"/>
    <x v="44"/>
    <x v="7"/>
    <x v="42"/>
    <x v="6"/>
    <x v="6"/>
    <x v="209"/>
    <x v="64"/>
    <x v="25"/>
    <x v="29"/>
    <x v="2"/>
  </r>
  <r>
    <x v="831"/>
    <x v="41"/>
    <x v="20"/>
    <x v="41"/>
    <x v="62"/>
    <x v="36"/>
    <x v="7"/>
    <x v="7"/>
    <x v="254"/>
    <x v="42"/>
    <x v="24"/>
    <x v="46"/>
    <x v="4"/>
  </r>
  <r>
    <x v="832"/>
    <x v="25"/>
    <x v="30"/>
    <x v="30"/>
    <x v="13"/>
    <x v="46"/>
    <x v="35"/>
    <x v="66"/>
    <x v="287"/>
    <x v="56"/>
    <x v="14"/>
    <x v="11"/>
    <x v="2"/>
  </r>
  <r>
    <x v="833"/>
    <x v="37"/>
    <x v="54"/>
    <x v="29"/>
    <x v="22"/>
    <x v="72"/>
    <x v="31"/>
    <x v="110"/>
    <x v="355"/>
    <x v="27"/>
    <x v="12"/>
    <x v="6"/>
    <x v="2"/>
  </r>
  <r>
    <x v="834"/>
    <x v="23"/>
    <x v="29"/>
    <x v="32"/>
    <x v="36"/>
    <x v="24"/>
    <x v="9"/>
    <x v="23"/>
    <x v="79"/>
    <x v="40"/>
    <x v="11"/>
    <x v="37"/>
    <x v="4"/>
  </r>
  <r>
    <x v="835"/>
    <x v="75"/>
    <x v="35"/>
    <x v="49"/>
    <x v="3"/>
    <x v="38"/>
    <x v="2"/>
    <x v="0"/>
    <x v="279"/>
    <x v="25"/>
    <x v="25"/>
    <x v="25"/>
    <x v="2"/>
  </r>
  <r>
    <x v="836"/>
    <x v="44"/>
    <x v="41"/>
    <x v="30"/>
    <x v="10"/>
    <x v="28"/>
    <x v="8"/>
    <x v="11"/>
    <x v="340"/>
    <x v="44"/>
    <x v="33"/>
    <x v="26"/>
    <x v="3"/>
  </r>
  <r>
    <x v="837"/>
    <x v="48"/>
    <x v="108"/>
    <x v="26"/>
    <x v="10"/>
    <x v="42"/>
    <x v="13"/>
    <x v="22"/>
    <x v="296"/>
    <x v="37"/>
    <x v="24"/>
    <x v="20"/>
    <x v="2"/>
  </r>
  <r>
    <x v="838"/>
    <x v="26"/>
    <x v="43"/>
    <x v="32"/>
    <x v="13"/>
    <x v="33"/>
    <x v="51"/>
    <x v="64"/>
    <x v="81"/>
    <x v="46"/>
    <x v="44"/>
    <x v="54"/>
    <x v="3"/>
  </r>
  <r>
    <x v="839"/>
    <x v="27"/>
    <x v="52"/>
    <x v="0"/>
    <x v="11"/>
    <x v="27"/>
    <x v="7"/>
    <x v="5"/>
    <x v="176"/>
    <x v="57"/>
    <x v="20"/>
    <x v="37"/>
    <x v="3"/>
  </r>
  <r>
    <x v="840"/>
    <x v="51"/>
    <x v="21"/>
    <x v="39"/>
    <x v="3"/>
    <x v="29"/>
    <x v="2"/>
    <x v="1"/>
    <x v="105"/>
    <x v="31"/>
    <x v="17"/>
    <x v="38"/>
    <x v="4"/>
  </r>
  <r>
    <x v="841"/>
    <x v="24"/>
    <x v="23"/>
    <x v="30"/>
    <x v="5"/>
    <x v="43"/>
    <x v="35"/>
    <x v="64"/>
    <x v="281"/>
    <x v="56"/>
    <x v="12"/>
    <x v="11"/>
    <x v="2"/>
  </r>
  <r>
    <x v="842"/>
    <x v="30"/>
    <x v="27"/>
    <x v="12"/>
    <x v="7"/>
    <x v="60"/>
    <x v="19"/>
    <x v="21"/>
    <x v="203"/>
    <x v="28"/>
    <x v="11"/>
    <x v="11"/>
    <x v="2"/>
  </r>
  <r>
    <x v="843"/>
    <x v="50"/>
    <x v="14"/>
    <x v="40"/>
    <x v="4"/>
    <x v="36"/>
    <x v="14"/>
    <x v="15"/>
    <x v="172"/>
    <x v="26"/>
    <x v="13"/>
    <x v="32"/>
    <x v="3"/>
  </r>
  <r>
    <x v="844"/>
    <x v="24"/>
    <x v="21"/>
    <x v="28"/>
    <x v="11"/>
    <x v="45"/>
    <x v="31"/>
    <x v="62"/>
    <x v="282"/>
    <x v="57"/>
    <x v="10"/>
    <x v="11"/>
    <x v="2"/>
  </r>
  <r>
    <x v="845"/>
    <x v="18"/>
    <x v="29"/>
    <x v="10"/>
    <x v="11"/>
    <x v="39"/>
    <x v="30"/>
    <x v="41"/>
    <x v="170"/>
    <x v="48"/>
    <x v="10"/>
    <x v="11"/>
    <x v="3"/>
  </r>
  <r>
    <x v="846"/>
    <x v="53"/>
    <x v="22"/>
    <x v="45"/>
    <x v="20"/>
    <x v="55"/>
    <x v="20"/>
    <x v="83"/>
    <x v="394"/>
    <x v="27"/>
    <x v="5"/>
    <x v="11"/>
    <x v="2"/>
  </r>
  <r>
    <x v="847"/>
    <x v="30"/>
    <x v="56"/>
    <x v="6"/>
    <x v="11"/>
    <x v="42"/>
    <x v="19"/>
    <x v="35"/>
    <x v="284"/>
    <x v="51"/>
    <x v="24"/>
    <x v="22"/>
    <x v="3"/>
  </r>
  <r>
    <x v="848"/>
    <x v="9"/>
    <x v="68"/>
    <x v="0"/>
    <x v="15"/>
    <x v="50"/>
    <x v="2"/>
    <x v="5"/>
    <x v="61"/>
    <x v="81"/>
    <x v="25"/>
    <x v="53"/>
    <x v="4"/>
  </r>
  <r>
    <x v="849"/>
    <x v="42"/>
    <x v="104"/>
    <x v="34"/>
    <x v="3"/>
    <x v="13"/>
    <x v="3"/>
    <x v="4"/>
    <x v="170"/>
    <x v="24"/>
    <x v="10"/>
    <x v="6"/>
    <x v="3"/>
  </r>
  <r>
    <x v="850"/>
    <x v="17"/>
    <x v="74"/>
    <x v="0"/>
    <x v="6"/>
    <x v="18"/>
    <x v="7"/>
    <x v="6"/>
    <x v="10"/>
    <x v="59"/>
    <x v="15"/>
    <x v="54"/>
    <x v="3"/>
  </r>
  <r>
    <x v="851"/>
    <x v="28"/>
    <x v="33"/>
    <x v="30"/>
    <x v="15"/>
    <x v="25"/>
    <x v="6"/>
    <x v="6"/>
    <x v="123"/>
    <x v="56"/>
    <x v="34"/>
    <x v="39"/>
    <x v="4"/>
  </r>
  <r>
    <x v="852"/>
    <x v="52"/>
    <x v="22"/>
    <x v="38"/>
    <x v="4"/>
    <x v="21"/>
    <x v="31"/>
    <x v="41"/>
    <x v="268"/>
    <x v="38"/>
    <x v="44"/>
    <x v="28"/>
    <x v="4"/>
  </r>
  <r>
    <x v="853"/>
    <x v="44"/>
    <x v="13"/>
    <x v="33"/>
    <x v="12"/>
    <x v="26"/>
    <x v="13"/>
    <x v="21"/>
    <x v="137"/>
    <x v="38"/>
    <x v="46"/>
    <x v="41"/>
    <x v="4"/>
  </r>
  <r>
    <x v="854"/>
    <x v="21"/>
    <x v="23"/>
    <x v="32"/>
    <x v="9"/>
    <x v="30"/>
    <x v="3"/>
    <x v="2"/>
    <x v="25"/>
    <x v="48"/>
    <x v="17"/>
    <x v="53"/>
    <x v="4"/>
  </r>
  <r>
    <x v="855"/>
    <x v="35"/>
    <x v="33"/>
    <x v="29"/>
    <x v="5"/>
    <x v="44"/>
    <x v="27"/>
    <x v="39"/>
    <x v="207"/>
    <x v="37"/>
    <x v="16"/>
    <x v="24"/>
    <x v="2"/>
  </r>
  <r>
    <x v="856"/>
    <x v="44"/>
    <x v="15"/>
    <x v="34"/>
    <x v="11"/>
    <x v="27"/>
    <x v="12"/>
    <x v="19"/>
    <x v="137"/>
    <x v="38"/>
    <x v="46"/>
    <x v="41"/>
    <x v="4"/>
  </r>
  <r>
    <x v="857"/>
    <x v="42"/>
    <x v="22"/>
    <x v="40"/>
    <x v="36"/>
    <x v="73"/>
    <x v="12"/>
    <x v="18"/>
    <x v="165"/>
    <x v="35"/>
    <x v="32"/>
    <x v="45"/>
    <x v="4"/>
  </r>
  <r>
    <x v="858"/>
    <x v="49"/>
    <x v="41"/>
    <x v="36"/>
    <x v="25"/>
    <x v="79"/>
    <x v="26"/>
    <x v="49"/>
    <x v="305"/>
    <x v="30"/>
    <x v="30"/>
    <x v="32"/>
    <x v="2"/>
  </r>
  <r>
    <x v="859"/>
    <x v="42"/>
    <x v="12"/>
    <x v="45"/>
    <x v="7"/>
    <x v="30"/>
    <x v="7"/>
    <x v="6"/>
    <x v="50"/>
    <x v="37"/>
    <x v="17"/>
    <x v="48"/>
    <x v="4"/>
  </r>
  <r>
    <x v="860"/>
    <x v="42"/>
    <x v="19"/>
    <x v="31"/>
    <x v="11"/>
    <x v="51"/>
    <x v="12"/>
    <x v="13"/>
    <x v="182"/>
    <x v="29"/>
    <x v="17"/>
    <x v="25"/>
    <x v="3"/>
  </r>
  <r>
    <x v="861"/>
    <x v="30"/>
    <x v="128"/>
    <x v="15"/>
    <x v="13"/>
    <x v="65"/>
    <x v="11"/>
    <x v="26"/>
    <x v="208"/>
    <x v="35"/>
    <x v="10"/>
    <x v="20"/>
    <x v="2"/>
  </r>
  <r>
    <x v="862"/>
    <x v="28"/>
    <x v="78"/>
    <x v="0"/>
    <x v="5"/>
    <x v="55"/>
    <x v="22"/>
    <x v="25"/>
    <x v="235"/>
    <x v="50"/>
    <x v="20"/>
    <x v="20"/>
    <x v="3"/>
  </r>
  <r>
    <x v="863"/>
    <x v="33"/>
    <x v="52"/>
    <x v="16"/>
    <x v="11"/>
    <x v="83"/>
    <x v="2"/>
    <x v="1"/>
    <x v="96"/>
    <x v="34"/>
    <x v="20"/>
    <x v="36"/>
    <x v="3"/>
  </r>
  <r>
    <x v="864"/>
    <x v="58"/>
    <x v="27"/>
    <x v="46"/>
    <x v="15"/>
    <x v="38"/>
    <x v="14"/>
    <x v="21"/>
    <x v="204"/>
    <x v="18"/>
    <x v="46"/>
    <x v="38"/>
    <x v="3"/>
  </r>
  <r>
    <x v="865"/>
    <x v="42"/>
    <x v="26"/>
    <x v="40"/>
    <x v="15"/>
    <x v="31"/>
    <x v="12"/>
    <x v="22"/>
    <x v="116"/>
    <x v="39"/>
    <x v="37"/>
    <x v="51"/>
    <x v="4"/>
  </r>
  <r>
    <x v="866"/>
    <x v="33"/>
    <x v="2"/>
    <x v="37"/>
    <x v="0"/>
    <x v="12"/>
    <x v="36"/>
    <x v="102"/>
    <x v="0"/>
    <x v="4"/>
    <x v="6"/>
    <x v="52"/>
    <x v="3"/>
  </r>
  <r>
    <x v="867"/>
    <x v="23"/>
    <x v="41"/>
    <x v="14"/>
    <x v="9"/>
    <x v="41"/>
    <x v="10"/>
    <x v="17"/>
    <x v="236"/>
    <x v="65"/>
    <x v="23"/>
    <x v="25"/>
    <x v="2"/>
  </r>
  <r>
    <x v="868"/>
    <x v="66"/>
    <x v="23"/>
    <x v="66"/>
    <x v="19"/>
    <x v="86"/>
    <x v="2"/>
    <x v="2"/>
    <x v="241"/>
    <x v="32"/>
    <x v="15"/>
    <x v="43"/>
    <x v="3"/>
  </r>
  <r>
    <x v="869"/>
    <x v="23"/>
    <x v="42"/>
    <x v="9"/>
    <x v="13"/>
    <x v="25"/>
    <x v="3"/>
    <x v="3"/>
    <x v="193"/>
    <x v="47"/>
    <x v="16"/>
    <x v="26"/>
    <x v="2"/>
  </r>
  <r>
    <x v="870"/>
    <x v="35"/>
    <x v="19"/>
    <x v="42"/>
    <x v="17"/>
    <x v="61"/>
    <x v="2"/>
    <x v="3"/>
    <x v="131"/>
    <x v="39"/>
    <x v="17"/>
    <x v="48"/>
    <x v="3"/>
  </r>
  <r>
    <x v="871"/>
    <x v="30"/>
    <x v="52"/>
    <x v="1"/>
    <x v="9"/>
    <x v="51"/>
    <x v="12"/>
    <x v="12"/>
    <x v="180"/>
    <x v="44"/>
    <x v="18"/>
    <x v="26"/>
    <x v="4"/>
  </r>
  <r>
    <x v="872"/>
    <x v="39"/>
    <x v="102"/>
    <x v="0"/>
    <x v="25"/>
    <x v="58"/>
    <x v="17"/>
    <x v="37"/>
    <x v="364"/>
    <x v="45"/>
    <x v="22"/>
    <x v="25"/>
    <x v="3"/>
  </r>
  <r>
    <x v="873"/>
    <x v="32"/>
    <x v="17"/>
    <x v="32"/>
    <x v="10"/>
    <x v="29"/>
    <x v="14"/>
    <x v="30"/>
    <x v="56"/>
    <x v="53"/>
    <x v="18"/>
    <x v="51"/>
    <x v="3"/>
  </r>
  <r>
    <x v="874"/>
    <x v="17"/>
    <x v="95"/>
    <x v="0"/>
    <x v="15"/>
    <x v="28"/>
    <x v="28"/>
    <x v="46"/>
    <x v="61"/>
    <x v="61"/>
    <x v="14"/>
    <x v="40"/>
    <x v="2"/>
  </r>
  <r>
    <x v="875"/>
    <x v="25"/>
    <x v="21"/>
    <x v="21"/>
    <x v="20"/>
    <x v="38"/>
    <x v="43"/>
    <x v="62"/>
    <x v="195"/>
    <x v="49"/>
    <x v="16"/>
    <x v="22"/>
    <x v="3"/>
  </r>
  <r>
    <x v="876"/>
    <x v="24"/>
    <x v="54"/>
    <x v="0"/>
    <x v="13"/>
    <x v="54"/>
    <x v="9"/>
    <x v="8"/>
    <x v="117"/>
    <x v="54"/>
    <x v="17"/>
    <x v="39"/>
    <x v="4"/>
  </r>
  <r>
    <x v="877"/>
    <x v="26"/>
    <x v="47"/>
    <x v="1"/>
    <x v="9"/>
    <x v="56"/>
    <x v="9"/>
    <x v="9"/>
    <x v="136"/>
    <x v="47"/>
    <x v="20"/>
    <x v="33"/>
    <x v="4"/>
  </r>
  <r>
    <x v="878"/>
    <x v="34"/>
    <x v="100"/>
    <x v="0"/>
    <x v="43"/>
    <x v="58"/>
    <x v="4"/>
    <x v="8"/>
    <x v="377"/>
    <x v="48"/>
    <x v="15"/>
    <x v="15"/>
    <x v="2"/>
  </r>
  <r>
    <x v="879"/>
    <x v="28"/>
    <x v="50"/>
    <x v="8"/>
    <x v="22"/>
    <x v="52"/>
    <x v="14"/>
    <x v="21"/>
    <x v="200"/>
    <x v="42"/>
    <x v="21"/>
    <x v="25"/>
    <x v="3"/>
  </r>
  <r>
    <x v="880"/>
    <x v="42"/>
    <x v="85"/>
    <x v="18"/>
    <x v="20"/>
    <x v="40"/>
    <x v="15"/>
    <x v="42"/>
    <x v="319"/>
    <x v="32"/>
    <x v="9"/>
    <x v="16"/>
    <x v="3"/>
  </r>
  <r>
    <x v="881"/>
    <x v="54"/>
    <x v="25"/>
    <x v="34"/>
    <x v="19"/>
    <x v="48"/>
    <x v="4"/>
    <x v="11"/>
    <x v="273"/>
    <x v="29"/>
    <x v="27"/>
    <x v="28"/>
    <x v="4"/>
  </r>
  <r>
    <x v="882"/>
    <x v="29"/>
    <x v="17"/>
    <x v="34"/>
    <x v="20"/>
    <x v="45"/>
    <x v="26"/>
    <x v="29"/>
    <x v="51"/>
    <x v="34"/>
    <x v="21"/>
    <x v="50"/>
    <x v="4"/>
  </r>
  <r>
    <x v="883"/>
    <x v="26"/>
    <x v="117"/>
    <x v="10"/>
    <x v="9"/>
    <x v="37"/>
    <x v="20"/>
    <x v="50"/>
    <x v="265"/>
    <x v="47"/>
    <x v="18"/>
    <x v="7"/>
    <x v="2"/>
  </r>
  <r>
    <x v="884"/>
    <x v="40"/>
    <x v="30"/>
    <x v="41"/>
    <x v="65"/>
    <x v="41"/>
    <x v="25"/>
    <x v="36"/>
    <x v="150"/>
    <x v="36"/>
    <x v="39"/>
    <x v="51"/>
    <x v="4"/>
  </r>
  <r>
    <x v="885"/>
    <x v="42"/>
    <x v="41"/>
    <x v="21"/>
    <x v="15"/>
    <x v="51"/>
    <x v="21"/>
    <x v="33"/>
    <x v="280"/>
    <x v="45"/>
    <x v="45"/>
    <x v="35"/>
    <x v="3"/>
  </r>
  <r>
    <x v="886"/>
    <x v="27"/>
    <x v="124"/>
    <x v="0"/>
    <x v="15"/>
    <x v="51"/>
    <x v="16"/>
    <x v="26"/>
    <x v="330"/>
    <x v="70"/>
    <x v="29"/>
    <x v="23"/>
    <x v="2"/>
  </r>
  <r>
    <x v="887"/>
    <x v="22"/>
    <x v="40"/>
    <x v="19"/>
    <x v="7"/>
    <x v="42"/>
    <x v="13"/>
    <x v="20"/>
    <x v="164"/>
    <x v="50"/>
    <x v="26"/>
    <x v="17"/>
    <x v="3"/>
  </r>
  <r>
    <x v="888"/>
    <x v="48"/>
    <x v="27"/>
    <x v="41"/>
    <x v="81"/>
    <x v="32"/>
    <x v="18"/>
    <x v="33"/>
    <x v="379"/>
    <x v="41"/>
    <x v="43"/>
    <x v="32"/>
    <x v="4"/>
  </r>
  <r>
    <x v="889"/>
    <x v="17"/>
    <x v="27"/>
    <x v="33"/>
    <x v="32"/>
    <x v="9"/>
    <x v="12"/>
    <x v="47"/>
    <x v="29"/>
    <x v="48"/>
    <x v="24"/>
    <x v="47"/>
    <x v="3"/>
  </r>
  <r>
    <x v="890"/>
    <x v="22"/>
    <x v="34"/>
    <x v="0"/>
    <x v="3"/>
    <x v="33"/>
    <x v="32"/>
    <x v="32"/>
    <x v="90"/>
    <x v="44"/>
    <x v="20"/>
    <x v="38"/>
    <x v="3"/>
  </r>
  <r>
    <x v="891"/>
    <x v="29"/>
    <x v="92"/>
    <x v="0"/>
    <x v="7"/>
    <x v="39"/>
    <x v="33"/>
    <x v="39"/>
    <x v="214"/>
    <x v="43"/>
    <x v="24"/>
    <x v="29"/>
    <x v="3"/>
  </r>
  <r>
    <x v="892"/>
    <x v="24"/>
    <x v="33"/>
    <x v="17"/>
    <x v="9"/>
    <x v="45"/>
    <x v="27"/>
    <x v="45"/>
    <x v="234"/>
    <x v="61"/>
    <x v="26"/>
    <x v="25"/>
    <x v="2"/>
  </r>
  <r>
    <x v="893"/>
    <x v="46"/>
    <x v="40"/>
    <x v="36"/>
    <x v="7"/>
    <x v="44"/>
    <x v="2"/>
    <x v="8"/>
    <x v="289"/>
    <x v="39"/>
    <x v="40"/>
    <x v="32"/>
    <x v="3"/>
  </r>
  <r>
    <x v="894"/>
    <x v="46"/>
    <x v="41"/>
    <x v="36"/>
    <x v="9"/>
    <x v="47"/>
    <x v="6"/>
    <x v="11"/>
    <x v="290"/>
    <x v="39"/>
    <x v="39"/>
    <x v="31"/>
    <x v="3"/>
  </r>
  <r>
    <x v="895"/>
    <x v="38"/>
    <x v="36"/>
    <x v="59"/>
    <x v="3"/>
    <x v="146"/>
    <x v="16"/>
    <x v="39"/>
    <x v="289"/>
    <x v="15"/>
    <x v="87"/>
    <x v="7"/>
    <x v="2"/>
  </r>
  <r>
    <x v="896"/>
    <x v="9"/>
    <x v="57"/>
    <x v="5"/>
    <x v="19"/>
    <x v="36"/>
    <x v="19"/>
    <x v="19"/>
    <x v="22"/>
    <x v="68"/>
    <x v="17"/>
    <x v="54"/>
    <x v="2"/>
  </r>
  <r>
    <x v="897"/>
    <x v="36"/>
    <x v="20"/>
    <x v="42"/>
    <x v="17"/>
    <x v="33"/>
    <x v="9"/>
    <x v="14"/>
    <x v="85"/>
    <x v="50"/>
    <x v="39"/>
    <x v="52"/>
    <x v="4"/>
  </r>
  <r>
    <x v="898"/>
    <x v="35"/>
    <x v="64"/>
    <x v="27"/>
    <x v="11"/>
    <x v="58"/>
    <x v="4"/>
    <x v="71"/>
    <x v="325"/>
    <x v="25"/>
    <x v="24"/>
    <x v="6"/>
    <x v="3"/>
  </r>
  <r>
    <x v="899"/>
    <x v="42"/>
    <x v="39"/>
    <x v="53"/>
    <x v="42"/>
    <x v="64"/>
    <x v="2"/>
    <x v="4"/>
    <x v="195"/>
    <x v="33"/>
    <x v="21"/>
    <x v="46"/>
    <x v="4"/>
  </r>
  <r>
    <x v="900"/>
    <x v="29"/>
    <x v="32"/>
    <x v="25"/>
    <x v="41"/>
    <x v="67"/>
    <x v="28"/>
    <x v="85"/>
    <x v="345"/>
    <x v="27"/>
    <x v="19"/>
    <x v="6"/>
    <x v="2"/>
  </r>
  <r>
    <x v="901"/>
    <x v="52"/>
    <x v="44"/>
    <x v="57"/>
    <x v="19"/>
    <x v="56"/>
    <x v="30"/>
    <x v="46"/>
    <x v="295"/>
    <x v="31"/>
    <x v="38"/>
    <x v="40"/>
    <x v="4"/>
  </r>
  <r>
    <x v="902"/>
    <x v="69"/>
    <x v="7"/>
    <x v="57"/>
    <x v="9"/>
    <x v="37"/>
    <x v="2"/>
    <x v="2"/>
    <x v="358"/>
    <x v="26"/>
    <x v="32"/>
    <x v="18"/>
    <x v="3"/>
  </r>
  <r>
    <x v="903"/>
    <x v="44"/>
    <x v="29"/>
    <x v="50"/>
    <x v="9"/>
    <x v="34"/>
    <x v="7"/>
    <x v="10"/>
    <x v="101"/>
    <x v="33"/>
    <x v="31"/>
    <x v="50"/>
    <x v="5"/>
  </r>
  <r>
    <x v="904"/>
    <x v="33"/>
    <x v="26"/>
    <x v="44"/>
    <x v="10"/>
    <x v="61"/>
    <x v="6"/>
    <x v="9"/>
    <x v="175"/>
    <x v="42"/>
    <x v="26"/>
    <x v="38"/>
    <x v="3"/>
  </r>
  <r>
    <x v="905"/>
    <x v="55"/>
    <x v="13"/>
    <x v="65"/>
    <x v="19"/>
    <x v="38"/>
    <x v="6"/>
    <x v="11"/>
    <x v="178"/>
    <x v="34"/>
    <x v="25"/>
    <x v="42"/>
    <x v="3"/>
  </r>
  <r>
    <x v="906"/>
    <x v="35"/>
    <x v="84"/>
    <x v="9"/>
    <x v="11"/>
    <x v="30"/>
    <x v="4"/>
    <x v="4"/>
    <x v="81"/>
    <x v="40"/>
    <x v="19"/>
    <x v="42"/>
    <x v="3"/>
  </r>
  <r>
    <x v="907"/>
    <x v="30"/>
    <x v="58"/>
    <x v="18"/>
    <x v="19"/>
    <x v="46"/>
    <x v="6"/>
    <x v="14"/>
    <x v="230"/>
    <x v="41"/>
    <x v="22"/>
    <x v="23"/>
    <x v="3"/>
  </r>
  <r>
    <x v="908"/>
    <x v="19"/>
    <x v="43"/>
    <x v="8"/>
    <x v="19"/>
    <x v="33"/>
    <x v="13"/>
    <x v="20"/>
    <x v="53"/>
    <x v="52"/>
    <x v="34"/>
    <x v="50"/>
    <x v="4"/>
  </r>
  <r>
    <x v="909"/>
    <x v="64"/>
    <x v="17"/>
    <x v="53"/>
    <x v="15"/>
    <x v="23"/>
    <x v="2"/>
    <x v="4"/>
    <x v="183"/>
    <x v="14"/>
    <x v="45"/>
    <x v="32"/>
    <x v="4"/>
  </r>
  <r>
    <x v="910"/>
    <x v="33"/>
    <x v="60"/>
    <x v="35"/>
    <x v="25"/>
    <x v="49"/>
    <x v="28"/>
    <x v="46"/>
    <x v="287"/>
    <x v="43"/>
    <x v="24"/>
    <x v="31"/>
    <x v="2"/>
  </r>
  <r>
    <x v="911"/>
    <x v="46"/>
    <x v="20"/>
    <x v="45"/>
    <x v="4"/>
    <x v="20"/>
    <x v="19"/>
    <x v="31"/>
    <x v="125"/>
    <x v="30"/>
    <x v="51"/>
    <x v="35"/>
    <x v="4"/>
  </r>
  <r>
    <x v="912"/>
    <x v="28"/>
    <x v="90"/>
    <x v="20"/>
    <x v="77"/>
    <x v="61"/>
    <x v="30"/>
    <x v="87"/>
    <x v="388"/>
    <x v="32"/>
    <x v="20"/>
    <x v="7"/>
    <x v="2"/>
  </r>
  <r>
    <x v="913"/>
    <x v="25"/>
    <x v="22"/>
    <x v="26"/>
    <x v="9"/>
    <x v="46"/>
    <x v="33"/>
    <x v="69"/>
    <x v="271"/>
    <x v="52"/>
    <x v="20"/>
    <x v="12"/>
    <x v="3"/>
  </r>
  <r>
    <x v="914"/>
    <x v="33"/>
    <x v="60"/>
    <x v="33"/>
    <x v="24"/>
    <x v="51"/>
    <x v="16"/>
    <x v="31"/>
    <x v="303"/>
    <x v="43"/>
    <x v="20"/>
    <x v="29"/>
    <x v="3"/>
  </r>
  <r>
    <x v="915"/>
    <x v="44"/>
    <x v="9"/>
    <x v="34"/>
    <x v="11"/>
    <x v="34"/>
    <x v="46"/>
    <x v="61"/>
    <x v="337"/>
    <x v="56"/>
    <x v="48"/>
    <x v="23"/>
    <x v="4"/>
  </r>
  <r>
    <x v="916"/>
    <x v="52"/>
    <x v="19"/>
    <x v="56"/>
    <x v="11"/>
    <x v="36"/>
    <x v="2"/>
    <x v="2"/>
    <x v="154"/>
    <x v="27"/>
    <x v="35"/>
    <x v="38"/>
    <x v="3"/>
  </r>
  <r>
    <x v="917"/>
    <x v="39"/>
    <x v="25"/>
    <x v="65"/>
    <x v="67"/>
    <x v="43"/>
    <x v="2"/>
    <x v="2"/>
    <x v="361"/>
    <x v="39"/>
    <x v="20"/>
    <x v="33"/>
    <x v="2"/>
  </r>
  <r>
    <x v="918"/>
    <x v="32"/>
    <x v="15"/>
    <x v="68"/>
    <x v="78"/>
    <x v="13"/>
    <x v="38"/>
    <x v="142"/>
    <x v="32"/>
    <x v="13"/>
    <x v="13"/>
    <x v="48"/>
    <x v="4"/>
  </r>
  <r>
    <x v="919"/>
    <x v="56"/>
    <x v="11"/>
    <x v="56"/>
    <x v="3"/>
    <x v="10"/>
    <x v="2"/>
    <x v="2"/>
    <x v="106"/>
    <x v="28"/>
    <x v="13"/>
    <x v="42"/>
    <x v="3"/>
  </r>
  <r>
    <x v="920"/>
    <x v="32"/>
    <x v="15"/>
    <x v="68"/>
    <x v="78"/>
    <x v="13"/>
    <x v="38"/>
    <x v="143"/>
    <x v="32"/>
    <x v="13"/>
    <x v="13"/>
    <x v="48"/>
    <x v="4"/>
  </r>
  <r>
    <x v="921"/>
    <x v="25"/>
    <x v="26"/>
    <x v="30"/>
    <x v="9"/>
    <x v="36"/>
    <x v="31"/>
    <x v="64"/>
    <x v="275"/>
    <x v="54"/>
    <x v="21"/>
    <x v="12"/>
    <x v="3"/>
  </r>
  <r>
    <x v="922"/>
    <x v="40"/>
    <x v="32"/>
    <x v="45"/>
    <x v="19"/>
    <x v="35"/>
    <x v="32"/>
    <x v="53"/>
    <x v="219"/>
    <x v="45"/>
    <x v="39"/>
    <x v="45"/>
    <x v="3"/>
  </r>
  <r>
    <x v="923"/>
    <x v="21"/>
    <x v="39"/>
    <x v="8"/>
    <x v="9"/>
    <x v="37"/>
    <x v="41"/>
    <x v="58"/>
    <x v="149"/>
    <x v="24"/>
    <x v="11"/>
    <x v="15"/>
    <x v="2"/>
  </r>
  <r>
    <x v="924"/>
    <x v="38"/>
    <x v="21"/>
    <x v="40"/>
    <x v="51"/>
    <x v="18"/>
    <x v="2"/>
    <x v="3"/>
    <x v="318"/>
    <x v="50"/>
    <x v="28"/>
    <x v="40"/>
    <x v="4"/>
  </r>
  <r>
    <x v="925"/>
    <x v="32"/>
    <x v="3"/>
    <x v="42"/>
    <x v="5"/>
    <x v="20"/>
    <x v="18"/>
    <x v="24"/>
    <x v="74"/>
    <x v="41"/>
    <x v="31"/>
    <x v="36"/>
    <x v="3"/>
  </r>
  <r>
    <x v="926"/>
    <x v="69"/>
    <x v="30"/>
    <x v="54"/>
    <x v="4"/>
    <x v="58"/>
    <x v="22"/>
    <x v="35"/>
    <x v="316"/>
    <x v="14"/>
    <x v="38"/>
    <x v="18"/>
    <x v="4"/>
  </r>
  <r>
    <x v="927"/>
    <x v="53"/>
    <x v="10"/>
    <x v="54"/>
    <x v="10"/>
    <x v="46"/>
    <x v="44"/>
    <x v="68"/>
    <x v="95"/>
    <x v="10"/>
    <x v="25"/>
    <x v="42"/>
    <x v="5"/>
  </r>
  <r>
    <x v="928"/>
    <x v="32"/>
    <x v="21"/>
    <x v="42"/>
    <x v="11"/>
    <x v="49"/>
    <x v="8"/>
    <x v="13"/>
    <x v="163"/>
    <x v="47"/>
    <x v="22"/>
    <x v="38"/>
    <x v="3"/>
  </r>
  <r>
    <x v="929"/>
    <x v="23"/>
    <x v="45"/>
    <x v="9"/>
    <x v="11"/>
    <x v="44"/>
    <x v="10"/>
    <x v="10"/>
    <x v="112"/>
    <x v="55"/>
    <x v="21"/>
    <x v="39"/>
    <x v="3"/>
  </r>
  <r>
    <x v="930"/>
    <x v="45"/>
    <x v="17"/>
    <x v="36"/>
    <x v="15"/>
    <x v="42"/>
    <x v="11"/>
    <x v="25"/>
    <x v="217"/>
    <x v="45"/>
    <x v="48"/>
    <x v="45"/>
    <x v="4"/>
  </r>
  <r>
    <x v="931"/>
    <x v="19"/>
    <x v="81"/>
    <x v="9"/>
    <x v="58"/>
    <x v="80"/>
    <x v="9"/>
    <x v="11"/>
    <x v="252"/>
    <x v="47"/>
    <x v="11"/>
    <x v="31"/>
    <x v="3"/>
  </r>
  <r>
    <x v="932"/>
    <x v="47"/>
    <x v="29"/>
    <x v="47"/>
    <x v="20"/>
    <x v="50"/>
    <x v="6"/>
    <x v="14"/>
    <x v="339"/>
    <x v="27"/>
    <x v="12"/>
    <x v="26"/>
    <x v="2"/>
  </r>
  <r>
    <x v="933"/>
    <x v="39"/>
    <x v="43"/>
    <x v="38"/>
    <x v="4"/>
    <x v="59"/>
    <x v="4"/>
    <x v="12"/>
    <x v="260"/>
    <x v="32"/>
    <x v="14"/>
    <x v="11"/>
    <x v="2"/>
  </r>
  <r>
    <x v="934"/>
    <x v="33"/>
    <x v="17"/>
    <x v="45"/>
    <x v="13"/>
    <x v="122"/>
    <x v="4"/>
    <x v="10"/>
    <x v="53"/>
    <x v="27"/>
    <x v="43"/>
    <x v="50"/>
    <x v="4"/>
  </r>
  <r>
    <x v="935"/>
    <x v="37"/>
    <x v="21"/>
    <x v="42"/>
    <x v="13"/>
    <x v="35"/>
    <x v="23"/>
    <x v="30"/>
    <x v="69"/>
    <x v="23"/>
    <x v="40"/>
    <x v="49"/>
    <x v="3"/>
  </r>
  <r>
    <x v="936"/>
    <x v="27"/>
    <x v="40"/>
    <x v="27"/>
    <x v="13"/>
    <x v="34"/>
    <x v="14"/>
    <x v="19"/>
    <x v="68"/>
    <x v="47"/>
    <x v="25"/>
    <x v="45"/>
    <x v="3"/>
  </r>
  <r>
    <x v="937"/>
    <x v="14"/>
    <x v="39"/>
    <x v="9"/>
    <x v="7"/>
    <x v="41"/>
    <x v="18"/>
    <x v="24"/>
    <x v="75"/>
    <x v="57"/>
    <x v="16"/>
    <x v="36"/>
    <x v="3"/>
  </r>
  <r>
    <x v="938"/>
    <x v="33"/>
    <x v="39"/>
    <x v="34"/>
    <x v="15"/>
    <x v="36"/>
    <x v="16"/>
    <x v="19"/>
    <x v="54"/>
    <x v="40"/>
    <x v="28"/>
    <x v="49"/>
    <x v="3"/>
  </r>
  <r>
    <x v="939"/>
    <x v="16"/>
    <x v="50"/>
    <x v="28"/>
    <x v="13"/>
    <x v="11"/>
    <x v="13"/>
    <x v="43"/>
    <x v="59"/>
    <x v="53"/>
    <x v="22"/>
    <x v="53"/>
    <x v="2"/>
  </r>
  <r>
    <x v="940"/>
    <x v="35"/>
    <x v="7"/>
    <x v="42"/>
    <x v="10"/>
    <x v="32"/>
    <x v="9"/>
    <x v="11"/>
    <x v="60"/>
    <x v="33"/>
    <x v="16"/>
    <x v="48"/>
    <x v="3"/>
  </r>
  <r>
    <x v="941"/>
    <x v="44"/>
    <x v="15"/>
    <x v="41"/>
    <x v="11"/>
    <x v="31"/>
    <x v="10"/>
    <x v="18"/>
    <x v="144"/>
    <x v="39"/>
    <x v="47"/>
    <x v="41"/>
    <x v="4"/>
  </r>
  <r>
    <x v="942"/>
    <x v="34"/>
    <x v="92"/>
    <x v="10"/>
    <x v="32"/>
    <x v="53"/>
    <x v="3"/>
    <x v="7"/>
    <x v="378"/>
    <x v="48"/>
    <x v="11"/>
    <x v="12"/>
    <x v="2"/>
  </r>
  <r>
    <x v="943"/>
    <x v="61"/>
    <x v="37"/>
    <x v="43"/>
    <x v="13"/>
    <x v="110"/>
    <x v="27"/>
    <x v="60"/>
    <x v="363"/>
    <x v="29"/>
    <x v="38"/>
    <x v="31"/>
    <x v="3"/>
  </r>
  <r>
    <x v="944"/>
    <x v="36"/>
    <x v="44"/>
    <x v="0"/>
    <x v="3"/>
    <x v="33"/>
    <x v="6"/>
    <x v="8"/>
    <x v="201"/>
    <x v="37"/>
    <x v="26"/>
    <x v="20"/>
    <x v="3"/>
  </r>
  <r>
    <x v="945"/>
    <x v="7"/>
    <x v="32"/>
    <x v="27"/>
    <x v="11"/>
    <x v="55"/>
    <x v="23"/>
    <x v="49"/>
    <x v="106"/>
    <x v="85"/>
    <x v="26"/>
    <x v="48"/>
    <x v="4"/>
  </r>
  <r>
    <x v="946"/>
    <x v="32"/>
    <x v="20"/>
    <x v="41"/>
    <x v="4"/>
    <x v="19"/>
    <x v="6"/>
    <x v="29"/>
    <x v="72"/>
    <x v="41"/>
    <x v="33"/>
    <x v="33"/>
    <x v="3"/>
  </r>
  <r>
    <x v="947"/>
    <x v="42"/>
    <x v="8"/>
    <x v="39"/>
    <x v="5"/>
    <x v="37"/>
    <x v="2"/>
    <x v="4"/>
    <x v="285"/>
    <x v="24"/>
    <x v="21"/>
    <x v="12"/>
    <x v="3"/>
  </r>
  <r>
    <x v="948"/>
    <x v="3"/>
    <x v="29"/>
    <x v="50"/>
    <x v="46"/>
    <x v="9"/>
    <x v="29"/>
    <x v="75"/>
    <x v="1"/>
    <x v="61"/>
    <x v="28"/>
    <x v="62"/>
    <x v="3"/>
  </r>
  <r>
    <x v="949"/>
    <x v="23"/>
    <x v="74"/>
    <x v="7"/>
    <x v="20"/>
    <x v="54"/>
    <x v="15"/>
    <x v="15"/>
    <x v="183"/>
    <x v="50"/>
    <x v="22"/>
    <x v="37"/>
    <x v="3"/>
  </r>
  <r>
    <x v="950"/>
    <x v="24"/>
    <x v="27"/>
    <x v="12"/>
    <x v="13"/>
    <x v="28"/>
    <x v="14"/>
    <x v="18"/>
    <x v="20"/>
    <x v="42"/>
    <x v="15"/>
    <x v="58"/>
    <x v="3"/>
  </r>
  <r>
    <x v="951"/>
    <x v="9"/>
    <x v="68"/>
    <x v="0"/>
    <x v="20"/>
    <x v="29"/>
    <x v="7"/>
    <x v="9"/>
    <x v="21"/>
    <x v="64"/>
    <x v="20"/>
    <x v="54"/>
    <x v="2"/>
  </r>
  <r>
    <x v="952"/>
    <x v="32"/>
    <x v="45"/>
    <x v="34"/>
    <x v="20"/>
    <x v="39"/>
    <x v="8"/>
    <x v="11"/>
    <x v="16"/>
    <x v="32"/>
    <x v="34"/>
    <x v="56"/>
    <x v="5"/>
  </r>
  <r>
    <x v="953"/>
    <x v="19"/>
    <x v="41"/>
    <x v="0"/>
    <x v="9"/>
    <x v="25"/>
    <x v="21"/>
    <x v="22"/>
    <x v="49"/>
    <x v="56"/>
    <x v="17"/>
    <x v="48"/>
    <x v="3"/>
  </r>
  <r>
    <x v="954"/>
    <x v="16"/>
    <x v="37"/>
    <x v="0"/>
    <x v="3"/>
    <x v="18"/>
    <x v="27"/>
    <x v="27"/>
    <x v="15"/>
    <x v="57"/>
    <x v="10"/>
    <x v="48"/>
    <x v="3"/>
  </r>
  <r>
    <x v="955"/>
    <x v="60"/>
    <x v="29"/>
    <x v="37"/>
    <x v="10"/>
    <x v="44"/>
    <x v="17"/>
    <x v="23"/>
    <x v="266"/>
    <x v="24"/>
    <x v="27"/>
    <x v="36"/>
    <x v="3"/>
  </r>
  <r>
    <x v="956"/>
    <x v="18"/>
    <x v="52"/>
    <x v="0"/>
    <x v="15"/>
    <x v="59"/>
    <x v="2"/>
    <x v="7"/>
    <x v="173"/>
    <x v="74"/>
    <x v="24"/>
    <x v="39"/>
    <x v="1"/>
  </r>
  <r>
    <x v="957"/>
    <x v="41"/>
    <x v="8"/>
    <x v="35"/>
    <x v="7"/>
    <x v="18"/>
    <x v="13"/>
    <x v="21"/>
    <x v="70"/>
    <x v="26"/>
    <x v="21"/>
    <x v="37"/>
    <x v="4"/>
  </r>
  <r>
    <x v="958"/>
    <x v="11"/>
    <x v="13"/>
    <x v="26"/>
    <x v="7"/>
    <x v="26"/>
    <x v="2"/>
    <x v="5"/>
    <x v="6"/>
    <x v="51"/>
    <x v="16"/>
    <x v="60"/>
    <x v="3"/>
  </r>
  <r>
    <x v="959"/>
    <x v="16"/>
    <x v="88"/>
    <x v="0"/>
    <x v="27"/>
    <x v="35"/>
    <x v="26"/>
    <x v="46"/>
    <x v="62"/>
    <x v="63"/>
    <x v="22"/>
    <x v="39"/>
    <x v="3"/>
  </r>
  <r>
    <x v="960"/>
    <x v="53"/>
    <x v="33"/>
    <x v="33"/>
    <x v="24"/>
    <x v="58"/>
    <x v="28"/>
    <x v="84"/>
    <x v="372"/>
    <x v="34"/>
    <x v="30"/>
    <x v="20"/>
    <x v="2"/>
  </r>
  <r>
    <x v="961"/>
    <x v="58"/>
    <x v="33"/>
    <x v="35"/>
    <x v="32"/>
    <x v="55"/>
    <x v="24"/>
    <x v="64"/>
    <x v="353"/>
    <x v="33"/>
    <x v="31"/>
    <x v="26"/>
    <x v="3"/>
  </r>
  <r>
    <x v="962"/>
    <x v="44"/>
    <x v="56"/>
    <x v="0"/>
    <x v="10"/>
    <x v="21"/>
    <x v="4"/>
    <x v="4"/>
    <x v="338"/>
    <x v="30"/>
    <x v="25"/>
    <x v="25"/>
    <x v="3"/>
  </r>
  <r>
    <x v="963"/>
    <x v="12"/>
    <x v="3"/>
    <x v="21"/>
    <x v="7"/>
    <x v="8"/>
    <x v="56"/>
    <x v="124"/>
    <x v="44"/>
    <x v="44"/>
    <x v="6"/>
    <x v="12"/>
    <x v="2"/>
  </r>
  <r>
    <x v="964"/>
    <x v="27"/>
    <x v="23"/>
    <x v="34"/>
    <x v="9"/>
    <x v="38"/>
    <x v="18"/>
    <x v="32"/>
    <x v="38"/>
    <x v="50"/>
    <x v="50"/>
    <x v="62"/>
    <x v="4"/>
  </r>
  <r>
    <x v="965"/>
    <x v="25"/>
    <x v="39"/>
    <x v="7"/>
    <x v="58"/>
    <x v="52"/>
    <x v="10"/>
    <x v="12"/>
    <x v="274"/>
    <x v="49"/>
    <x v="30"/>
    <x v="36"/>
    <x v="4"/>
  </r>
  <r>
    <x v="966"/>
    <x v="38"/>
    <x v="12"/>
    <x v="35"/>
    <x v="7"/>
    <x v="24"/>
    <x v="6"/>
    <x v="9"/>
    <x v="145"/>
    <x v="42"/>
    <x v="36"/>
    <x v="42"/>
    <x v="4"/>
  </r>
  <r>
    <x v="967"/>
    <x v="33"/>
    <x v="9"/>
    <x v="43"/>
    <x v="7"/>
    <x v="30"/>
    <x v="22"/>
    <x v="44"/>
    <x v="100"/>
    <x v="50"/>
    <x v="22"/>
    <x v="43"/>
    <x v="3"/>
  </r>
  <r>
    <x v="968"/>
    <x v="57"/>
    <x v="43"/>
    <x v="45"/>
    <x v="11"/>
    <x v="43"/>
    <x v="6"/>
    <x v="7"/>
    <x v="340"/>
    <x v="34"/>
    <x v="38"/>
    <x v="38"/>
    <x v="3"/>
  </r>
  <r>
    <x v="969"/>
    <x v="28"/>
    <x v="30"/>
    <x v="15"/>
    <x v="38"/>
    <x v="67"/>
    <x v="29"/>
    <x v="89"/>
    <x v="347"/>
    <x v="26"/>
    <x v="20"/>
    <x v="6"/>
    <x v="2"/>
  </r>
  <r>
    <x v="970"/>
    <x v="35"/>
    <x v="42"/>
    <x v="24"/>
    <x v="11"/>
    <x v="42"/>
    <x v="16"/>
    <x v="81"/>
    <x v="334"/>
    <x v="46"/>
    <x v="26"/>
    <x v="12"/>
    <x v="3"/>
  </r>
  <r>
    <x v="971"/>
    <x v="26"/>
    <x v="29"/>
    <x v="30"/>
    <x v="7"/>
    <x v="43"/>
    <x v="33"/>
    <x v="74"/>
    <x v="279"/>
    <x v="53"/>
    <x v="27"/>
    <x v="12"/>
    <x v="3"/>
  </r>
  <r>
    <x v="972"/>
    <x v="35"/>
    <x v="26"/>
    <x v="32"/>
    <x v="20"/>
    <x v="43"/>
    <x v="24"/>
    <x v="65"/>
    <x v="225"/>
    <x v="39"/>
    <x v="47"/>
    <x v="33"/>
    <x v="3"/>
  </r>
  <r>
    <x v="973"/>
    <x v="22"/>
    <x v="35"/>
    <x v="11"/>
    <x v="19"/>
    <x v="6"/>
    <x v="6"/>
    <x v="6"/>
    <x v="50"/>
    <x v="42"/>
    <x v="27"/>
    <x v="38"/>
    <x v="3"/>
  </r>
  <r>
    <x v="974"/>
    <x v="23"/>
    <x v="6"/>
    <x v="30"/>
    <x v="9"/>
    <x v="28"/>
    <x v="16"/>
    <x v="14"/>
    <x v="265"/>
    <x v="73"/>
    <x v="44"/>
    <x v="20"/>
    <x v="3"/>
  </r>
  <r>
    <x v="975"/>
    <x v="26"/>
    <x v="19"/>
    <x v="23"/>
    <x v="17"/>
    <x v="29"/>
    <x v="35"/>
    <x v="64"/>
    <x v="197"/>
    <x v="55"/>
    <x v="24"/>
    <x v="22"/>
    <x v="2"/>
  </r>
  <r>
    <x v="976"/>
    <x v="35"/>
    <x v="4"/>
    <x v="43"/>
    <x v="20"/>
    <x v="39"/>
    <x v="31"/>
    <x v="45"/>
    <x v="265"/>
    <x v="65"/>
    <x v="43"/>
    <x v="25"/>
    <x v="3"/>
  </r>
  <r>
    <x v="977"/>
    <x v="31"/>
    <x v="41"/>
    <x v="12"/>
    <x v="9"/>
    <x v="114"/>
    <x v="6"/>
    <x v="15"/>
    <x v="206"/>
    <x v="40"/>
    <x v="49"/>
    <x v="17"/>
    <x v="3"/>
  </r>
  <r>
    <x v="978"/>
    <x v="53"/>
    <x v="30"/>
    <x v="45"/>
    <x v="65"/>
    <x v="34"/>
    <x v="6"/>
    <x v="8"/>
    <x v="289"/>
    <x v="33"/>
    <x v="11"/>
    <x v="42"/>
    <x v="4"/>
  </r>
  <r>
    <x v="979"/>
    <x v="31"/>
    <x v="27"/>
    <x v="42"/>
    <x v="11"/>
    <x v="49"/>
    <x v="9"/>
    <x v="15"/>
    <x v="147"/>
    <x v="51"/>
    <x v="28"/>
    <x v="40"/>
    <x v="3"/>
  </r>
  <r>
    <x v="980"/>
    <x v="53"/>
    <x v="22"/>
    <x v="47"/>
    <x v="11"/>
    <x v="24"/>
    <x v="6"/>
    <x v="5"/>
    <x v="194"/>
    <x v="35"/>
    <x v="14"/>
    <x v="45"/>
    <x v="3"/>
  </r>
  <r>
    <x v="981"/>
    <x v="35"/>
    <x v="20"/>
    <x v="32"/>
    <x v="25"/>
    <x v="30"/>
    <x v="3"/>
    <x v="6"/>
    <x v="108"/>
    <x v="42"/>
    <x v="38"/>
    <x v="53"/>
    <x v="4"/>
  </r>
  <r>
    <x v="982"/>
    <x v="14"/>
    <x v="52"/>
    <x v="23"/>
    <x v="20"/>
    <x v="7"/>
    <x v="16"/>
    <x v="64"/>
    <x v="49"/>
    <x v="58"/>
    <x v="27"/>
    <x v="50"/>
    <x v="3"/>
  </r>
  <r>
    <x v="983"/>
    <x v="36"/>
    <x v="56"/>
    <x v="25"/>
    <x v="15"/>
    <x v="81"/>
    <x v="9"/>
    <x v="32"/>
    <x v="218"/>
    <x v="27"/>
    <x v="15"/>
    <x v="17"/>
    <x v="2"/>
  </r>
  <r>
    <x v="984"/>
    <x v="49"/>
    <x v="32"/>
    <x v="35"/>
    <x v="13"/>
    <x v="46"/>
    <x v="17"/>
    <x v="32"/>
    <x v="223"/>
    <x v="35"/>
    <x v="28"/>
    <x v="35"/>
    <x v="3"/>
  </r>
  <r>
    <x v="985"/>
    <x v="19"/>
    <x v="52"/>
    <x v="0"/>
    <x v="15"/>
    <x v="63"/>
    <x v="50"/>
    <x v="57"/>
    <x v="161"/>
    <x v="71"/>
    <x v="30"/>
    <x v="38"/>
    <x v="3"/>
  </r>
  <r>
    <x v="986"/>
    <x v="38"/>
    <x v="2"/>
    <x v="51"/>
    <x v="8"/>
    <x v="34"/>
    <x v="46"/>
    <x v="83"/>
    <x v="145"/>
    <x v="45"/>
    <x v="38"/>
    <x v="42"/>
    <x v="4"/>
  </r>
  <r>
    <x v="987"/>
    <x v="4"/>
    <x v="42"/>
    <x v="18"/>
    <x v="13"/>
    <x v="5"/>
    <x v="16"/>
    <x v="95"/>
    <x v="18"/>
    <x v="58"/>
    <x v="49"/>
    <x v="54"/>
    <x v="4"/>
  </r>
  <r>
    <x v="988"/>
    <x v="20"/>
    <x v="30"/>
    <x v="43"/>
    <x v="25"/>
    <x v="39"/>
    <x v="22"/>
    <x v="48"/>
    <x v="183"/>
    <x v="54"/>
    <x v="78"/>
    <x v="28"/>
    <x v="3"/>
  </r>
  <r>
    <x v="989"/>
    <x v="55"/>
    <x v="30"/>
    <x v="43"/>
    <x v="15"/>
    <x v="73"/>
    <x v="11"/>
    <x v="31"/>
    <x v="310"/>
    <x v="28"/>
    <x v="29"/>
    <x v="31"/>
    <x v="2"/>
  </r>
  <r>
    <x v="990"/>
    <x v="59"/>
    <x v="23"/>
    <x v="57"/>
    <x v="17"/>
    <x v="50"/>
    <x v="6"/>
    <x v="14"/>
    <x v="268"/>
    <x v="26"/>
    <x v="34"/>
    <x v="35"/>
    <x v="4"/>
  </r>
  <r>
    <x v="991"/>
    <x v="41"/>
    <x v="35"/>
    <x v="43"/>
    <x v="3"/>
    <x v="39"/>
    <x v="12"/>
    <x v="15"/>
    <x v="167"/>
    <x v="33"/>
    <x v="37"/>
    <x v="23"/>
    <x v="3"/>
  </r>
  <r>
    <x v="992"/>
    <x v="38"/>
    <x v="19"/>
    <x v="42"/>
    <x v="17"/>
    <x v="38"/>
    <x v="12"/>
    <x v="13"/>
    <x v="88"/>
    <x v="26"/>
    <x v="33"/>
    <x v="42"/>
    <x v="4"/>
  </r>
  <r>
    <x v="993"/>
    <x v="43"/>
    <x v="93"/>
    <x v="24"/>
    <x v="7"/>
    <x v="41"/>
    <x v="10"/>
    <x v="15"/>
    <x v="280"/>
    <x v="41"/>
    <x v="29"/>
    <x v="20"/>
    <x v="2"/>
  </r>
  <r>
    <x v="994"/>
    <x v="38"/>
    <x v="34"/>
    <x v="50"/>
    <x v="10"/>
    <x v="141"/>
    <x v="15"/>
    <x v="32"/>
    <x v="234"/>
    <x v="13"/>
    <x v="72"/>
    <x v="11"/>
    <x v="2"/>
  </r>
  <r>
    <x v="995"/>
    <x v="52"/>
    <x v="45"/>
    <x v="26"/>
    <x v="11"/>
    <x v="74"/>
    <x v="7"/>
    <x v="54"/>
    <x v="294"/>
    <x v="8"/>
    <x v="60"/>
    <x v="23"/>
    <x v="2"/>
  </r>
  <r>
    <x v="996"/>
    <x v="35"/>
    <x v="20"/>
    <x v="39"/>
    <x v="20"/>
    <x v="37"/>
    <x v="29"/>
    <x v="42"/>
    <x v="148"/>
    <x v="44"/>
    <x v="50"/>
    <x v="49"/>
    <x v="4"/>
  </r>
  <r>
    <x v="997"/>
    <x v="18"/>
    <x v="21"/>
    <x v="27"/>
    <x v="25"/>
    <x v="30"/>
    <x v="8"/>
    <x v="38"/>
    <x v="64"/>
    <x v="33"/>
    <x v="18"/>
    <x v="45"/>
    <x v="3"/>
  </r>
  <r>
    <x v="998"/>
    <x v="29"/>
    <x v="41"/>
    <x v="29"/>
    <x v="17"/>
    <x v="49"/>
    <x v="4"/>
    <x v="8"/>
    <x v="129"/>
    <x v="44"/>
    <x v="24"/>
    <x v="39"/>
    <x v="3"/>
  </r>
  <r>
    <x v="999"/>
    <x v="45"/>
    <x v="23"/>
    <x v="34"/>
    <x v="5"/>
    <x v="25"/>
    <x v="4"/>
    <x v="6"/>
    <x v="261"/>
    <x v="32"/>
    <x v="29"/>
    <x v="26"/>
    <x v="3"/>
  </r>
  <r>
    <x v="1000"/>
    <x v="24"/>
    <x v="54"/>
    <x v="0"/>
    <x v="15"/>
    <x v="41"/>
    <x v="26"/>
    <x v="38"/>
    <x v="143"/>
    <x v="54"/>
    <x v="30"/>
    <x v="31"/>
    <x v="3"/>
  </r>
  <r>
    <x v="1001"/>
    <x v="50"/>
    <x v="32"/>
    <x v="46"/>
    <x v="13"/>
    <x v="37"/>
    <x v="4"/>
    <x v="10"/>
    <x v="247"/>
    <x v="39"/>
    <x v="36"/>
    <x v="48"/>
    <x v="3"/>
  </r>
  <r>
    <x v="1002"/>
    <x v="29"/>
    <x v="23"/>
    <x v="31"/>
    <x v="7"/>
    <x v="42"/>
    <x v="26"/>
    <x v="59"/>
    <x v="299"/>
    <x v="58"/>
    <x v="24"/>
    <x v="12"/>
    <x v="3"/>
  </r>
  <r>
    <x v="1003"/>
    <x v="18"/>
    <x v="58"/>
    <x v="0"/>
    <x v="15"/>
    <x v="58"/>
    <x v="49"/>
    <x v="53"/>
    <x v="158"/>
    <x v="73"/>
    <x v="32"/>
    <x v="39"/>
    <x v="3"/>
  </r>
  <r>
    <x v="1004"/>
    <x v="18"/>
    <x v="112"/>
    <x v="3"/>
    <x v="59"/>
    <x v="42"/>
    <x v="23"/>
    <x v="41"/>
    <x v="183"/>
    <x v="70"/>
    <x v="12"/>
    <x v="36"/>
    <x v="1"/>
  </r>
  <r>
    <x v="1005"/>
    <x v="24"/>
    <x v="68"/>
    <x v="0"/>
    <x v="19"/>
    <x v="15"/>
    <x v="6"/>
    <x v="5"/>
    <x v="33"/>
    <x v="47"/>
    <x v="28"/>
    <x v="52"/>
    <x v="4"/>
  </r>
  <r>
    <x v="1006"/>
    <x v="9"/>
    <x v="118"/>
    <x v="0"/>
    <x v="13"/>
    <x v="4"/>
    <x v="17"/>
    <x v="73"/>
    <x v="46"/>
    <x v="78"/>
    <x v="35"/>
    <x v="38"/>
    <x v="2"/>
  </r>
  <r>
    <x v="1007"/>
    <x v="35"/>
    <x v="22"/>
    <x v="33"/>
    <x v="19"/>
    <x v="39"/>
    <x v="11"/>
    <x v="41"/>
    <x v="205"/>
    <x v="39"/>
    <x v="43"/>
    <x v="33"/>
    <x v="3"/>
  </r>
  <r>
    <x v="1008"/>
    <x v="51"/>
    <x v="27"/>
    <x v="43"/>
    <x v="6"/>
    <x v="31"/>
    <x v="4"/>
    <x v="5"/>
    <x v="111"/>
    <x v="31"/>
    <x v="8"/>
    <x v="38"/>
    <x v="2"/>
  </r>
  <r>
    <x v="1009"/>
    <x v="55"/>
    <x v="29"/>
    <x v="40"/>
    <x v="20"/>
    <x v="31"/>
    <x v="43"/>
    <x v="48"/>
    <x v="329"/>
    <x v="50"/>
    <x v="48"/>
    <x v="26"/>
    <x v="3"/>
  </r>
  <r>
    <x v="1010"/>
    <x v="21"/>
    <x v="68"/>
    <x v="7"/>
    <x v="5"/>
    <x v="33"/>
    <x v="16"/>
    <x v="55"/>
    <x v="183"/>
    <x v="41"/>
    <x v="22"/>
    <x v="10"/>
    <x v="2"/>
  </r>
  <r>
    <x v="1011"/>
    <x v="20"/>
    <x v="64"/>
    <x v="23"/>
    <x v="13"/>
    <x v="43"/>
    <x v="11"/>
    <x v="110"/>
    <x v="156"/>
    <x v="48"/>
    <x v="32"/>
    <x v="32"/>
    <x v="2"/>
  </r>
  <r>
    <x v="1012"/>
    <x v="23"/>
    <x v="33"/>
    <x v="30"/>
    <x v="11"/>
    <x v="48"/>
    <x v="6"/>
    <x v="33"/>
    <x v="46"/>
    <x v="45"/>
    <x v="8"/>
    <x v="43"/>
    <x v="3"/>
  </r>
  <r>
    <x v="1013"/>
    <x v="19"/>
    <x v="96"/>
    <x v="3"/>
    <x v="75"/>
    <x v="42"/>
    <x v="6"/>
    <x v="6"/>
    <x v="230"/>
    <x v="64"/>
    <x v="12"/>
    <x v="47"/>
    <x v="2"/>
  </r>
  <r>
    <x v="1014"/>
    <x v="41"/>
    <x v="122"/>
    <x v="5"/>
    <x v="9"/>
    <x v="38"/>
    <x v="4"/>
    <x v="13"/>
    <x v="218"/>
    <x v="42"/>
    <x v="6"/>
    <x v="15"/>
    <x v="1"/>
  </r>
  <r>
    <x v="1015"/>
    <x v="44"/>
    <x v="29"/>
    <x v="57"/>
    <x v="49"/>
    <x v="43"/>
    <x v="6"/>
    <x v="14"/>
    <x v="250"/>
    <x v="40"/>
    <x v="19"/>
    <x v="50"/>
    <x v="3"/>
  </r>
  <r>
    <x v="1016"/>
    <x v="18"/>
    <x v="113"/>
    <x v="0"/>
    <x v="17"/>
    <x v="106"/>
    <x v="6"/>
    <x v="6"/>
    <x v="167"/>
    <x v="68"/>
    <x v="13"/>
    <x v="31"/>
    <x v="2"/>
  </r>
  <r>
    <x v="1017"/>
    <x v="25"/>
    <x v="9"/>
    <x v="37"/>
    <x v="20"/>
    <x v="26"/>
    <x v="11"/>
    <x v="35"/>
    <x v="91"/>
    <x v="64"/>
    <x v="42"/>
    <x v="49"/>
    <x v="4"/>
  </r>
  <r>
    <x v="1018"/>
    <x v="17"/>
    <x v="113"/>
    <x v="0"/>
    <x v="17"/>
    <x v="106"/>
    <x v="6"/>
    <x v="6"/>
    <x v="167"/>
    <x v="68"/>
    <x v="13"/>
    <x v="31"/>
    <x v="2"/>
  </r>
  <r>
    <x v="1019"/>
    <x v="23"/>
    <x v="85"/>
    <x v="12"/>
    <x v="9"/>
    <x v="77"/>
    <x v="15"/>
    <x v="58"/>
    <x v="197"/>
    <x v="34"/>
    <x v="21"/>
    <x v="12"/>
    <x v="3"/>
  </r>
  <r>
    <x v="1020"/>
    <x v="15"/>
    <x v="33"/>
    <x v="22"/>
    <x v="9"/>
    <x v="41"/>
    <x v="21"/>
    <x v="50"/>
    <x v="233"/>
    <x v="64"/>
    <x v="22"/>
    <x v="12"/>
    <x v="3"/>
  </r>
  <r>
    <x v="1021"/>
    <x v="32"/>
    <x v="52"/>
    <x v="23"/>
    <x v="17"/>
    <x v="39"/>
    <x v="23"/>
    <x v="89"/>
    <x v="276"/>
    <x v="33"/>
    <x v="20"/>
    <x v="12"/>
    <x v="3"/>
  </r>
  <r>
    <x v="1022"/>
    <x v="30"/>
    <x v="50"/>
    <x v="21"/>
    <x v="4"/>
    <x v="32"/>
    <x v="3"/>
    <x v="3"/>
    <x v="98"/>
    <x v="28"/>
    <x v="16"/>
    <x v="17"/>
    <x v="3"/>
  </r>
  <r>
    <x v="1023"/>
    <x v="30"/>
    <x v="10"/>
    <x v="26"/>
    <x v="11"/>
    <x v="15"/>
    <x v="19"/>
    <x v="71"/>
    <x v="134"/>
    <x v="27"/>
    <x v="41"/>
    <x v="32"/>
    <x v="3"/>
  </r>
  <r>
    <x v="1024"/>
    <x v="32"/>
    <x v="21"/>
    <x v="36"/>
    <x v="10"/>
    <x v="28"/>
    <x v="4"/>
    <x v="4"/>
    <x v="82"/>
    <x v="39"/>
    <x v="16"/>
    <x v="36"/>
    <x v="4"/>
  </r>
  <r>
    <x v="1025"/>
    <x v="39"/>
    <x v="32"/>
    <x v="39"/>
    <x v="9"/>
    <x v="31"/>
    <x v="6"/>
    <x v="6"/>
    <x v="137"/>
    <x v="47"/>
    <x v="31"/>
    <x v="41"/>
    <x v="5"/>
  </r>
  <r>
    <x v="1026"/>
    <x v="52"/>
    <x v="84"/>
    <x v="19"/>
    <x v="61"/>
    <x v="74"/>
    <x v="33"/>
    <x v="70"/>
    <x v="384"/>
    <x v="26"/>
    <x v="17"/>
    <x v="11"/>
    <x v="2"/>
  </r>
  <r>
    <x v="1027"/>
    <x v="25"/>
    <x v="23"/>
    <x v="46"/>
    <x v="13"/>
    <x v="37"/>
    <x v="24"/>
    <x v="38"/>
    <x v="154"/>
    <x v="52"/>
    <x v="47"/>
    <x v="33"/>
    <x v="4"/>
  </r>
  <r>
    <x v="1028"/>
    <x v="52"/>
    <x v="80"/>
    <x v="55"/>
    <x v="7"/>
    <x v="93"/>
    <x v="24"/>
    <x v="46"/>
    <x v="328"/>
    <x v="47"/>
    <x v="56"/>
    <x v="20"/>
    <x v="2"/>
  </r>
  <r>
    <x v="1029"/>
    <x v="15"/>
    <x v="27"/>
    <x v="43"/>
    <x v="11"/>
    <x v="34"/>
    <x v="14"/>
    <x v="18"/>
    <x v="86"/>
    <x v="57"/>
    <x v="49"/>
    <x v="36"/>
    <x v="4"/>
  </r>
  <r>
    <x v="1030"/>
    <x v="21"/>
    <x v="66"/>
    <x v="2"/>
    <x v="13"/>
    <x v="41"/>
    <x v="8"/>
    <x v="9"/>
    <x v="125"/>
    <x v="47"/>
    <x v="24"/>
    <x v="25"/>
    <x v="3"/>
  </r>
  <r>
    <x v="1031"/>
    <x v="19"/>
    <x v="34"/>
    <x v="15"/>
    <x v="13"/>
    <x v="39"/>
    <x v="22"/>
    <x v="47"/>
    <x v="182"/>
    <x v="44"/>
    <x v="24"/>
    <x v="10"/>
    <x v="2"/>
  </r>
  <r>
    <x v="1032"/>
    <x v="49"/>
    <x v="26"/>
    <x v="42"/>
    <x v="10"/>
    <x v="34"/>
    <x v="4"/>
    <x v="7"/>
    <x v="255"/>
    <x v="27"/>
    <x v="37"/>
    <x v="26"/>
    <x v="3"/>
  </r>
  <r>
    <x v="1033"/>
    <x v="55"/>
    <x v="20"/>
    <x v="46"/>
    <x v="10"/>
    <x v="44"/>
    <x v="6"/>
    <x v="3"/>
    <x v="228"/>
    <x v="22"/>
    <x v="10"/>
    <x v="25"/>
    <x v="3"/>
  </r>
  <r>
    <x v="1034"/>
    <x v="41"/>
    <x v="11"/>
    <x v="46"/>
    <x v="13"/>
    <x v="58"/>
    <x v="20"/>
    <x v="23"/>
    <x v="117"/>
    <x v="38"/>
    <x v="18"/>
    <x v="37"/>
    <x v="3"/>
  </r>
  <r>
    <x v="1035"/>
    <x v="32"/>
    <x v="50"/>
    <x v="31"/>
    <x v="11"/>
    <x v="42"/>
    <x v="10"/>
    <x v="74"/>
    <x v="269"/>
    <x v="41"/>
    <x v="31"/>
    <x v="12"/>
    <x v="3"/>
  </r>
  <r>
    <x v="1036"/>
    <x v="35"/>
    <x v="21"/>
    <x v="37"/>
    <x v="10"/>
    <x v="20"/>
    <x v="45"/>
    <x v="68"/>
    <x v="76"/>
    <x v="35"/>
    <x v="43"/>
    <x v="45"/>
    <x v="3"/>
  </r>
  <r>
    <x v="1037"/>
    <x v="35"/>
    <x v="29"/>
    <x v="31"/>
    <x v="10"/>
    <x v="45"/>
    <x v="8"/>
    <x v="18"/>
    <x v="206"/>
    <x v="36"/>
    <x v="31"/>
    <x v="28"/>
    <x v="3"/>
  </r>
  <r>
    <x v="1038"/>
    <x v="43"/>
    <x v="27"/>
    <x v="40"/>
    <x v="2"/>
    <x v="7"/>
    <x v="25"/>
    <x v="44"/>
    <x v="111"/>
    <x v="32"/>
    <x v="45"/>
    <x v="32"/>
    <x v="3"/>
  </r>
  <r>
    <x v="1039"/>
    <x v="62"/>
    <x v="19"/>
    <x v="52"/>
    <x v="9"/>
    <x v="92"/>
    <x v="17"/>
    <x v="38"/>
    <x v="315"/>
    <x v="40"/>
    <x v="39"/>
    <x v="39"/>
    <x v="3"/>
  </r>
  <r>
    <x v="1040"/>
    <x v="34"/>
    <x v="44"/>
    <x v="22"/>
    <x v="15"/>
    <x v="41"/>
    <x v="33"/>
    <x v="84"/>
    <x v="270"/>
    <x v="38"/>
    <x v="8"/>
    <x v="15"/>
    <x v="3"/>
  </r>
  <r>
    <x v="1041"/>
    <x v="58"/>
    <x v="23"/>
    <x v="47"/>
    <x v="15"/>
    <x v="37"/>
    <x v="9"/>
    <x v="17"/>
    <x v="237"/>
    <x v="35"/>
    <x v="38"/>
    <x v="45"/>
    <x v="3"/>
  </r>
  <r>
    <x v="1042"/>
    <x v="79"/>
    <x v="27"/>
    <x v="49"/>
    <x v="20"/>
    <x v="43"/>
    <x v="8"/>
    <x v="14"/>
    <x v="395"/>
    <x v="19"/>
    <x v="44"/>
    <x v="24"/>
    <x v="3"/>
  </r>
  <r>
    <x v="1043"/>
    <x v="45"/>
    <x v="36"/>
    <x v="23"/>
    <x v="22"/>
    <x v="54"/>
    <x v="18"/>
    <x v="71"/>
    <x v="396"/>
    <x v="27"/>
    <x v="13"/>
    <x v="11"/>
    <x v="2"/>
  </r>
  <r>
    <x v="1044"/>
    <x v="28"/>
    <x v="52"/>
    <x v="3"/>
    <x v="43"/>
    <x v="43"/>
    <x v="27"/>
    <x v="40"/>
    <x v="200"/>
    <x v="14"/>
    <x v="9"/>
    <x v="7"/>
    <x v="2"/>
  </r>
  <r>
    <x v="1045"/>
    <x v="43"/>
    <x v="52"/>
    <x v="25"/>
    <x v="11"/>
    <x v="67"/>
    <x v="8"/>
    <x v="15"/>
    <x v="337"/>
    <x v="39"/>
    <x v="34"/>
    <x v="15"/>
    <x v="2"/>
  </r>
  <r>
    <x v="1046"/>
    <x v="4"/>
    <x v="32"/>
    <x v="0"/>
    <x v="9"/>
    <x v="7"/>
    <x v="18"/>
    <x v="83"/>
    <x v="8"/>
    <x v="78"/>
    <x v="35"/>
    <x v="62"/>
    <x v="4"/>
  </r>
  <r>
    <x v="1047"/>
    <x v="29"/>
    <x v="33"/>
    <x v="29"/>
    <x v="13"/>
    <x v="38"/>
    <x v="19"/>
    <x v="60"/>
    <x v="301"/>
    <x v="52"/>
    <x v="26"/>
    <x v="12"/>
    <x v="2"/>
  </r>
  <r>
    <x v="1048"/>
    <x v="30"/>
    <x v="2"/>
    <x v="34"/>
    <x v="24"/>
    <x v="29"/>
    <x v="15"/>
    <x v="52"/>
    <x v="105"/>
    <x v="49"/>
    <x v="40"/>
    <x v="42"/>
    <x v="3"/>
  </r>
  <r>
    <x v="1049"/>
    <x v="31"/>
    <x v="99"/>
    <x v="1"/>
    <x v="22"/>
    <x v="37"/>
    <x v="49"/>
    <x v="85"/>
    <x v="222"/>
    <x v="50"/>
    <x v="24"/>
    <x v="31"/>
    <x v="2"/>
  </r>
  <r>
    <x v="1050"/>
    <x v="55"/>
    <x v="7"/>
    <x v="37"/>
    <x v="15"/>
    <x v="20"/>
    <x v="14"/>
    <x v="30"/>
    <x v="216"/>
    <x v="35"/>
    <x v="11"/>
    <x v="10"/>
    <x v="1"/>
  </r>
  <r>
    <x v="1051"/>
    <x v="24"/>
    <x v="86"/>
    <x v="1"/>
    <x v="15"/>
    <x v="22"/>
    <x v="11"/>
    <x v="12"/>
    <x v="19"/>
    <x v="51"/>
    <x v="3"/>
    <x v="53"/>
    <x v="3"/>
  </r>
  <r>
    <x v="1052"/>
    <x v="13"/>
    <x v="20"/>
    <x v="32"/>
    <x v="85"/>
    <x v="17"/>
    <x v="6"/>
    <x v="106"/>
    <x v="183"/>
    <x v="42"/>
    <x v="18"/>
    <x v="39"/>
    <x v="1"/>
  </r>
  <r>
    <x v="1053"/>
    <x v="31"/>
    <x v="47"/>
    <x v="0"/>
    <x v="7"/>
    <x v="33"/>
    <x v="7"/>
    <x v="11"/>
    <x v="255"/>
    <x v="38"/>
    <x v="26"/>
    <x v="11"/>
    <x v="3"/>
  </r>
  <r>
    <x v="1054"/>
    <x v="34"/>
    <x v="82"/>
    <x v="0"/>
    <x v="20"/>
    <x v="44"/>
    <x v="12"/>
    <x v="18"/>
    <x v="353"/>
    <x v="50"/>
    <x v="8"/>
    <x v="15"/>
    <x v="1"/>
  </r>
  <r>
    <x v="1055"/>
    <x v="18"/>
    <x v="70"/>
    <x v="0"/>
    <x v="46"/>
    <x v="20"/>
    <x v="11"/>
    <x v="14"/>
    <x v="117"/>
    <x v="57"/>
    <x v="18"/>
    <x v="42"/>
    <x v="1"/>
  </r>
  <r>
    <x v="1056"/>
    <x v="28"/>
    <x v="58"/>
    <x v="20"/>
    <x v="7"/>
    <x v="39"/>
    <x v="36"/>
    <x v="54"/>
    <x v="122"/>
    <x v="22"/>
    <x v="3"/>
    <x v="10"/>
    <x v="2"/>
  </r>
  <r>
    <x v="1057"/>
    <x v="51"/>
    <x v="25"/>
    <x v="39"/>
    <x v="20"/>
    <x v="42"/>
    <x v="28"/>
    <x v="59"/>
    <x v="311"/>
    <x v="28"/>
    <x v="21"/>
    <x v="17"/>
    <x v="2"/>
  </r>
  <r>
    <x v="1058"/>
    <x v="43"/>
    <x v="29"/>
    <x v="41"/>
    <x v="11"/>
    <x v="21"/>
    <x v="15"/>
    <x v="34"/>
    <x v="78"/>
    <x v="34"/>
    <x v="22"/>
    <x v="47"/>
    <x v="3"/>
  </r>
  <r>
    <x v="1059"/>
    <x v="36"/>
    <x v="48"/>
    <x v="22"/>
    <x v="19"/>
    <x v="45"/>
    <x v="10"/>
    <x v="81"/>
    <x v="368"/>
    <x v="49"/>
    <x v="24"/>
    <x v="12"/>
    <x v="2"/>
  </r>
  <r>
    <x v="1060"/>
    <x v="12"/>
    <x v="13"/>
    <x v="25"/>
    <x v="86"/>
    <x v="30"/>
    <x v="59"/>
    <x v="140"/>
    <x v="304"/>
    <x v="45"/>
    <x v="16"/>
    <x v="24"/>
    <x v="3"/>
  </r>
  <r>
    <x v="1061"/>
    <x v="27"/>
    <x v="47"/>
    <x v="19"/>
    <x v="9"/>
    <x v="45"/>
    <x v="15"/>
    <x v="28"/>
    <x v="252"/>
    <x v="61"/>
    <x v="30"/>
    <x v="26"/>
    <x v="2"/>
  </r>
  <r>
    <x v="1062"/>
    <x v="27"/>
    <x v="84"/>
    <x v="7"/>
    <x v="7"/>
    <x v="49"/>
    <x v="15"/>
    <x v="42"/>
    <x v="129"/>
    <x v="24"/>
    <x v="10"/>
    <x v="20"/>
    <x v="2"/>
  </r>
  <r>
    <x v="1063"/>
    <x v="22"/>
    <x v="30"/>
    <x v="33"/>
    <x v="15"/>
    <x v="44"/>
    <x v="22"/>
    <x v="30"/>
    <x v="119"/>
    <x v="53"/>
    <x v="37"/>
    <x v="35"/>
    <x v="3"/>
  </r>
  <r>
    <x v="1064"/>
    <x v="24"/>
    <x v="56"/>
    <x v="1"/>
    <x v="17"/>
    <x v="42"/>
    <x v="24"/>
    <x v="31"/>
    <x v="136"/>
    <x v="52"/>
    <x v="23"/>
    <x v="32"/>
    <x v="3"/>
  </r>
  <r>
    <x v="1065"/>
    <x v="28"/>
    <x v="52"/>
    <x v="14"/>
    <x v="15"/>
    <x v="40"/>
    <x v="27"/>
    <x v="54"/>
    <x v="230"/>
    <x v="40"/>
    <x v="21"/>
    <x v="17"/>
    <x v="2"/>
  </r>
  <r>
    <x v="1066"/>
    <x v="24"/>
    <x v="80"/>
    <x v="0"/>
    <x v="9"/>
    <x v="86"/>
    <x v="6"/>
    <x v="8"/>
    <x v="227"/>
    <x v="57"/>
    <x v="20"/>
    <x v="17"/>
    <x v="2"/>
  </r>
  <r>
    <x v="1067"/>
    <x v="32"/>
    <x v="68"/>
    <x v="0"/>
    <x v="3"/>
    <x v="59"/>
    <x v="6"/>
    <x v="7"/>
    <x v="181"/>
    <x v="55"/>
    <x v="20"/>
    <x v="12"/>
    <x v="2"/>
  </r>
  <r>
    <x v="1068"/>
    <x v="31"/>
    <x v="76"/>
    <x v="6"/>
    <x v="10"/>
    <x v="42"/>
    <x v="20"/>
    <x v="29"/>
    <x v="228"/>
    <x v="52"/>
    <x v="31"/>
    <x v="32"/>
    <x v="2"/>
  </r>
  <r>
    <x v="1069"/>
    <x v="14"/>
    <x v="64"/>
    <x v="2"/>
    <x v="19"/>
    <x v="32"/>
    <x v="26"/>
    <x v="40"/>
    <x v="53"/>
    <x v="59"/>
    <x v="7"/>
    <x v="33"/>
    <x v="2"/>
  </r>
  <r>
    <x v="1070"/>
    <x v="28"/>
    <x v="54"/>
    <x v="22"/>
    <x v="9"/>
    <x v="45"/>
    <x v="45"/>
    <x v="54"/>
    <x v="126"/>
    <x v="22"/>
    <x v="4"/>
    <x v="7"/>
    <x v="2"/>
  </r>
  <r>
    <x v="1071"/>
    <x v="23"/>
    <x v="52"/>
    <x v="28"/>
    <x v="52"/>
    <x v="48"/>
    <x v="12"/>
    <x v="63"/>
    <x v="233"/>
    <x v="44"/>
    <x v="32"/>
    <x v="33"/>
    <x v="3"/>
  </r>
  <r>
    <x v="1072"/>
    <x v="21"/>
    <x v="64"/>
    <x v="0"/>
    <x v="24"/>
    <x v="86"/>
    <x v="15"/>
    <x v="27"/>
    <x v="156"/>
    <x v="56"/>
    <x v="25"/>
    <x v="37"/>
    <x v="3"/>
  </r>
  <r>
    <x v="1073"/>
    <x v="39"/>
    <x v="63"/>
    <x v="68"/>
    <x v="9"/>
    <x v="144"/>
    <x v="19"/>
    <x v="50"/>
    <x v="232"/>
    <x v="14"/>
    <x v="77"/>
    <x v="10"/>
    <x v="2"/>
  </r>
  <r>
    <x v="1074"/>
    <x v="16"/>
    <x v="130"/>
    <x v="0"/>
    <x v="11"/>
    <x v="46"/>
    <x v="17"/>
    <x v="18"/>
    <x v="89"/>
    <x v="71"/>
    <x v="17"/>
    <x v="36"/>
    <x v="1"/>
  </r>
  <r>
    <x v="1075"/>
    <x v="51"/>
    <x v="35"/>
    <x v="38"/>
    <x v="20"/>
    <x v="44"/>
    <x v="34"/>
    <x v="60"/>
    <x v="308"/>
    <x v="27"/>
    <x v="20"/>
    <x v="17"/>
    <x v="2"/>
  </r>
  <r>
    <x v="1076"/>
    <x v="35"/>
    <x v="92"/>
    <x v="0"/>
    <x v="15"/>
    <x v="52"/>
    <x v="13"/>
    <x v="20"/>
    <x v="342"/>
    <x v="49"/>
    <x v="8"/>
    <x v="15"/>
    <x v="1"/>
  </r>
  <r>
    <x v="1077"/>
    <x v="38"/>
    <x v="25"/>
    <x v="32"/>
    <x v="9"/>
    <x v="29"/>
    <x v="26"/>
    <x v="45"/>
    <x v="97"/>
    <x v="50"/>
    <x v="34"/>
    <x v="42"/>
    <x v="3"/>
  </r>
  <r>
    <x v="1078"/>
    <x v="25"/>
    <x v="50"/>
    <x v="5"/>
    <x v="17"/>
    <x v="44"/>
    <x v="16"/>
    <x v="30"/>
    <x v="177"/>
    <x v="50"/>
    <x v="22"/>
    <x v="24"/>
    <x v="3"/>
  </r>
  <r>
    <x v="1079"/>
    <x v="57"/>
    <x v="33"/>
    <x v="50"/>
    <x v="17"/>
    <x v="31"/>
    <x v="13"/>
    <x v="13"/>
    <x v="206"/>
    <x v="22"/>
    <x v="49"/>
    <x v="38"/>
    <x v="3"/>
  </r>
  <r>
    <x v="1080"/>
    <x v="22"/>
    <x v="30"/>
    <x v="31"/>
    <x v="11"/>
    <x v="42"/>
    <x v="21"/>
    <x v="45"/>
    <x v="262"/>
    <x v="59"/>
    <x v="17"/>
    <x v="12"/>
    <x v="3"/>
  </r>
  <r>
    <x v="1081"/>
    <x v="8"/>
    <x v="40"/>
    <x v="3"/>
    <x v="9"/>
    <x v="7"/>
    <x v="28"/>
    <x v="82"/>
    <x v="3"/>
    <x v="62"/>
    <x v="44"/>
    <x v="63"/>
    <x v="5"/>
  </r>
  <r>
    <x v="1082"/>
    <x v="3"/>
    <x v="26"/>
    <x v="1"/>
    <x v="5"/>
    <x v="11"/>
    <x v="26"/>
    <x v="54"/>
    <x v="4"/>
    <x v="80"/>
    <x v="37"/>
    <x v="63"/>
    <x v="3"/>
  </r>
  <r>
    <x v="1083"/>
    <x v="26"/>
    <x v="34"/>
    <x v="20"/>
    <x v="5"/>
    <x v="12"/>
    <x v="24"/>
    <x v="58"/>
    <x v="48"/>
    <x v="50"/>
    <x v="19"/>
    <x v="41"/>
    <x v="3"/>
  </r>
  <r>
    <x v="1084"/>
    <x v="12"/>
    <x v="36"/>
    <x v="0"/>
    <x v="10"/>
    <x v="40"/>
    <x v="25"/>
    <x v="38"/>
    <x v="65"/>
    <x v="62"/>
    <x v="15"/>
    <x v="36"/>
    <x v="2"/>
  </r>
  <r>
    <x v="1085"/>
    <x v="28"/>
    <x v="52"/>
    <x v="20"/>
    <x v="11"/>
    <x v="36"/>
    <x v="34"/>
    <x v="38"/>
    <x v="122"/>
    <x v="22"/>
    <x v="5"/>
    <x v="10"/>
    <x v="2"/>
  </r>
  <r>
    <x v="1086"/>
    <x v="31"/>
    <x v="52"/>
    <x v="13"/>
    <x v="13"/>
    <x v="65"/>
    <x v="17"/>
    <x v="30"/>
    <x v="92"/>
    <x v="36"/>
    <x v="15"/>
    <x v="36"/>
    <x v="3"/>
  </r>
  <r>
    <x v="1087"/>
    <x v="33"/>
    <x v="79"/>
    <x v="22"/>
    <x v="17"/>
    <x v="38"/>
    <x v="13"/>
    <x v="76"/>
    <x v="277"/>
    <x v="36"/>
    <x v="16"/>
    <x v="12"/>
    <x v="3"/>
  </r>
  <r>
    <x v="1088"/>
    <x v="38"/>
    <x v="29"/>
    <x v="40"/>
    <x v="66"/>
    <x v="13"/>
    <x v="2"/>
    <x v="4"/>
    <x v="179"/>
    <x v="40"/>
    <x v="18"/>
    <x v="45"/>
    <x v="1"/>
  </r>
  <r>
    <x v="1089"/>
    <x v="23"/>
    <x v="74"/>
    <x v="0"/>
    <x v="10"/>
    <x v="77"/>
    <x v="2"/>
    <x v="4"/>
    <x v="236"/>
    <x v="47"/>
    <x v="22"/>
    <x v="16"/>
    <x v="3"/>
  </r>
  <r>
    <x v="1090"/>
    <x v="51"/>
    <x v="15"/>
    <x v="39"/>
    <x v="7"/>
    <x v="25"/>
    <x v="2"/>
    <x v="3"/>
    <x v="113"/>
    <x v="26"/>
    <x v="19"/>
    <x v="39"/>
    <x v="4"/>
  </r>
  <r>
    <x v="1091"/>
    <x v="24"/>
    <x v="36"/>
    <x v="20"/>
    <x v="10"/>
    <x v="40"/>
    <x v="28"/>
    <x v="48"/>
    <x v="175"/>
    <x v="49"/>
    <x v="26"/>
    <x v="25"/>
    <x v="3"/>
  </r>
  <r>
    <x v="1092"/>
    <x v="32"/>
    <x v="89"/>
    <x v="0"/>
    <x v="11"/>
    <x v="47"/>
    <x v="9"/>
    <x v="16"/>
    <x v="220"/>
    <x v="45"/>
    <x v="30"/>
    <x v="32"/>
    <x v="3"/>
  </r>
  <r>
    <x v="1093"/>
    <x v="40"/>
    <x v="62"/>
    <x v="28"/>
    <x v="24"/>
    <x v="59"/>
    <x v="17"/>
    <x v="63"/>
    <x v="315"/>
    <x v="38"/>
    <x v="25"/>
    <x v="23"/>
    <x v="3"/>
  </r>
  <r>
    <x v="1094"/>
    <x v="23"/>
    <x v="32"/>
    <x v="19"/>
    <x v="17"/>
    <x v="34"/>
    <x v="18"/>
    <x v="30"/>
    <x v="110"/>
    <x v="51"/>
    <x v="18"/>
    <x v="32"/>
    <x v="2"/>
  </r>
  <r>
    <x v="1095"/>
    <x v="66"/>
    <x v="25"/>
    <x v="50"/>
    <x v="9"/>
    <x v="53"/>
    <x v="20"/>
    <x v="41"/>
    <x v="315"/>
    <x v="27"/>
    <x v="19"/>
    <x v="26"/>
    <x v="2"/>
  </r>
  <r>
    <x v="1096"/>
    <x v="24"/>
    <x v="1"/>
    <x v="44"/>
    <x v="20"/>
    <x v="31"/>
    <x v="17"/>
    <x v="25"/>
    <x v="37"/>
    <x v="47"/>
    <x v="16"/>
    <x v="49"/>
    <x v="3"/>
  </r>
  <r>
    <x v="1097"/>
    <x v="33"/>
    <x v="56"/>
    <x v="8"/>
    <x v="22"/>
    <x v="19"/>
    <x v="2"/>
    <x v="1"/>
    <x v="26"/>
    <x v="34"/>
    <x v="1"/>
    <x v="55"/>
    <x v="2"/>
  </r>
  <r>
    <x v="1098"/>
    <x v="23"/>
    <x v="56"/>
    <x v="30"/>
    <x v="48"/>
    <x v="31"/>
    <x v="20"/>
    <x v="103"/>
    <x v="392"/>
    <x v="42"/>
    <x v="79"/>
    <x v="23"/>
    <x v="2"/>
  </r>
  <r>
    <x v="1099"/>
    <x v="29"/>
    <x v="84"/>
    <x v="0"/>
    <x v="10"/>
    <x v="63"/>
    <x v="6"/>
    <x v="6"/>
    <x v="142"/>
    <x v="48"/>
    <x v="21"/>
    <x v="33"/>
    <x v="2"/>
  </r>
  <r>
    <x v="1100"/>
    <x v="35"/>
    <x v="63"/>
    <x v="10"/>
    <x v="13"/>
    <x v="36"/>
    <x v="25"/>
    <x v="54"/>
    <x v="237"/>
    <x v="41"/>
    <x v="37"/>
    <x v="32"/>
    <x v="3"/>
  </r>
  <r>
    <x v="1101"/>
    <x v="12"/>
    <x v="28"/>
    <x v="13"/>
    <x v="19"/>
    <x v="19"/>
    <x v="14"/>
    <x v="22"/>
    <x v="55"/>
    <x v="74"/>
    <x v="29"/>
    <x v="49"/>
    <x v="3"/>
  </r>
  <r>
    <x v="1102"/>
    <x v="28"/>
    <x v="87"/>
    <x v="0"/>
    <x v="10"/>
    <x v="47"/>
    <x v="6"/>
    <x v="6"/>
    <x v="265"/>
    <x v="46"/>
    <x v="11"/>
    <x v="16"/>
    <x v="1"/>
  </r>
  <r>
    <x v="1103"/>
    <x v="19"/>
    <x v="62"/>
    <x v="0"/>
    <x v="46"/>
    <x v="56"/>
    <x v="51"/>
    <x v="72"/>
    <x v="174"/>
    <x v="32"/>
    <x v="7"/>
    <x v="12"/>
    <x v="2"/>
  </r>
  <r>
    <x v="1104"/>
    <x v="25"/>
    <x v="44"/>
    <x v="14"/>
    <x v="13"/>
    <x v="27"/>
    <x v="15"/>
    <x v="23"/>
    <x v="36"/>
    <x v="47"/>
    <x v="23"/>
    <x v="46"/>
    <x v="3"/>
  </r>
  <r>
    <x v="1105"/>
    <x v="10"/>
    <x v="56"/>
    <x v="0"/>
    <x v="3"/>
    <x v="26"/>
    <x v="11"/>
    <x v="12"/>
    <x v="13"/>
    <x v="57"/>
    <x v="18"/>
    <x v="47"/>
    <x v="3"/>
  </r>
  <r>
    <x v="1106"/>
    <x v="29"/>
    <x v="142"/>
    <x v="0"/>
    <x v="13"/>
    <x v="94"/>
    <x v="4"/>
    <x v="3"/>
    <x v="110"/>
    <x v="62"/>
    <x v="3"/>
    <x v="32"/>
    <x v="0"/>
  </r>
  <r>
    <x v="1107"/>
    <x v="5"/>
    <x v="65"/>
    <x v="0"/>
    <x v="14"/>
    <x v="43"/>
    <x v="15"/>
    <x v="22"/>
    <x v="93"/>
    <x v="85"/>
    <x v="23"/>
    <x v="50"/>
    <x v="3"/>
  </r>
  <r>
    <x v="1108"/>
    <x v="20"/>
    <x v="108"/>
    <x v="7"/>
    <x v="11"/>
    <x v="63"/>
    <x v="20"/>
    <x v="51"/>
    <x v="204"/>
    <x v="72"/>
    <x v="36"/>
    <x v="41"/>
    <x v="3"/>
  </r>
  <r>
    <x v="1109"/>
    <x v="44"/>
    <x v="25"/>
    <x v="32"/>
    <x v="13"/>
    <x v="27"/>
    <x v="3"/>
    <x v="9"/>
    <x v="187"/>
    <x v="42"/>
    <x v="42"/>
    <x v="36"/>
    <x v="3"/>
  </r>
  <r>
    <x v="1110"/>
    <x v="33"/>
    <x v="12"/>
    <x v="44"/>
    <x v="9"/>
    <x v="44"/>
    <x v="28"/>
    <x v="62"/>
    <x v="128"/>
    <x v="48"/>
    <x v="28"/>
    <x v="36"/>
    <x v="2"/>
  </r>
  <r>
    <x v="1111"/>
    <x v="29"/>
    <x v="94"/>
    <x v="21"/>
    <x v="17"/>
    <x v="50"/>
    <x v="21"/>
    <x v="62"/>
    <x v="166"/>
    <x v="24"/>
    <x v="6"/>
    <x v="7"/>
    <x v="2"/>
  </r>
  <r>
    <x v="1112"/>
    <x v="28"/>
    <x v="58"/>
    <x v="26"/>
    <x v="10"/>
    <x v="36"/>
    <x v="24"/>
    <x v="83"/>
    <x v="214"/>
    <x v="42"/>
    <x v="15"/>
    <x v="17"/>
    <x v="2"/>
  </r>
  <r>
    <x v="1113"/>
    <x v="50"/>
    <x v="74"/>
    <x v="32"/>
    <x v="20"/>
    <x v="51"/>
    <x v="22"/>
    <x v="86"/>
    <x v="350"/>
    <x v="41"/>
    <x v="24"/>
    <x v="22"/>
    <x v="2"/>
  </r>
  <r>
    <x v="1114"/>
    <x v="21"/>
    <x v="72"/>
    <x v="9"/>
    <x v="41"/>
    <x v="31"/>
    <x v="15"/>
    <x v="23"/>
    <x v="145"/>
    <x v="53"/>
    <x v="14"/>
    <x v="35"/>
    <x v="1"/>
  </r>
  <r>
    <x v="1115"/>
    <x v="23"/>
    <x v="60"/>
    <x v="10"/>
    <x v="3"/>
    <x v="34"/>
    <x v="27"/>
    <x v="57"/>
    <x v="206"/>
    <x v="40"/>
    <x v="23"/>
    <x v="7"/>
    <x v="2"/>
  </r>
  <r>
    <x v="1116"/>
    <x v="18"/>
    <x v="42"/>
    <x v="15"/>
    <x v="29"/>
    <x v="27"/>
    <x v="12"/>
    <x v="21"/>
    <x v="27"/>
    <x v="45"/>
    <x v="21"/>
    <x v="53"/>
    <x v="3"/>
  </r>
  <r>
    <x v="1117"/>
    <x v="33"/>
    <x v="138"/>
    <x v="21"/>
    <x v="10"/>
    <x v="46"/>
    <x v="14"/>
    <x v="35"/>
    <x v="152"/>
    <x v="46"/>
    <x v="9"/>
    <x v="26"/>
    <x v="2"/>
  </r>
  <r>
    <x v="1118"/>
    <x v="23"/>
    <x v="23"/>
    <x v="21"/>
    <x v="17"/>
    <x v="49"/>
    <x v="20"/>
    <x v="59"/>
    <x v="174"/>
    <x v="52"/>
    <x v="16"/>
    <x v="22"/>
    <x v="3"/>
  </r>
  <r>
    <x v="1119"/>
    <x v="23"/>
    <x v="23"/>
    <x v="21"/>
    <x v="19"/>
    <x v="49"/>
    <x v="24"/>
    <x v="63"/>
    <x v="172"/>
    <x v="52"/>
    <x v="15"/>
    <x v="22"/>
    <x v="3"/>
  </r>
  <r>
    <x v="1120"/>
    <x v="28"/>
    <x v="62"/>
    <x v="27"/>
    <x v="11"/>
    <x v="46"/>
    <x v="17"/>
    <x v="86"/>
    <x v="218"/>
    <x v="38"/>
    <x v="20"/>
    <x v="17"/>
    <x v="3"/>
  </r>
  <r>
    <x v="1121"/>
    <x v="7"/>
    <x v="84"/>
    <x v="0"/>
    <x v="1"/>
    <x v="4"/>
    <x v="16"/>
    <x v="40"/>
    <x v="22"/>
    <x v="88"/>
    <x v="21"/>
    <x v="50"/>
    <x v="3"/>
  </r>
  <r>
    <x v="1122"/>
    <x v="52"/>
    <x v="34"/>
    <x v="46"/>
    <x v="15"/>
    <x v="54"/>
    <x v="10"/>
    <x v="35"/>
    <x v="237"/>
    <x v="30"/>
    <x v="31"/>
    <x v="43"/>
    <x v="3"/>
  </r>
  <r>
    <x v="1123"/>
    <x v="44"/>
    <x v="88"/>
    <x v="68"/>
    <x v="7"/>
    <x v="146"/>
    <x v="18"/>
    <x v="58"/>
    <x v="250"/>
    <x v="5"/>
    <x v="86"/>
    <x v="6"/>
    <x v="3"/>
  </r>
  <r>
    <x v="1124"/>
    <x v="50"/>
    <x v="68"/>
    <x v="34"/>
    <x v="22"/>
    <x v="57"/>
    <x v="12"/>
    <x v="83"/>
    <x v="352"/>
    <x v="38"/>
    <x v="28"/>
    <x v="22"/>
    <x v="2"/>
  </r>
  <r>
    <x v="1125"/>
    <x v="3"/>
    <x v="84"/>
    <x v="0"/>
    <x v="1"/>
    <x v="4"/>
    <x v="16"/>
    <x v="40"/>
    <x v="22"/>
    <x v="88"/>
    <x v="21"/>
    <x v="50"/>
    <x v="3"/>
  </r>
  <r>
    <x v="1126"/>
    <x v="44"/>
    <x v="21"/>
    <x v="42"/>
    <x v="9"/>
    <x v="21"/>
    <x v="9"/>
    <x v="12"/>
    <x v="69"/>
    <x v="30"/>
    <x v="17"/>
    <x v="38"/>
    <x v="2"/>
  </r>
  <r>
    <x v="1127"/>
    <x v="44"/>
    <x v="23"/>
    <x v="39"/>
    <x v="9"/>
    <x v="23"/>
    <x v="21"/>
    <x v="49"/>
    <x v="123"/>
    <x v="30"/>
    <x v="44"/>
    <x v="33"/>
    <x v="4"/>
  </r>
  <r>
    <x v="1128"/>
    <x v="20"/>
    <x v="36"/>
    <x v="24"/>
    <x v="7"/>
    <x v="40"/>
    <x v="18"/>
    <x v="28"/>
    <x v="113"/>
    <x v="51"/>
    <x v="22"/>
    <x v="28"/>
    <x v="3"/>
  </r>
  <r>
    <x v="1129"/>
    <x v="18"/>
    <x v="43"/>
    <x v="11"/>
    <x v="9"/>
    <x v="36"/>
    <x v="13"/>
    <x v="32"/>
    <x v="166"/>
    <x v="46"/>
    <x v="14"/>
    <x v="10"/>
    <x v="2"/>
  </r>
  <r>
    <x v="1130"/>
    <x v="27"/>
    <x v="56"/>
    <x v="26"/>
    <x v="13"/>
    <x v="46"/>
    <x v="17"/>
    <x v="86"/>
    <x v="218"/>
    <x v="41"/>
    <x v="18"/>
    <x v="17"/>
    <x v="3"/>
  </r>
  <r>
    <x v="1131"/>
    <x v="31"/>
    <x v="110"/>
    <x v="26"/>
    <x v="40"/>
    <x v="70"/>
    <x v="31"/>
    <x v="61"/>
    <x v="262"/>
    <x v="38"/>
    <x v="8"/>
    <x v="7"/>
    <x v="2"/>
  </r>
  <r>
    <x v="1132"/>
    <x v="37"/>
    <x v="27"/>
    <x v="10"/>
    <x v="7"/>
    <x v="38"/>
    <x v="6"/>
    <x v="19"/>
    <x v="191"/>
    <x v="21"/>
    <x v="5"/>
    <x v="16"/>
    <x v="3"/>
  </r>
  <r>
    <x v="1133"/>
    <x v="44"/>
    <x v="91"/>
    <x v="22"/>
    <x v="15"/>
    <x v="42"/>
    <x v="12"/>
    <x v="42"/>
    <x v="332"/>
    <x v="30"/>
    <x v="13"/>
    <x v="15"/>
    <x v="2"/>
  </r>
  <r>
    <x v="1134"/>
    <x v="25"/>
    <x v="103"/>
    <x v="0"/>
    <x v="11"/>
    <x v="106"/>
    <x v="3"/>
    <x v="5"/>
    <x v="211"/>
    <x v="51"/>
    <x v="14"/>
    <x v="20"/>
    <x v="2"/>
  </r>
  <r>
    <x v="1135"/>
    <x v="19"/>
    <x v="52"/>
    <x v="2"/>
    <x v="19"/>
    <x v="32"/>
    <x v="19"/>
    <x v="34"/>
    <x v="67"/>
    <x v="50"/>
    <x v="28"/>
    <x v="51"/>
    <x v="3"/>
  </r>
  <r>
    <x v="1136"/>
    <x v="13"/>
    <x v="41"/>
    <x v="0"/>
    <x v="3"/>
    <x v="20"/>
    <x v="15"/>
    <x v="20"/>
    <x v="94"/>
    <x v="48"/>
    <x v="7"/>
    <x v="12"/>
    <x v="2"/>
  </r>
  <r>
    <x v="1137"/>
    <x v="28"/>
    <x v="42"/>
    <x v="2"/>
    <x v="7"/>
    <x v="47"/>
    <x v="13"/>
    <x v="25"/>
    <x v="156"/>
    <x v="48"/>
    <x v="16"/>
    <x v="26"/>
    <x v="3"/>
  </r>
  <r>
    <x v="1138"/>
    <x v="29"/>
    <x v="45"/>
    <x v="2"/>
    <x v="7"/>
    <x v="48"/>
    <x v="17"/>
    <x v="25"/>
    <x v="198"/>
    <x v="49"/>
    <x v="13"/>
    <x v="25"/>
    <x v="3"/>
  </r>
  <r>
    <x v="1139"/>
    <x v="68"/>
    <x v="32"/>
    <x v="48"/>
    <x v="22"/>
    <x v="40"/>
    <x v="8"/>
    <x v="14"/>
    <x v="376"/>
    <x v="21"/>
    <x v="15"/>
    <x v="33"/>
    <x v="2"/>
  </r>
  <r>
    <x v="1140"/>
    <x v="35"/>
    <x v="34"/>
    <x v="24"/>
    <x v="17"/>
    <x v="26"/>
    <x v="10"/>
    <x v="22"/>
    <x v="215"/>
    <x v="37"/>
    <x v="15"/>
    <x v="23"/>
    <x v="3"/>
  </r>
  <r>
    <x v="1141"/>
    <x v="14"/>
    <x v="54"/>
    <x v="1"/>
    <x v="13"/>
    <x v="19"/>
    <x v="4"/>
    <x v="7"/>
    <x v="107"/>
    <x v="64"/>
    <x v="18"/>
    <x v="38"/>
    <x v="2"/>
  </r>
  <r>
    <x v="1142"/>
    <x v="25"/>
    <x v="67"/>
    <x v="3"/>
    <x v="9"/>
    <x v="41"/>
    <x v="7"/>
    <x v="6"/>
    <x v="196"/>
    <x v="46"/>
    <x v="2"/>
    <x v="12"/>
    <x v="2"/>
  </r>
  <r>
    <x v="1143"/>
    <x v="22"/>
    <x v="50"/>
    <x v="0"/>
    <x v="25"/>
    <x v="44"/>
    <x v="21"/>
    <x v="35"/>
    <x v="139"/>
    <x v="53"/>
    <x v="14"/>
    <x v="31"/>
    <x v="2"/>
  </r>
  <r>
    <x v="1144"/>
    <x v="43"/>
    <x v="56"/>
    <x v="29"/>
    <x v="11"/>
    <x v="32"/>
    <x v="32"/>
    <x v="67"/>
    <x v="251"/>
    <x v="46"/>
    <x v="19"/>
    <x v="20"/>
    <x v="2"/>
  </r>
  <r>
    <x v="1145"/>
    <x v="25"/>
    <x v="60"/>
    <x v="1"/>
    <x v="17"/>
    <x v="28"/>
    <x v="8"/>
    <x v="40"/>
    <x v="40"/>
    <x v="44"/>
    <x v="13"/>
    <x v="42"/>
    <x v="3"/>
  </r>
  <r>
    <x v="1146"/>
    <x v="29"/>
    <x v="65"/>
    <x v="3"/>
    <x v="10"/>
    <x v="49"/>
    <x v="14"/>
    <x v="51"/>
    <x v="279"/>
    <x v="49"/>
    <x v="8"/>
    <x v="24"/>
    <x v="2"/>
  </r>
  <r>
    <x v="1147"/>
    <x v="25"/>
    <x v="52"/>
    <x v="3"/>
    <x v="17"/>
    <x v="40"/>
    <x v="7"/>
    <x v="22"/>
    <x v="180"/>
    <x v="47"/>
    <x v="14"/>
    <x v="20"/>
    <x v="2"/>
  </r>
  <r>
    <x v="1148"/>
    <x v="14"/>
    <x v="19"/>
    <x v="25"/>
    <x v="9"/>
    <x v="49"/>
    <x v="4"/>
    <x v="26"/>
    <x v="102"/>
    <x v="48"/>
    <x v="6"/>
    <x v="22"/>
    <x v="2"/>
  </r>
  <r>
    <x v="1149"/>
    <x v="14"/>
    <x v="21"/>
    <x v="25"/>
    <x v="9"/>
    <x v="47"/>
    <x v="3"/>
    <x v="22"/>
    <x v="102"/>
    <x v="48"/>
    <x v="6"/>
    <x v="22"/>
    <x v="2"/>
  </r>
  <r>
    <x v="1150"/>
    <x v="26"/>
    <x v="33"/>
    <x v="24"/>
    <x v="20"/>
    <x v="41"/>
    <x v="27"/>
    <x v="61"/>
    <x v="246"/>
    <x v="72"/>
    <x v="21"/>
    <x v="35"/>
    <x v="3"/>
  </r>
  <r>
    <x v="1151"/>
    <x v="27"/>
    <x v="64"/>
    <x v="17"/>
    <x v="57"/>
    <x v="107"/>
    <x v="52"/>
    <x v="92"/>
    <x v="317"/>
    <x v="40"/>
    <x v="12"/>
    <x v="12"/>
    <x v="2"/>
  </r>
  <r>
    <x v="1152"/>
    <x v="69"/>
    <x v="38"/>
    <x v="40"/>
    <x v="3"/>
    <x v="54"/>
    <x v="6"/>
    <x v="22"/>
    <x v="290"/>
    <x v="19"/>
    <x v="27"/>
    <x v="21"/>
    <x v="3"/>
  </r>
  <r>
    <x v="1153"/>
    <x v="45"/>
    <x v="45"/>
    <x v="31"/>
    <x v="17"/>
    <x v="75"/>
    <x v="11"/>
    <x v="32"/>
    <x v="286"/>
    <x v="36"/>
    <x v="18"/>
    <x v="32"/>
    <x v="2"/>
  </r>
  <r>
    <x v="1154"/>
    <x v="36"/>
    <x v="106"/>
    <x v="14"/>
    <x v="20"/>
    <x v="56"/>
    <x v="13"/>
    <x v="48"/>
    <x v="306"/>
    <x v="48"/>
    <x v="16"/>
    <x v="22"/>
    <x v="2"/>
  </r>
  <r>
    <x v="1155"/>
    <x v="33"/>
    <x v="102"/>
    <x v="27"/>
    <x v="11"/>
    <x v="43"/>
    <x v="11"/>
    <x v="57"/>
    <x v="250"/>
    <x v="41"/>
    <x v="10"/>
    <x v="17"/>
    <x v="1"/>
  </r>
  <r>
    <x v="1156"/>
    <x v="25"/>
    <x v="57"/>
    <x v="2"/>
    <x v="10"/>
    <x v="59"/>
    <x v="10"/>
    <x v="25"/>
    <x v="127"/>
    <x v="58"/>
    <x v="15"/>
    <x v="42"/>
    <x v="3"/>
  </r>
  <r>
    <x v="1157"/>
    <x v="31"/>
    <x v="41"/>
    <x v="9"/>
    <x v="15"/>
    <x v="78"/>
    <x v="10"/>
    <x v="36"/>
    <x v="295"/>
    <x v="30"/>
    <x v="24"/>
    <x v="12"/>
    <x v="2"/>
  </r>
  <r>
    <x v="1158"/>
    <x v="26"/>
    <x v="84"/>
    <x v="8"/>
    <x v="7"/>
    <x v="57"/>
    <x v="10"/>
    <x v="39"/>
    <x v="187"/>
    <x v="36"/>
    <x v="12"/>
    <x v="17"/>
    <x v="2"/>
  </r>
  <r>
    <x v="1159"/>
    <x v="22"/>
    <x v="45"/>
    <x v="30"/>
    <x v="15"/>
    <x v="51"/>
    <x v="9"/>
    <x v="99"/>
    <x v="307"/>
    <x v="37"/>
    <x v="80"/>
    <x v="26"/>
    <x v="3"/>
  </r>
  <r>
    <x v="1160"/>
    <x v="33"/>
    <x v="90"/>
    <x v="32"/>
    <x v="13"/>
    <x v="42"/>
    <x v="16"/>
    <x v="68"/>
    <x v="253"/>
    <x v="39"/>
    <x v="12"/>
    <x v="17"/>
    <x v="3"/>
  </r>
  <r>
    <x v="1161"/>
    <x v="19"/>
    <x v="58"/>
    <x v="0"/>
    <x v="5"/>
    <x v="32"/>
    <x v="3"/>
    <x v="2"/>
    <x v="72"/>
    <x v="45"/>
    <x v="1"/>
    <x v="25"/>
    <x v="1"/>
  </r>
  <r>
    <x v="1162"/>
    <x v="40"/>
    <x v="92"/>
    <x v="51"/>
    <x v="7"/>
    <x v="147"/>
    <x v="12"/>
    <x v="60"/>
    <x v="224"/>
    <x v="12"/>
    <x v="79"/>
    <x v="7"/>
    <x v="2"/>
  </r>
  <r>
    <x v="1163"/>
    <x v="28"/>
    <x v="52"/>
    <x v="56"/>
    <x v="30"/>
    <x v="101"/>
    <x v="4"/>
    <x v="8"/>
    <x v="110"/>
    <x v="33"/>
    <x v="65"/>
    <x v="40"/>
    <x v="3"/>
  </r>
  <r>
    <x v="1164"/>
    <x v="30"/>
    <x v="86"/>
    <x v="27"/>
    <x v="40"/>
    <x v="73"/>
    <x v="34"/>
    <x v="84"/>
    <x v="258"/>
    <x v="36"/>
    <x v="7"/>
    <x v="10"/>
    <x v="2"/>
  </r>
  <r>
    <x v="1165"/>
    <x v="21"/>
    <x v="99"/>
    <x v="0"/>
    <x v="1"/>
    <x v="132"/>
    <x v="16"/>
    <x v="23"/>
    <x v="106"/>
    <x v="44"/>
    <x v="13"/>
    <x v="17"/>
    <x v="0"/>
  </r>
  <r>
    <x v="1166"/>
    <x v="25"/>
    <x v="48"/>
    <x v="26"/>
    <x v="11"/>
    <x v="46"/>
    <x v="13"/>
    <x v="94"/>
    <x v="195"/>
    <x v="38"/>
    <x v="14"/>
    <x v="18"/>
    <x v="2"/>
  </r>
  <r>
    <x v="1167"/>
    <x v="35"/>
    <x v="113"/>
    <x v="20"/>
    <x v="3"/>
    <x v="49"/>
    <x v="7"/>
    <x v="25"/>
    <x v="100"/>
    <x v="23"/>
    <x v="8"/>
    <x v="20"/>
    <x v="2"/>
  </r>
  <r>
    <x v="1168"/>
    <x v="5"/>
    <x v="40"/>
    <x v="26"/>
    <x v="17"/>
    <x v="53"/>
    <x v="23"/>
    <x v="68"/>
    <x v="150"/>
    <x v="81"/>
    <x v="24"/>
    <x v="47"/>
    <x v="3"/>
  </r>
  <r>
    <x v="1169"/>
    <x v="25"/>
    <x v="35"/>
    <x v="15"/>
    <x v="11"/>
    <x v="41"/>
    <x v="10"/>
    <x v="22"/>
    <x v="212"/>
    <x v="41"/>
    <x v="13"/>
    <x v="18"/>
    <x v="3"/>
  </r>
  <r>
    <x v="1170"/>
    <x v="28"/>
    <x v="50"/>
    <x v="2"/>
    <x v="22"/>
    <x v="40"/>
    <x v="11"/>
    <x v="29"/>
    <x v="173"/>
    <x v="48"/>
    <x v="24"/>
    <x v="31"/>
    <x v="3"/>
  </r>
  <r>
    <x v="1171"/>
    <x v="21"/>
    <x v="102"/>
    <x v="9"/>
    <x v="9"/>
    <x v="37"/>
    <x v="3"/>
    <x v="19"/>
    <x v="154"/>
    <x v="50"/>
    <x v="7"/>
    <x v="15"/>
    <x v="2"/>
  </r>
  <r>
    <x v="1172"/>
    <x v="33"/>
    <x v="56"/>
    <x v="22"/>
    <x v="13"/>
    <x v="43"/>
    <x v="25"/>
    <x v="99"/>
    <x v="215"/>
    <x v="42"/>
    <x v="11"/>
    <x v="18"/>
    <x v="2"/>
  </r>
  <r>
    <x v="1173"/>
    <x v="24"/>
    <x v="87"/>
    <x v="15"/>
    <x v="9"/>
    <x v="70"/>
    <x v="20"/>
    <x v="79"/>
    <x v="201"/>
    <x v="31"/>
    <x v="12"/>
    <x v="12"/>
    <x v="2"/>
  </r>
  <r>
    <x v="1174"/>
    <x v="33"/>
    <x v="98"/>
    <x v="25"/>
    <x v="33"/>
    <x v="39"/>
    <x v="34"/>
    <x v="80"/>
    <x v="262"/>
    <x v="31"/>
    <x v="4"/>
    <x v="7"/>
    <x v="2"/>
  </r>
  <r>
    <x v="1175"/>
    <x v="27"/>
    <x v="64"/>
    <x v="7"/>
    <x v="9"/>
    <x v="63"/>
    <x v="8"/>
    <x v="17"/>
    <x v="213"/>
    <x v="42"/>
    <x v="20"/>
    <x v="15"/>
    <x v="2"/>
  </r>
  <r>
    <x v="1176"/>
    <x v="19"/>
    <x v="64"/>
    <x v="31"/>
    <x v="64"/>
    <x v="46"/>
    <x v="7"/>
    <x v="43"/>
    <x v="301"/>
    <x v="47"/>
    <x v="30"/>
    <x v="24"/>
    <x v="2"/>
  </r>
  <r>
    <x v="1177"/>
    <x v="20"/>
    <x v="39"/>
    <x v="2"/>
    <x v="15"/>
    <x v="43"/>
    <x v="36"/>
    <x v="104"/>
    <x v="145"/>
    <x v="22"/>
    <x v="15"/>
    <x v="16"/>
    <x v="2"/>
  </r>
  <r>
    <x v="1178"/>
    <x v="13"/>
    <x v="40"/>
    <x v="0"/>
    <x v="17"/>
    <x v="31"/>
    <x v="15"/>
    <x v="27"/>
    <x v="28"/>
    <x v="70"/>
    <x v="21"/>
    <x v="50"/>
    <x v="3"/>
  </r>
  <r>
    <x v="1179"/>
    <x v="33"/>
    <x v="64"/>
    <x v="22"/>
    <x v="19"/>
    <x v="57"/>
    <x v="4"/>
    <x v="27"/>
    <x v="214"/>
    <x v="49"/>
    <x v="20"/>
    <x v="33"/>
    <x v="2"/>
  </r>
  <r>
    <x v="1180"/>
    <x v="24"/>
    <x v="60"/>
    <x v="6"/>
    <x v="2"/>
    <x v="33"/>
    <x v="4"/>
    <x v="6"/>
    <x v="83"/>
    <x v="29"/>
    <x v="10"/>
    <x v="17"/>
    <x v="2"/>
  </r>
  <r>
    <x v="1181"/>
    <x v="33"/>
    <x v="43"/>
    <x v="25"/>
    <x v="11"/>
    <x v="41"/>
    <x v="19"/>
    <x v="53"/>
    <x v="214"/>
    <x v="42"/>
    <x v="10"/>
    <x v="23"/>
    <x v="2"/>
  </r>
  <r>
    <x v="1182"/>
    <x v="17"/>
    <x v="50"/>
    <x v="14"/>
    <x v="41"/>
    <x v="33"/>
    <x v="27"/>
    <x v="67"/>
    <x v="263"/>
    <x v="44"/>
    <x v="10"/>
    <x v="7"/>
    <x v="2"/>
  </r>
  <r>
    <x v="1183"/>
    <x v="39"/>
    <x v="73"/>
    <x v="10"/>
    <x v="5"/>
    <x v="55"/>
    <x v="2"/>
    <x v="6"/>
    <x v="323"/>
    <x v="43"/>
    <x v="27"/>
    <x v="13"/>
    <x v="3"/>
  </r>
  <r>
    <x v="1184"/>
    <x v="40"/>
    <x v="71"/>
    <x v="10"/>
    <x v="5"/>
    <x v="53"/>
    <x v="3"/>
    <x v="5"/>
    <x v="323"/>
    <x v="43"/>
    <x v="27"/>
    <x v="13"/>
    <x v="2"/>
  </r>
  <r>
    <x v="1185"/>
    <x v="26"/>
    <x v="54"/>
    <x v="26"/>
    <x v="11"/>
    <x v="43"/>
    <x v="17"/>
    <x v="98"/>
    <x v="193"/>
    <x v="40"/>
    <x v="14"/>
    <x v="18"/>
    <x v="2"/>
  </r>
  <r>
    <x v="1186"/>
    <x v="23"/>
    <x v="56"/>
    <x v="12"/>
    <x v="15"/>
    <x v="46"/>
    <x v="13"/>
    <x v="22"/>
    <x v="256"/>
    <x v="64"/>
    <x v="24"/>
    <x v="23"/>
    <x v="4"/>
  </r>
  <r>
    <x v="1187"/>
    <x v="25"/>
    <x v="70"/>
    <x v="0"/>
    <x v="15"/>
    <x v="31"/>
    <x v="10"/>
    <x v="18"/>
    <x v="175"/>
    <x v="54"/>
    <x v="34"/>
    <x v="35"/>
    <x v="3"/>
  </r>
  <r>
    <x v="1188"/>
    <x v="32"/>
    <x v="74"/>
    <x v="21"/>
    <x v="13"/>
    <x v="43"/>
    <x v="33"/>
    <x v="128"/>
    <x v="221"/>
    <x v="37"/>
    <x v="13"/>
    <x v="18"/>
    <x v="2"/>
  </r>
  <r>
    <x v="1189"/>
    <x v="29"/>
    <x v="15"/>
    <x v="42"/>
    <x v="11"/>
    <x v="15"/>
    <x v="6"/>
    <x v="18"/>
    <x v="230"/>
    <x v="56"/>
    <x v="44"/>
    <x v="43"/>
    <x v="3"/>
  </r>
  <r>
    <x v="1190"/>
    <x v="25"/>
    <x v="20"/>
    <x v="33"/>
    <x v="7"/>
    <x v="24"/>
    <x v="2"/>
    <x v="7"/>
    <x v="206"/>
    <x v="35"/>
    <x v="72"/>
    <x v="20"/>
    <x v="5"/>
  </r>
  <r>
    <x v="1191"/>
    <x v="33"/>
    <x v="41"/>
    <x v="39"/>
    <x v="22"/>
    <x v="45"/>
    <x v="12"/>
    <x v="40"/>
    <x v="375"/>
    <x v="55"/>
    <x v="24"/>
    <x v="29"/>
    <x v="3"/>
  </r>
  <r>
    <x v="1192"/>
    <x v="30"/>
    <x v="12"/>
    <x v="30"/>
    <x v="11"/>
    <x v="25"/>
    <x v="18"/>
    <x v="28"/>
    <x v="141"/>
    <x v="40"/>
    <x v="52"/>
    <x v="37"/>
    <x v="4"/>
  </r>
  <r>
    <x v="1193"/>
    <x v="35"/>
    <x v="8"/>
    <x v="34"/>
    <x v="54"/>
    <x v="25"/>
    <x v="8"/>
    <x v="16"/>
    <x v="320"/>
    <x v="34"/>
    <x v="56"/>
    <x v="32"/>
    <x v="3"/>
  </r>
  <r>
    <x v="1194"/>
    <x v="13"/>
    <x v="42"/>
    <x v="0"/>
    <x v="13"/>
    <x v="27"/>
    <x v="41"/>
    <x v="48"/>
    <x v="127"/>
    <x v="66"/>
    <x v="55"/>
    <x v="29"/>
    <x v="3"/>
  </r>
  <r>
    <x v="1195"/>
    <x v="34"/>
    <x v="13"/>
    <x v="36"/>
    <x v="15"/>
    <x v="11"/>
    <x v="35"/>
    <x v="47"/>
    <x v="127"/>
    <x v="39"/>
    <x v="63"/>
    <x v="49"/>
    <x v="4"/>
  </r>
  <r>
    <x v="1196"/>
    <x v="19"/>
    <x v="123"/>
    <x v="0"/>
    <x v="9"/>
    <x v="45"/>
    <x v="4"/>
    <x v="10"/>
    <x v="54"/>
    <x v="62"/>
    <x v="6"/>
    <x v="43"/>
    <x v="3"/>
  </r>
  <r>
    <x v="1197"/>
    <x v="17"/>
    <x v="37"/>
    <x v="40"/>
    <x v="19"/>
    <x v="34"/>
    <x v="8"/>
    <x v="13"/>
    <x v="230"/>
    <x v="68"/>
    <x v="35"/>
    <x v="28"/>
    <x v="3"/>
  </r>
  <r>
    <x v="1198"/>
    <x v="52"/>
    <x v="50"/>
    <x v="25"/>
    <x v="11"/>
    <x v="67"/>
    <x v="12"/>
    <x v="84"/>
    <x v="230"/>
    <x v="16"/>
    <x v="52"/>
    <x v="22"/>
    <x v="2"/>
  </r>
  <r>
    <x v="1199"/>
    <x v="53"/>
    <x v="19"/>
    <x v="59"/>
    <x v="15"/>
    <x v="40"/>
    <x v="2"/>
    <x v="9"/>
    <x v="402"/>
    <x v="32"/>
    <x v="40"/>
    <x v="15"/>
    <x v="2"/>
  </r>
  <r>
    <x v="1200"/>
    <x v="15"/>
    <x v="52"/>
    <x v="0"/>
    <x v="5"/>
    <x v="28"/>
    <x v="8"/>
    <x v="12"/>
    <x v="256"/>
    <x v="68"/>
    <x v="46"/>
    <x v="11"/>
    <x v="2"/>
  </r>
  <r>
    <x v="1201"/>
    <x v="26"/>
    <x v="21"/>
    <x v="33"/>
    <x v="20"/>
    <x v="27"/>
    <x v="21"/>
    <x v="31"/>
    <x v="141"/>
    <x v="47"/>
    <x v="39"/>
    <x v="46"/>
    <x v="4"/>
  </r>
  <r>
    <x v="1202"/>
    <x v="31"/>
    <x v="44"/>
    <x v="1"/>
    <x v="5"/>
    <x v="40"/>
    <x v="2"/>
    <x v="13"/>
    <x v="127"/>
    <x v="28"/>
    <x v="8"/>
    <x v="17"/>
    <x v="2"/>
  </r>
  <r>
    <x v="1203"/>
    <x v="30"/>
    <x v="64"/>
    <x v="21"/>
    <x v="15"/>
    <x v="40"/>
    <x v="32"/>
    <x v="122"/>
    <x v="175"/>
    <x v="39"/>
    <x v="7"/>
    <x v="18"/>
    <x v="2"/>
  </r>
  <r>
    <x v="1204"/>
    <x v="28"/>
    <x v="29"/>
    <x v="18"/>
    <x v="5"/>
    <x v="42"/>
    <x v="24"/>
    <x v="52"/>
    <x v="248"/>
    <x v="46"/>
    <x v="20"/>
    <x v="11"/>
    <x v="2"/>
  </r>
  <r>
    <x v="1205"/>
    <x v="23"/>
    <x v="45"/>
    <x v="0"/>
    <x v="13"/>
    <x v="42"/>
    <x v="40"/>
    <x v="49"/>
    <x v="175"/>
    <x v="51"/>
    <x v="46"/>
    <x v="38"/>
    <x v="3"/>
  </r>
  <r>
    <x v="1206"/>
    <x v="17"/>
    <x v="44"/>
    <x v="9"/>
    <x v="41"/>
    <x v="86"/>
    <x v="14"/>
    <x v="25"/>
    <x v="271"/>
    <x v="62"/>
    <x v="29"/>
    <x v="33"/>
    <x v="1"/>
  </r>
  <r>
    <x v="1207"/>
    <x v="36"/>
    <x v="10"/>
    <x v="37"/>
    <x v="3"/>
    <x v="39"/>
    <x v="8"/>
    <x v="17"/>
    <x v="320"/>
    <x v="38"/>
    <x v="32"/>
    <x v="15"/>
    <x v="3"/>
  </r>
  <r>
    <x v="1208"/>
    <x v="30"/>
    <x v="7"/>
    <x v="37"/>
    <x v="9"/>
    <x v="9"/>
    <x v="23"/>
    <x v="54"/>
    <x v="295"/>
    <x v="53"/>
    <x v="33"/>
    <x v="46"/>
    <x v="3"/>
  </r>
  <r>
    <x v="1209"/>
    <x v="29"/>
    <x v="30"/>
    <x v="33"/>
    <x v="20"/>
    <x v="41"/>
    <x v="6"/>
    <x v="17"/>
    <x v="182"/>
    <x v="42"/>
    <x v="20"/>
    <x v="36"/>
    <x v="2"/>
  </r>
  <r>
    <x v="1210"/>
    <x v="31"/>
    <x v="64"/>
    <x v="0"/>
    <x v="10"/>
    <x v="35"/>
    <x v="27"/>
    <x v="49"/>
    <x v="221"/>
    <x v="43"/>
    <x v="25"/>
    <x v="33"/>
    <x v="2"/>
  </r>
  <r>
    <x v="1211"/>
    <x v="32"/>
    <x v="2"/>
    <x v="40"/>
    <x v="15"/>
    <x v="12"/>
    <x v="39"/>
    <x v="61"/>
    <x v="206"/>
    <x v="45"/>
    <x v="55"/>
    <x v="37"/>
    <x v="2"/>
  </r>
  <r>
    <x v="1212"/>
    <x v="27"/>
    <x v="30"/>
    <x v="24"/>
    <x v="9"/>
    <x v="29"/>
    <x v="18"/>
    <x v="41"/>
    <x v="175"/>
    <x v="49"/>
    <x v="24"/>
    <x v="25"/>
    <x v="2"/>
  </r>
  <r>
    <x v="1213"/>
    <x v="29"/>
    <x v="33"/>
    <x v="31"/>
    <x v="13"/>
    <x v="32"/>
    <x v="13"/>
    <x v="68"/>
    <x v="190"/>
    <x v="38"/>
    <x v="16"/>
    <x v="18"/>
    <x v="3"/>
  </r>
  <r>
    <x v="1214"/>
    <x v="12"/>
    <x v="34"/>
    <x v="0"/>
    <x v="5"/>
    <x v="5"/>
    <x v="2"/>
    <x v="5"/>
    <x v="92"/>
    <x v="60"/>
    <x v="47"/>
    <x v="41"/>
    <x v="3"/>
  </r>
  <r>
    <x v="1215"/>
    <x v="14"/>
    <x v="29"/>
    <x v="16"/>
    <x v="9"/>
    <x v="32"/>
    <x v="11"/>
    <x v="19"/>
    <x v="166"/>
    <x v="54"/>
    <x v="36"/>
    <x v="22"/>
    <x v="4"/>
  </r>
  <r>
    <x v="1216"/>
    <x v="55"/>
    <x v="45"/>
    <x v="37"/>
    <x v="89"/>
    <x v="121"/>
    <x v="55"/>
    <x v="90"/>
    <x v="435"/>
    <x v="30"/>
    <x v="39"/>
    <x v="4"/>
    <x v="3"/>
  </r>
  <r>
    <x v="1217"/>
    <x v="53"/>
    <x v="26"/>
    <x v="38"/>
    <x v="5"/>
    <x v="108"/>
    <x v="27"/>
    <x v="85"/>
    <x v="392"/>
    <x v="27"/>
    <x v="27"/>
    <x v="1"/>
    <x v="2"/>
  </r>
  <r>
    <x v="1218"/>
    <x v="21"/>
    <x v="118"/>
    <x v="29"/>
    <x v="52"/>
    <x v="33"/>
    <x v="15"/>
    <x v="33"/>
    <x v="188"/>
    <x v="65"/>
    <x v="16"/>
    <x v="35"/>
    <x v="2"/>
  </r>
  <r>
    <x v="1219"/>
    <x v="23"/>
    <x v="54"/>
    <x v="0"/>
    <x v="7"/>
    <x v="15"/>
    <x v="2"/>
    <x v="2"/>
    <x v="206"/>
    <x v="53"/>
    <x v="9"/>
    <x v="24"/>
    <x v="2"/>
  </r>
  <r>
    <x v="1220"/>
    <x v="26"/>
    <x v="70"/>
    <x v="2"/>
    <x v="15"/>
    <x v="35"/>
    <x v="31"/>
    <x v="87"/>
    <x v="179"/>
    <x v="44"/>
    <x v="30"/>
    <x v="34"/>
    <x v="3"/>
  </r>
  <r>
    <x v="1221"/>
    <x v="25"/>
    <x v="25"/>
    <x v="32"/>
    <x v="11"/>
    <x v="25"/>
    <x v="15"/>
    <x v="22"/>
    <x v="105"/>
    <x v="35"/>
    <x v="35"/>
    <x v="37"/>
    <x v="4"/>
  </r>
  <r>
    <x v="1222"/>
    <x v="27"/>
    <x v="93"/>
    <x v="19"/>
    <x v="56"/>
    <x v="57"/>
    <x v="19"/>
    <x v="92"/>
    <x v="297"/>
    <x v="28"/>
    <x v="14"/>
    <x v="14"/>
    <x v="3"/>
  </r>
  <r>
    <x v="1223"/>
    <x v="22"/>
    <x v="62"/>
    <x v="2"/>
    <x v="10"/>
    <x v="41"/>
    <x v="18"/>
    <x v="24"/>
    <x v="296"/>
    <x v="52"/>
    <x v="37"/>
    <x v="17"/>
    <x v="2"/>
  </r>
  <r>
    <x v="1224"/>
    <x v="22"/>
    <x v="52"/>
    <x v="20"/>
    <x v="8"/>
    <x v="21"/>
    <x v="8"/>
    <x v="16"/>
    <x v="35"/>
    <x v="50"/>
    <x v="11"/>
    <x v="41"/>
    <x v="2"/>
  </r>
  <r>
    <x v="1225"/>
    <x v="26"/>
    <x v="70"/>
    <x v="2"/>
    <x v="15"/>
    <x v="35"/>
    <x v="31"/>
    <x v="87"/>
    <x v="179"/>
    <x v="44"/>
    <x v="30"/>
    <x v="35"/>
    <x v="3"/>
  </r>
  <r>
    <x v="1226"/>
    <x v="27"/>
    <x v="93"/>
    <x v="19"/>
    <x v="56"/>
    <x v="57"/>
    <x v="19"/>
    <x v="92"/>
    <x v="297"/>
    <x v="28"/>
    <x v="14"/>
    <x v="15"/>
    <x v="3"/>
  </r>
  <r>
    <x v="1227"/>
    <x v="21"/>
    <x v="70"/>
    <x v="0"/>
    <x v="10"/>
    <x v="43"/>
    <x v="22"/>
    <x v="33"/>
    <x v="288"/>
    <x v="52"/>
    <x v="36"/>
    <x v="16"/>
    <x v="2"/>
  </r>
  <r>
    <x v="1228"/>
    <x v="22"/>
    <x v="52"/>
    <x v="1"/>
    <x v="10"/>
    <x v="43"/>
    <x v="41"/>
    <x v="48"/>
    <x v="273"/>
    <x v="52"/>
    <x v="35"/>
    <x v="16"/>
    <x v="2"/>
  </r>
  <r>
    <x v="1229"/>
    <x v="25"/>
    <x v="26"/>
    <x v="31"/>
    <x v="11"/>
    <x v="19"/>
    <x v="15"/>
    <x v="23"/>
    <x v="107"/>
    <x v="35"/>
    <x v="38"/>
    <x v="37"/>
    <x v="5"/>
  </r>
  <r>
    <x v="1230"/>
    <x v="31"/>
    <x v="19"/>
    <x v="44"/>
    <x v="24"/>
    <x v="67"/>
    <x v="8"/>
    <x v="11"/>
    <x v="313"/>
    <x v="45"/>
    <x v="40"/>
    <x v="33"/>
    <x v="4"/>
  </r>
  <r>
    <x v="1231"/>
    <x v="19"/>
    <x v="52"/>
    <x v="2"/>
    <x v="11"/>
    <x v="25"/>
    <x v="37"/>
    <x v="47"/>
    <x v="59"/>
    <x v="47"/>
    <x v="38"/>
    <x v="40"/>
    <x v="4"/>
  </r>
  <r>
    <x v="1232"/>
    <x v="29"/>
    <x v="40"/>
    <x v="33"/>
    <x v="10"/>
    <x v="37"/>
    <x v="27"/>
    <x v="80"/>
    <x v="292"/>
    <x v="53"/>
    <x v="20"/>
    <x v="4"/>
    <x v="2"/>
  </r>
  <r>
    <x v="1233"/>
    <x v="70"/>
    <x v="35"/>
    <x v="63"/>
    <x v="15"/>
    <x v="36"/>
    <x v="7"/>
    <x v="17"/>
    <x v="407"/>
    <x v="33"/>
    <x v="31"/>
    <x v="32"/>
    <x v="3"/>
  </r>
  <r>
    <x v="1234"/>
    <x v="18"/>
    <x v="116"/>
    <x v="0"/>
    <x v="5"/>
    <x v="15"/>
    <x v="9"/>
    <x v="11"/>
    <x v="103"/>
    <x v="62"/>
    <x v="25"/>
    <x v="32"/>
    <x v="3"/>
  </r>
  <r>
    <x v="1235"/>
    <x v="13"/>
    <x v="45"/>
    <x v="6"/>
    <x v="9"/>
    <x v="13"/>
    <x v="39"/>
    <x v="84"/>
    <x v="17"/>
    <x v="42"/>
    <x v="12"/>
    <x v="27"/>
    <x v="3"/>
  </r>
  <r>
    <x v="1236"/>
    <x v="37"/>
    <x v="13"/>
    <x v="40"/>
    <x v="7"/>
    <x v="30"/>
    <x v="8"/>
    <x v="14"/>
    <x v="207"/>
    <x v="51"/>
    <x v="22"/>
    <x v="26"/>
    <x v="2"/>
  </r>
  <r>
    <x v="1237"/>
    <x v="32"/>
    <x v="4"/>
    <x v="35"/>
    <x v="7"/>
    <x v="17"/>
    <x v="7"/>
    <x v="9"/>
    <x v="98"/>
    <x v="44"/>
    <x v="42"/>
    <x v="43"/>
    <x v="4"/>
  </r>
  <r>
    <x v="1238"/>
    <x v="17"/>
    <x v="32"/>
    <x v="9"/>
    <x v="17"/>
    <x v="17"/>
    <x v="34"/>
    <x v="58"/>
    <x v="306"/>
    <x v="53"/>
    <x v="30"/>
    <x v="25"/>
    <x v="3"/>
  </r>
  <r>
    <x v="1239"/>
    <x v="15"/>
    <x v="93"/>
    <x v="0"/>
    <x v="13"/>
    <x v="23"/>
    <x v="6"/>
    <x v="7"/>
    <x v="258"/>
    <x v="71"/>
    <x v="23"/>
    <x v="20"/>
    <x v="1"/>
  </r>
  <r>
    <x v="1240"/>
    <x v="21"/>
    <x v="64"/>
    <x v="3"/>
    <x v="17"/>
    <x v="38"/>
    <x v="14"/>
    <x v="25"/>
    <x v="162"/>
    <x v="48"/>
    <x v="20"/>
    <x v="25"/>
    <x v="3"/>
  </r>
  <r>
    <x v="1241"/>
    <x v="22"/>
    <x v="62"/>
    <x v="1"/>
    <x v="19"/>
    <x v="39"/>
    <x v="14"/>
    <x v="33"/>
    <x v="143"/>
    <x v="46"/>
    <x v="15"/>
    <x v="31"/>
    <x v="3"/>
  </r>
  <r>
    <x v="1242"/>
    <x v="21"/>
    <x v="54"/>
    <x v="10"/>
    <x v="7"/>
    <x v="26"/>
    <x v="34"/>
    <x v="47"/>
    <x v="190"/>
    <x v="53"/>
    <x v="29"/>
    <x v="16"/>
    <x v="2"/>
  </r>
  <r>
    <x v="1243"/>
    <x v="26"/>
    <x v="39"/>
    <x v="32"/>
    <x v="13"/>
    <x v="25"/>
    <x v="31"/>
    <x v="48"/>
    <x v="310"/>
    <x v="42"/>
    <x v="27"/>
    <x v="20"/>
    <x v="4"/>
  </r>
  <r>
    <x v="1244"/>
    <x v="20"/>
    <x v="133"/>
    <x v="8"/>
    <x v="17"/>
    <x v="30"/>
    <x v="19"/>
    <x v="26"/>
    <x v="246"/>
    <x v="64"/>
    <x v="19"/>
    <x v="33"/>
    <x v="1"/>
  </r>
  <r>
    <x v="1245"/>
    <x v="26"/>
    <x v="126"/>
    <x v="5"/>
    <x v="13"/>
    <x v="24"/>
    <x v="20"/>
    <x v="43"/>
    <x v="291"/>
    <x v="43"/>
    <x v="17"/>
    <x v="16"/>
    <x v="0"/>
  </r>
  <r>
    <x v="1246"/>
    <x v="53"/>
    <x v="74"/>
    <x v="11"/>
    <x v="3"/>
    <x v="47"/>
    <x v="8"/>
    <x v="18"/>
    <x v="189"/>
    <x v="3"/>
    <x v="9"/>
    <x v="16"/>
    <x v="2"/>
  </r>
  <r>
    <x v="1247"/>
    <x v="20"/>
    <x v="76"/>
    <x v="8"/>
    <x v="39"/>
    <x v="30"/>
    <x v="8"/>
    <x v="10"/>
    <x v="41"/>
    <x v="55"/>
    <x v="14"/>
    <x v="51"/>
    <x v="2"/>
  </r>
  <r>
    <x v="1248"/>
    <x v="29"/>
    <x v="22"/>
    <x v="60"/>
    <x v="22"/>
    <x v="36"/>
    <x v="23"/>
    <x v="38"/>
    <x v="253"/>
    <x v="50"/>
    <x v="41"/>
    <x v="35"/>
    <x v="3"/>
  </r>
  <r>
    <x v="1249"/>
    <x v="14"/>
    <x v="56"/>
    <x v="8"/>
    <x v="9"/>
    <x v="34"/>
    <x v="14"/>
    <x v="39"/>
    <x v="42"/>
    <x v="50"/>
    <x v="16"/>
    <x v="33"/>
    <x v="2"/>
  </r>
  <r>
    <x v="1250"/>
    <x v="52"/>
    <x v="41"/>
    <x v="50"/>
    <x v="87"/>
    <x v="119"/>
    <x v="49"/>
    <x v="77"/>
    <x v="430"/>
    <x v="28"/>
    <x v="37"/>
    <x v="3"/>
    <x v="2"/>
  </r>
  <r>
    <x v="1251"/>
    <x v="6"/>
    <x v="37"/>
    <x v="11"/>
    <x v="15"/>
    <x v="11"/>
    <x v="16"/>
    <x v="84"/>
    <x v="12"/>
    <x v="66"/>
    <x v="50"/>
    <x v="61"/>
    <x v="4"/>
  </r>
  <r>
    <x v="1252"/>
    <x v="6"/>
    <x v="37"/>
    <x v="11"/>
    <x v="15"/>
    <x v="11"/>
    <x v="16"/>
    <x v="84"/>
    <x v="12"/>
    <x v="66"/>
    <x v="50"/>
    <x v="62"/>
    <x v="4"/>
  </r>
  <r>
    <x v="1253"/>
    <x v="24"/>
    <x v="111"/>
    <x v="5"/>
    <x v="60"/>
    <x v="45"/>
    <x v="2"/>
    <x v="8"/>
    <x v="357"/>
    <x v="52"/>
    <x v="14"/>
    <x v="23"/>
    <x v="0"/>
  </r>
  <r>
    <x v="1254"/>
    <x v="35"/>
    <x v="12"/>
    <x v="60"/>
    <x v="29"/>
    <x v="67"/>
    <x v="10"/>
    <x v="16"/>
    <x v="367"/>
    <x v="51"/>
    <x v="30"/>
    <x v="28"/>
    <x v="2"/>
  </r>
  <r>
    <x v="1255"/>
    <x v="9"/>
    <x v="60"/>
    <x v="3"/>
    <x v="4"/>
    <x v="43"/>
    <x v="6"/>
    <x v="7"/>
    <x v="125"/>
    <x v="76"/>
    <x v="24"/>
    <x v="22"/>
    <x v="1"/>
  </r>
  <r>
    <x v="1256"/>
    <x v="25"/>
    <x v="52"/>
    <x v="54"/>
    <x v="13"/>
    <x v="77"/>
    <x v="2"/>
    <x v="3"/>
    <x v="302"/>
    <x v="45"/>
    <x v="19"/>
    <x v="24"/>
    <x v="1"/>
  </r>
  <r>
    <x v="1257"/>
    <x v="34"/>
    <x v="20"/>
    <x v="44"/>
    <x v="4"/>
    <x v="5"/>
    <x v="6"/>
    <x v="6"/>
    <x v="159"/>
    <x v="47"/>
    <x v="23"/>
    <x v="29"/>
    <x v="2"/>
  </r>
  <r>
    <x v="1258"/>
    <x v="21"/>
    <x v="117"/>
    <x v="6"/>
    <x v="11"/>
    <x v="23"/>
    <x v="3"/>
    <x v="5"/>
    <x v="200"/>
    <x v="65"/>
    <x v="26"/>
    <x v="32"/>
    <x v="1"/>
  </r>
  <r>
    <x v="1259"/>
    <x v="23"/>
    <x v="67"/>
    <x v="16"/>
    <x v="13"/>
    <x v="37"/>
    <x v="8"/>
    <x v="19"/>
    <x v="210"/>
    <x v="49"/>
    <x v="17"/>
    <x v="16"/>
    <x v="2"/>
  </r>
  <r>
    <x v="1260"/>
    <x v="21"/>
    <x v="72"/>
    <x v="21"/>
    <x v="13"/>
    <x v="33"/>
    <x v="9"/>
    <x v="17"/>
    <x v="163"/>
    <x v="50"/>
    <x v="22"/>
    <x v="24"/>
    <x v="2"/>
  </r>
  <r>
    <x v="1261"/>
    <x v="13"/>
    <x v="64"/>
    <x v="5"/>
    <x v="10"/>
    <x v="29"/>
    <x v="9"/>
    <x v="11"/>
    <x v="124"/>
    <x v="64"/>
    <x v="40"/>
    <x v="28"/>
    <x v="2"/>
  </r>
  <r>
    <x v="1262"/>
    <x v="9"/>
    <x v="45"/>
    <x v="4"/>
    <x v="7"/>
    <x v="12"/>
    <x v="4"/>
    <x v="7"/>
    <x v="83"/>
    <x v="82"/>
    <x v="20"/>
    <x v="38"/>
    <x v="2"/>
  </r>
  <r>
    <x v="1263"/>
    <x v="15"/>
    <x v="50"/>
    <x v="10"/>
    <x v="13"/>
    <x v="11"/>
    <x v="3"/>
    <x v="5"/>
    <x v="94"/>
    <x v="56"/>
    <x v="38"/>
    <x v="31"/>
    <x v="3"/>
  </r>
  <r>
    <x v="1264"/>
    <x v="24"/>
    <x v="6"/>
    <x v="49"/>
    <x v="9"/>
    <x v="3"/>
    <x v="8"/>
    <x v="12"/>
    <x v="45"/>
    <x v="51"/>
    <x v="18"/>
    <x v="49"/>
    <x v="3"/>
  </r>
  <r>
    <x v="1265"/>
    <x v="15"/>
    <x v="66"/>
    <x v="6"/>
    <x v="5"/>
    <x v="13"/>
    <x v="6"/>
    <x v="12"/>
    <x v="47"/>
    <x v="69"/>
    <x v="16"/>
    <x v="44"/>
    <x v="2"/>
  </r>
  <r>
    <x v="1266"/>
    <x v="30"/>
    <x v="45"/>
    <x v="26"/>
    <x v="10"/>
    <x v="52"/>
    <x v="23"/>
    <x v="133"/>
    <x v="236"/>
    <x v="38"/>
    <x v="21"/>
    <x v="16"/>
    <x v="2"/>
  </r>
  <r>
    <x v="1267"/>
    <x v="17"/>
    <x v="17"/>
    <x v="9"/>
    <x v="3"/>
    <x v="29"/>
    <x v="15"/>
    <x v="22"/>
    <x v="99"/>
    <x v="54"/>
    <x v="32"/>
    <x v="20"/>
    <x v="4"/>
  </r>
  <r>
    <x v="1268"/>
    <x v="23"/>
    <x v="33"/>
    <x v="2"/>
    <x v="10"/>
    <x v="43"/>
    <x v="15"/>
    <x v="22"/>
    <x v="121"/>
    <x v="47"/>
    <x v="43"/>
    <x v="28"/>
    <x v="3"/>
  </r>
  <r>
    <x v="1269"/>
    <x v="22"/>
    <x v="84"/>
    <x v="3"/>
    <x v="17"/>
    <x v="17"/>
    <x v="7"/>
    <x v="10"/>
    <x v="132"/>
    <x v="57"/>
    <x v="25"/>
    <x v="39"/>
    <x v="3"/>
  </r>
  <r>
    <x v="1270"/>
    <x v="19"/>
    <x v="115"/>
    <x v="4"/>
    <x v="17"/>
    <x v="31"/>
    <x v="7"/>
    <x v="7"/>
    <x v="192"/>
    <x v="65"/>
    <x v="20"/>
    <x v="31"/>
    <x v="3"/>
  </r>
  <r>
    <x v="1271"/>
    <x v="28"/>
    <x v="81"/>
    <x v="4"/>
    <x v="4"/>
    <x v="39"/>
    <x v="8"/>
    <x v="9"/>
    <x v="132"/>
    <x v="38"/>
    <x v="15"/>
    <x v="15"/>
    <x v="2"/>
  </r>
  <r>
    <x v="1272"/>
    <x v="31"/>
    <x v="100"/>
    <x v="29"/>
    <x v="46"/>
    <x v="46"/>
    <x v="21"/>
    <x v="58"/>
    <x v="241"/>
    <x v="28"/>
    <x v="15"/>
    <x v="11"/>
    <x v="2"/>
  </r>
  <r>
    <x v="1273"/>
    <x v="26"/>
    <x v="53"/>
    <x v="18"/>
    <x v="19"/>
    <x v="41"/>
    <x v="15"/>
    <x v="54"/>
    <x v="237"/>
    <x v="43"/>
    <x v="16"/>
    <x v="17"/>
    <x v="2"/>
  </r>
  <r>
    <x v="1274"/>
    <x v="15"/>
    <x v="34"/>
    <x v="39"/>
    <x v="20"/>
    <x v="40"/>
    <x v="6"/>
    <x v="8"/>
    <x v="171"/>
    <x v="63"/>
    <x v="31"/>
    <x v="33"/>
    <x v="3"/>
  </r>
  <r>
    <x v="1275"/>
    <x v="28"/>
    <x v="26"/>
    <x v="57"/>
    <x v="17"/>
    <x v="69"/>
    <x v="4"/>
    <x v="6"/>
    <x v="209"/>
    <x v="48"/>
    <x v="17"/>
    <x v="38"/>
    <x v="3"/>
  </r>
  <r>
    <x v="1276"/>
    <x v="20"/>
    <x v="88"/>
    <x v="2"/>
    <x v="9"/>
    <x v="41"/>
    <x v="6"/>
    <x v="6"/>
    <x v="206"/>
    <x v="67"/>
    <x v="25"/>
    <x v="19"/>
    <x v="0"/>
  </r>
  <r>
    <x v="1277"/>
    <x v="21"/>
    <x v="98"/>
    <x v="5"/>
    <x v="11"/>
    <x v="33"/>
    <x v="6"/>
    <x v="8"/>
    <x v="176"/>
    <x v="63"/>
    <x v="28"/>
    <x v="31"/>
    <x v="3"/>
  </r>
  <r>
    <x v="1278"/>
    <x v="24"/>
    <x v="11"/>
    <x v="60"/>
    <x v="13"/>
    <x v="37"/>
    <x v="17"/>
    <x v="19"/>
    <x v="359"/>
    <x v="50"/>
    <x v="34"/>
    <x v="28"/>
    <x v="3"/>
  </r>
  <r>
    <x v="1279"/>
    <x v="32"/>
    <x v="2"/>
    <x v="40"/>
    <x v="9"/>
    <x v="25"/>
    <x v="7"/>
    <x v="14"/>
    <x v="77"/>
    <x v="40"/>
    <x v="32"/>
    <x v="35"/>
    <x v="2"/>
  </r>
  <r>
    <x v="1280"/>
    <x v="17"/>
    <x v="23"/>
    <x v="21"/>
    <x v="15"/>
    <x v="10"/>
    <x v="26"/>
    <x v="42"/>
    <x v="257"/>
    <x v="59"/>
    <x v="39"/>
    <x v="16"/>
    <x v="3"/>
  </r>
  <r>
    <x v="1281"/>
    <x v="24"/>
    <x v="74"/>
    <x v="4"/>
    <x v="13"/>
    <x v="31"/>
    <x v="19"/>
    <x v="21"/>
    <x v="296"/>
    <x v="56"/>
    <x v="29"/>
    <x v="17"/>
    <x v="2"/>
  </r>
  <r>
    <x v="1282"/>
    <x v="17"/>
    <x v="94"/>
    <x v="4"/>
    <x v="15"/>
    <x v="24"/>
    <x v="11"/>
    <x v="11"/>
    <x v="197"/>
    <x v="65"/>
    <x v="27"/>
    <x v="25"/>
    <x v="3"/>
  </r>
  <r>
    <x v="1283"/>
    <x v="17"/>
    <x v="48"/>
    <x v="15"/>
    <x v="9"/>
    <x v="41"/>
    <x v="17"/>
    <x v="59"/>
    <x v="29"/>
    <x v="45"/>
    <x v="22"/>
    <x v="26"/>
    <x v="3"/>
  </r>
  <r>
    <x v="1284"/>
    <x v="22"/>
    <x v="104"/>
    <x v="21"/>
    <x v="43"/>
    <x v="37"/>
    <x v="16"/>
    <x v="59"/>
    <x v="373"/>
    <x v="65"/>
    <x v="34"/>
    <x v="8"/>
    <x v="3"/>
  </r>
  <r>
    <x v="1285"/>
    <x v="22"/>
    <x v="104"/>
    <x v="21"/>
    <x v="43"/>
    <x v="37"/>
    <x v="16"/>
    <x v="59"/>
    <x v="373"/>
    <x v="65"/>
    <x v="34"/>
    <x v="9"/>
    <x v="3"/>
  </r>
  <r>
    <x v="1286"/>
    <x v="14"/>
    <x v="19"/>
    <x v="25"/>
    <x v="17"/>
    <x v="34"/>
    <x v="23"/>
    <x v="52"/>
    <x v="233"/>
    <x v="54"/>
    <x v="59"/>
    <x v="28"/>
    <x v="2"/>
  </r>
  <r>
    <x v="1287"/>
    <x v="18"/>
    <x v="44"/>
    <x v="6"/>
    <x v="11"/>
    <x v="26"/>
    <x v="29"/>
    <x v="38"/>
    <x v="118"/>
    <x v="50"/>
    <x v="45"/>
    <x v="24"/>
    <x v="3"/>
  </r>
  <r>
    <x v="1288"/>
    <x v="27"/>
    <x v="37"/>
    <x v="46"/>
    <x v="15"/>
    <x v="77"/>
    <x v="7"/>
    <x v="14"/>
    <x v="245"/>
    <x v="44"/>
    <x v="25"/>
    <x v="26"/>
    <x v="2"/>
  </r>
  <r>
    <x v="1289"/>
    <x v="19"/>
    <x v="76"/>
    <x v="8"/>
    <x v="22"/>
    <x v="69"/>
    <x v="14"/>
    <x v="21"/>
    <x v="259"/>
    <x v="56"/>
    <x v="20"/>
    <x v="23"/>
    <x v="2"/>
  </r>
  <r>
    <x v="1290"/>
    <x v="22"/>
    <x v="39"/>
    <x v="20"/>
    <x v="10"/>
    <x v="45"/>
    <x v="9"/>
    <x v="17"/>
    <x v="194"/>
    <x v="51"/>
    <x v="5"/>
    <x v="5"/>
    <x v="1"/>
  </r>
  <r>
    <x v="1291"/>
    <x v="21"/>
    <x v="39"/>
    <x v="25"/>
    <x v="11"/>
    <x v="39"/>
    <x v="29"/>
    <x v="55"/>
    <x v="150"/>
    <x v="46"/>
    <x v="22"/>
    <x v="25"/>
    <x v="2"/>
  </r>
  <r>
    <x v="1292"/>
    <x v="13"/>
    <x v="32"/>
    <x v="19"/>
    <x v="11"/>
    <x v="38"/>
    <x v="22"/>
    <x v="41"/>
    <x v="143"/>
    <x v="51"/>
    <x v="40"/>
    <x v="20"/>
    <x v="3"/>
  </r>
  <r>
    <x v="1293"/>
    <x v="20"/>
    <x v="39"/>
    <x v="8"/>
    <x v="13"/>
    <x v="27"/>
    <x v="18"/>
    <x v="28"/>
    <x v="168"/>
    <x v="45"/>
    <x v="26"/>
    <x v="16"/>
    <x v="2"/>
  </r>
  <r>
    <x v="1294"/>
    <x v="21"/>
    <x v="37"/>
    <x v="8"/>
    <x v="15"/>
    <x v="27"/>
    <x v="18"/>
    <x v="32"/>
    <x v="169"/>
    <x v="42"/>
    <x v="27"/>
    <x v="15"/>
    <x v="3"/>
  </r>
  <r>
    <x v="1295"/>
    <x v="24"/>
    <x v="44"/>
    <x v="7"/>
    <x v="7"/>
    <x v="34"/>
    <x v="15"/>
    <x v="18"/>
    <x v="134"/>
    <x v="41"/>
    <x v="28"/>
    <x v="31"/>
    <x v="3"/>
  </r>
  <r>
    <x v="1296"/>
    <x v="32"/>
    <x v="13"/>
    <x v="49"/>
    <x v="15"/>
    <x v="59"/>
    <x v="21"/>
    <x v="53"/>
    <x v="298"/>
    <x v="43"/>
    <x v="29"/>
    <x v="22"/>
    <x v="3"/>
  </r>
  <r>
    <x v="1297"/>
    <x v="24"/>
    <x v="74"/>
    <x v="8"/>
    <x v="13"/>
    <x v="26"/>
    <x v="44"/>
    <x v="46"/>
    <x v="211"/>
    <x v="54"/>
    <x v="22"/>
    <x v="23"/>
    <x v="3"/>
  </r>
  <r>
    <x v="1298"/>
    <x v="19"/>
    <x v="34"/>
    <x v="9"/>
    <x v="15"/>
    <x v="26"/>
    <x v="9"/>
    <x v="12"/>
    <x v="93"/>
    <x v="54"/>
    <x v="31"/>
    <x v="37"/>
    <x v="3"/>
  </r>
  <r>
    <x v="1299"/>
    <x v="14"/>
    <x v="77"/>
    <x v="10"/>
    <x v="25"/>
    <x v="44"/>
    <x v="13"/>
    <x v="22"/>
    <x v="231"/>
    <x v="72"/>
    <x v="28"/>
    <x v="23"/>
    <x v="2"/>
  </r>
  <r>
    <x v="1300"/>
    <x v="25"/>
    <x v="44"/>
    <x v="13"/>
    <x v="11"/>
    <x v="21"/>
    <x v="18"/>
    <x v="16"/>
    <x v="184"/>
    <x v="33"/>
    <x v="30"/>
    <x v="18"/>
    <x v="3"/>
  </r>
  <r>
    <x v="1301"/>
    <x v="33"/>
    <x v="27"/>
    <x v="30"/>
    <x v="10"/>
    <x v="37"/>
    <x v="32"/>
    <x v="79"/>
    <x v="300"/>
    <x v="51"/>
    <x v="23"/>
    <x v="4"/>
    <x v="2"/>
  </r>
  <r>
    <x v="1302"/>
    <x v="19"/>
    <x v="48"/>
    <x v="14"/>
    <x v="19"/>
    <x v="27"/>
    <x v="13"/>
    <x v="23"/>
    <x v="73"/>
    <x v="54"/>
    <x v="24"/>
    <x v="41"/>
    <x v="4"/>
  </r>
  <r>
    <x v="1303"/>
    <x v="23"/>
    <x v="47"/>
    <x v="13"/>
    <x v="15"/>
    <x v="38"/>
    <x v="15"/>
    <x v="29"/>
    <x v="199"/>
    <x v="48"/>
    <x v="21"/>
    <x v="16"/>
    <x v="3"/>
  </r>
  <r>
    <x v="1304"/>
    <x v="14"/>
    <x v="44"/>
    <x v="8"/>
    <x v="10"/>
    <x v="40"/>
    <x v="24"/>
    <x v="39"/>
    <x v="148"/>
    <x v="72"/>
    <x v="30"/>
    <x v="24"/>
    <x v="3"/>
  </r>
  <r>
    <x v="1305"/>
    <x v="7"/>
    <x v="52"/>
    <x v="8"/>
    <x v="10"/>
    <x v="22"/>
    <x v="20"/>
    <x v="25"/>
    <x v="115"/>
    <x v="62"/>
    <x v="26"/>
    <x v="23"/>
    <x v="3"/>
  </r>
  <r>
    <x v="1306"/>
    <x v="15"/>
    <x v="64"/>
    <x v="9"/>
    <x v="20"/>
    <x v="44"/>
    <x v="15"/>
    <x v="20"/>
    <x v="156"/>
    <x v="69"/>
    <x v="25"/>
    <x v="45"/>
    <x v="2"/>
  </r>
  <r>
    <x v="1307"/>
    <x v="25"/>
    <x v="27"/>
    <x v="32"/>
    <x v="9"/>
    <x v="28"/>
    <x v="34"/>
    <x v="54"/>
    <x v="298"/>
    <x v="58"/>
    <x v="40"/>
    <x v="18"/>
    <x v="2"/>
  </r>
  <r>
    <x v="1308"/>
    <x v="15"/>
    <x v="43"/>
    <x v="8"/>
    <x v="47"/>
    <x v="34"/>
    <x v="11"/>
    <x v="26"/>
    <x v="244"/>
    <x v="68"/>
    <x v="25"/>
    <x v="40"/>
    <x v="3"/>
  </r>
  <r>
    <x v="1309"/>
    <x v="27"/>
    <x v="9"/>
    <x v="29"/>
    <x v="15"/>
    <x v="17"/>
    <x v="19"/>
    <x v="43"/>
    <x v="260"/>
    <x v="52"/>
    <x v="38"/>
    <x v="32"/>
    <x v="4"/>
  </r>
  <r>
    <x v="1310"/>
    <x v="20"/>
    <x v="107"/>
    <x v="2"/>
    <x v="10"/>
    <x v="27"/>
    <x v="29"/>
    <x v="32"/>
    <x v="107"/>
    <x v="42"/>
    <x v="18"/>
    <x v="30"/>
    <x v="3"/>
  </r>
  <r>
    <x v="1311"/>
    <x v="64"/>
    <x v="34"/>
    <x v="42"/>
    <x v="15"/>
    <x v="27"/>
    <x v="14"/>
    <x v="13"/>
    <x v="331"/>
    <x v="37"/>
    <x v="19"/>
    <x v="25"/>
    <x v="3"/>
  </r>
  <r>
    <x v="1312"/>
    <x v="37"/>
    <x v="25"/>
    <x v="43"/>
    <x v="17"/>
    <x v="26"/>
    <x v="12"/>
    <x v="13"/>
    <x v="166"/>
    <x v="29"/>
    <x v="43"/>
    <x v="36"/>
    <x v="4"/>
  </r>
  <r>
    <x v="1313"/>
    <x v="18"/>
    <x v="62"/>
    <x v="33"/>
    <x v="9"/>
    <x v="22"/>
    <x v="16"/>
    <x v="22"/>
    <x v="151"/>
    <x v="48"/>
    <x v="26"/>
    <x v="22"/>
    <x v="3"/>
  </r>
  <r>
    <x v="1314"/>
    <x v="23"/>
    <x v="50"/>
    <x v="2"/>
    <x v="11"/>
    <x v="35"/>
    <x v="17"/>
    <x v="20"/>
    <x v="186"/>
    <x v="48"/>
    <x v="23"/>
    <x v="23"/>
    <x v="2"/>
  </r>
  <r>
    <x v="1315"/>
    <x v="16"/>
    <x v="56"/>
    <x v="10"/>
    <x v="5"/>
    <x v="11"/>
    <x v="12"/>
    <x v="20"/>
    <x v="30"/>
    <x v="67"/>
    <x v="13"/>
    <x v="46"/>
    <x v="2"/>
  </r>
  <r>
    <x v="1316"/>
    <x v="65"/>
    <x v="29"/>
    <x v="50"/>
    <x v="11"/>
    <x v="62"/>
    <x v="19"/>
    <x v="44"/>
    <x v="344"/>
    <x v="22"/>
    <x v="20"/>
    <x v="25"/>
    <x v="2"/>
  </r>
  <r>
    <x v="1317"/>
    <x v="27"/>
    <x v="23"/>
    <x v="30"/>
    <x v="9"/>
    <x v="37"/>
    <x v="17"/>
    <x v="18"/>
    <x v="82"/>
    <x v="36"/>
    <x v="32"/>
    <x v="38"/>
    <x v="5"/>
  </r>
  <r>
    <x v="1318"/>
    <x v="24"/>
    <x v="72"/>
    <x v="0"/>
    <x v="17"/>
    <x v="50"/>
    <x v="17"/>
    <x v="20"/>
    <x v="344"/>
    <x v="57"/>
    <x v="15"/>
    <x v="12"/>
    <x v="2"/>
  </r>
  <r>
    <x v="1319"/>
    <x v="24"/>
    <x v="70"/>
    <x v="0"/>
    <x v="17"/>
    <x v="46"/>
    <x v="18"/>
    <x v="21"/>
    <x v="336"/>
    <x v="56"/>
    <x v="16"/>
    <x v="11"/>
    <x v="2"/>
  </r>
  <r>
    <x v="1320"/>
    <x v="16"/>
    <x v="72"/>
    <x v="1"/>
    <x v="38"/>
    <x v="66"/>
    <x v="32"/>
    <x v="48"/>
    <x v="195"/>
    <x v="63"/>
    <x v="28"/>
    <x v="37"/>
    <x v="3"/>
  </r>
  <r>
    <x v="1321"/>
    <x v="26"/>
    <x v="83"/>
    <x v="0"/>
    <x v="15"/>
    <x v="43"/>
    <x v="18"/>
    <x v="22"/>
    <x v="335"/>
    <x v="53"/>
    <x v="22"/>
    <x v="11"/>
    <x v="2"/>
  </r>
  <r>
    <x v="1322"/>
    <x v="19"/>
    <x v="107"/>
    <x v="2"/>
    <x v="19"/>
    <x v="25"/>
    <x v="15"/>
    <x v="17"/>
    <x v="227"/>
    <x v="66"/>
    <x v="22"/>
    <x v="33"/>
    <x v="3"/>
  </r>
  <r>
    <x v="1323"/>
    <x v="23"/>
    <x v="48"/>
    <x v="17"/>
    <x v="7"/>
    <x v="28"/>
    <x v="15"/>
    <x v="18"/>
    <x v="136"/>
    <x v="56"/>
    <x v="30"/>
    <x v="27"/>
    <x v="4"/>
  </r>
  <r>
    <x v="1324"/>
    <x v="19"/>
    <x v="112"/>
    <x v="4"/>
    <x v="15"/>
    <x v="29"/>
    <x v="12"/>
    <x v="14"/>
    <x v="236"/>
    <x v="65"/>
    <x v="18"/>
    <x v="18"/>
    <x v="2"/>
  </r>
  <r>
    <x v="1325"/>
    <x v="22"/>
    <x v="62"/>
    <x v="33"/>
    <x v="70"/>
    <x v="126"/>
    <x v="57"/>
    <x v="108"/>
    <x v="348"/>
    <x v="34"/>
    <x v="18"/>
    <x v="12"/>
    <x v="2"/>
  </r>
  <r>
    <x v="1326"/>
    <x v="31"/>
    <x v="56"/>
    <x v="26"/>
    <x v="11"/>
    <x v="43"/>
    <x v="31"/>
    <x v="121"/>
    <x v="223"/>
    <x v="33"/>
    <x v="14"/>
    <x v="18"/>
    <x v="2"/>
  </r>
  <r>
    <x v="1327"/>
    <x v="25"/>
    <x v="75"/>
    <x v="13"/>
    <x v="11"/>
    <x v="39"/>
    <x v="12"/>
    <x v="14"/>
    <x v="163"/>
    <x v="41"/>
    <x v="16"/>
    <x v="22"/>
    <x v="2"/>
  </r>
  <r>
    <x v="1328"/>
    <x v="20"/>
    <x v="70"/>
    <x v="2"/>
    <x v="10"/>
    <x v="24"/>
    <x v="26"/>
    <x v="36"/>
    <x v="118"/>
    <x v="51"/>
    <x v="44"/>
    <x v="32"/>
    <x v="3"/>
  </r>
  <r>
    <x v="1329"/>
    <x v="20"/>
    <x v="1"/>
    <x v="64"/>
    <x v="13"/>
    <x v="22"/>
    <x v="24"/>
    <x v="46"/>
    <x v="122"/>
    <x v="46"/>
    <x v="33"/>
    <x v="36"/>
    <x v="3"/>
  </r>
  <r>
    <x v="1330"/>
    <x v="23"/>
    <x v="48"/>
    <x v="13"/>
    <x v="5"/>
    <x v="40"/>
    <x v="25"/>
    <x v="36"/>
    <x v="229"/>
    <x v="46"/>
    <x v="21"/>
    <x v="7"/>
    <x v="2"/>
  </r>
  <r>
    <x v="1331"/>
    <x v="15"/>
    <x v="42"/>
    <x v="14"/>
    <x v="10"/>
    <x v="19"/>
    <x v="15"/>
    <x v="28"/>
    <x v="72"/>
    <x v="60"/>
    <x v="19"/>
    <x v="39"/>
    <x v="3"/>
  </r>
  <r>
    <x v="1332"/>
    <x v="17"/>
    <x v="23"/>
    <x v="53"/>
    <x v="15"/>
    <x v="125"/>
    <x v="19"/>
    <x v="29"/>
    <x v="43"/>
    <x v="49"/>
    <x v="55"/>
    <x v="49"/>
    <x v="3"/>
  </r>
  <r>
    <x v="1333"/>
    <x v="17"/>
    <x v="26"/>
    <x v="14"/>
    <x v="15"/>
    <x v="2"/>
    <x v="15"/>
    <x v="19"/>
    <x v="136"/>
    <x v="56"/>
    <x v="27"/>
    <x v="35"/>
    <x v="3"/>
  </r>
  <r>
    <x v="1334"/>
    <x v="26"/>
    <x v="74"/>
    <x v="32"/>
    <x v="15"/>
    <x v="32"/>
    <x v="35"/>
    <x v="98"/>
    <x v="232"/>
    <x v="45"/>
    <x v="13"/>
    <x v="12"/>
    <x v="2"/>
  </r>
  <r>
    <x v="1335"/>
    <x v="13"/>
    <x v="52"/>
    <x v="20"/>
    <x v="19"/>
    <x v="38"/>
    <x v="15"/>
    <x v="44"/>
    <x v="103"/>
    <x v="70"/>
    <x v="29"/>
    <x v="50"/>
    <x v="3"/>
  </r>
  <r>
    <x v="1336"/>
    <x v="9"/>
    <x v="17"/>
    <x v="77"/>
    <x v="88"/>
    <x v="37"/>
    <x v="23"/>
    <x v="87"/>
    <x v="269"/>
    <x v="51"/>
    <x v="10"/>
    <x v="26"/>
    <x v="3"/>
  </r>
  <r>
    <x v="1337"/>
    <x v="28"/>
    <x v="43"/>
    <x v="40"/>
    <x v="15"/>
    <x v="23"/>
    <x v="12"/>
    <x v="14"/>
    <x v="109"/>
    <x v="38"/>
    <x v="26"/>
    <x v="42"/>
    <x v="3"/>
  </r>
  <r>
    <x v="1338"/>
    <x v="33"/>
    <x v="15"/>
    <x v="63"/>
    <x v="5"/>
    <x v="44"/>
    <x v="16"/>
    <x v="23"/>
    <x v="197"/>
    <x v="42"/>
    <x v="40"/>
    <x v="31"/>
    <x v="3"/>
  </r>
  <r>
    <x v="1339"/>
    <x v="15"/>
    <x v="76"/>
    <x v="15"/>
    <x v="54"/>
    <x v="39"/>
    <x v="13"/>
    <x v="21"/>
    <x v="223"/>
    <x v="66"/>
    <x v="22"/>
    <x v="43"/>
    <x v="3"/>
  </r>
  <r>
    <x v="1340"/>
    <x v="21"/>
    <x v="70"/>
    <x v="15"/>
    <x v="9"/>
    <x v="81"/>
    <x v="13"/>
    <x v="14"/>
    <x v="157"/>
    <x v="54"/>
    <x v="29"/>
    <x v="37"/>
    <x v="3"/>
  </r>
  <r>
    <x v="1341"/>
    <x v="15"/>
    <x v="48"/>
    <x v="9"/>
    <x v="7"/>
    <x v="16"/>
    <x v="24"/>
    <x v="26"/>
    <x v="75"/>
    <x v="66"/>
    <x v="22"/>
    <x v="37"/>
    <x v="2"/>
  </r>
  <r>
    <x v="1342"/>
    <x v="27"/>
    <x v="22"/>
    <x v="33"/>
    <x v="19"/>
    <x v="31"/>
    <x v="9"/>
    <x v="20"/>
    <x v="105"/>
    <x v="48"/>
    <x v="22"/>
    <x v="43"/>
    <x v="3"/>
  </r>
  <r>
    <x v="1343"/>
    <x v="14"/>
    <x v="79"/>
    <x v="10"/>
    <x v="22"/>
    <x v="16"/>
    <x v="13"/>
    <x v="21"/>
    <x v="55"/>
    <x v="69"/>
    <x v="12"/>
    <x v="43"/>
    <x v="2"/>
  </r>
  <r>
    <x v="1344"/>
    <x v="15"/>
    <x v="36"/>
    <x v="29"/>
    <x v="13"/>
    <x v="37"/>
    <x v="32"/>
    <x v="92"/>
    <x v="189"/>
    <x v="45"/>
    <x v="24"/>
    <x v="17"/>
    <x v="2"/>
  </r>
  <r>
    <x v="1345"/>
    <x v="20"/>
    <x v="19"/>
    <x v="44"/>
    <x v="19"/>
    <x v="24"/>
    <x v="24"/>
    <x v="28"/>
    <x v="115"/>
    <x v="41"/>
    <x v="42"/>
    <x v="40"/>
    <x v="4"/>
  </r>
  <r>
    <x v="1346"/>
    <x v="25"/>
    <x v="27"/>
    <x v="44"/>
    <x v="22"/>
    <x v="29"/>
    <x v="22"/>
    <x v="42"/>
    <x v="122"/>
    <x v="42"/>
    <x v="46"/>
    <x v="39"/>
    <x v="3"/>
  </r>
  <r>
    <x v="1347"/>
    <x v="28"/>
    <x v="17"/>
    <x v="41"/>
    <x v="19"/>
    <x v="28"/>
    <x v="34"/>
    <x v="54"/>
    <x v="121"/>
    <x v="46"/>
    <x v="47"/>
    <x v="38"/>
    <x v="3"/>
  </r>
  <r>
    <x v="1348"/>
    <x v="11"/>
    <x v="58"/>
    <x v="11"/>
    <x v="9"/>
    <x v="29"/>
    <x v="18"/>
    <x v="22"/>
    <x v="114"/>
    <x v="67"/>
    <x v="28"/>
    <x v="32"/>
    <x v="3"/>
  </r>
  <r>
    <x v="1349"/>
    <x v="25"/>
    <x v="68"/>
    <x v="33"/>
    <x v="20"/>
    <x v="31"/>
    <x v="34"/>
    <x v="96"/>
    <x v="78"/>
    <x v="39"/>
    <x v="40"/>
    <x v="53"/>
    <x v="3"/>
  </r>
  <r>
    <x v="1350"/>
    <x v="19"/>
    <x v="81"/>
    <x v="20"/>
    <x v="75"/>
    <x v="36"/>
    <x v="29"/>
    <x v="74"/>
    <x v="338"/>
    <x v="41"/>
    <x v="16"/>
    <x v="7"/>
    <x v="2"/>
  </r>
  <r>
    <x v="1351"/>
    <x v="16"/>
    <x v="47"/>
    <x v="15"/>
    <x v="9"/>
    <x v="40"/>
    <x v="26"/>
    <x v="29"/>
    <x v="31"/>
    <x v="44"/>
    <x v="44"/>
    <x v="40"/>
    <x v="3"/>
  </r>
  <r>
    <x v="1352"/>
    <x v="7"/>
    <x v="84"/>
    <x v="9"/>
    <x v="7"/>
    <x v="52"/>
    <x v="16"/>
    <x v="20"/>
    <x v="75"/>
    <x v="77"/>
    <x v="18"/>
    <x v="40"/>
    <x v="3"/>
  </r>
  <r>
    <x v="1353"/>
    <x v="16"/>
    <x v="42"/>
    <x v="13"/>
    <x v="17"/>
    <x v="39"/>
    <x v="29"/>
    <x v="34"/>
    <x v="185"/>
    <x v="54"/>
    <x v="37"/>
    <x v="33"/>
    <x v="3"/>
  </r>
  <r>
    <x v="1354"/>
    <x v="21"/>
    <x v="60"/>
    <x v="8"/>
    <x v="10"/>
    <x v="31"/>
    <x v="28"/>
    <x v="32"/>
    <x v="249"/>
    <x v="54"/>
    <x v="44"/>
    <x v="12"/>
    <x v="3"/>
  </r>
  <r>
    <x v="1355"/>
    <x v="15"/>
    <x v="56"/>
    <x v="8"/>
    <x v="11"/>
    <x v="53"/>
    <x v="32"/>
    <x v="38"/>
    <x v="119"/>
    <x v="57"/>
    <x v="20"/>
    <x v="26"/>
    <x v="2"/>
  </r>
  <r>
    <x v="1356"/>
    <x v="12"/>
    <x v="47"/>
    <x v="10"/>
    <x v="15"/>
    <x v="25"/>
    <x v="40"/>
    <x v="45"/>
    <x v="135"/>
    <x v="64"/>
    <x v="38"/>
    <x v="36"/>
    <x v="3"/>
  </r>
  <r>
    <x v="1357"/>
    <x v="12"/>
    <x v="65"/>
    <x v="12"/>
    <x v="11"/>
    <x v="38"/>
    <x v="32"/>
    <x v="38"/>
    <x v="164"/>
    <x v="69"/>
    <x v="33"/>
    <x v="23"/>
    <x v="2"/>
  </r>
  <r>
    <x v="1358"/>
    <x v="13"/>
    <x v="17"/>
    <x v="47"/>
    <x v="36"/>
    <x v="30"/>
    <x v="18"/>
    <x v="36"/>
    <x v="165"/>
    <x v="51"/>
    <x v="28"/>
    <x v="33"/>
    <x v="3"/>
  </r>
</pivotCacheRecords>
</file>

<file path=xl/pivotCache/pivotCacheRecords2.xml><?xml version="1.0" encoding="utf-8"?>
<pivotCacheRecords xmlns="http://schemas.openxmlformats.org/spreadsheetml/2006/main" xmlns:r="http://schemas.openxmlformats.org/officeDocument/2006/relationships" count="1359">
  <r>
    <x v="0"/>
    <x v="2"/>
    <x v="1"/>
    <x v="11"/>
    <x v="1"/>
    <x v="76"/>
    <x v="28"/>
    <x v="1"/>
    <x v="1"/>
    <x v="3"/>
  </r>
  <r>
    <x v="1"/>
    <x v="2"/>
    <x v="1"/>
    <x v="17"/>
    <x v="1"/>
    <x v="112"/>
    <x v="61"/>
    <x v="2"/>
    <x v="0"/>
    <x v="3"/>
  </r>
  <r>
    <x v="2"/>
    <x v="2"/>
    <x v="1"/>
    <x v="17"/>
    <x v="1"/>
    <x v="88"/>
    <x v="48"/>
    <x v="2"/>
    <x v="0"/>
    <x v="3"/>
  </r>
  <r>
    <x v="3"/>
    <x v="3"/>
    <x v="0"/>
    <x v="17"/>
    <x v="1"/>
    <x v="12"/>
    <x v="54"/>
    <x v="2"/>
    <x v="1"/>
    <x v="2"/>
  </r>
  <r>
    <x v="4"/>
    <x v="2"/>
    <x v="1"/>
    <x v="11"/>
    <x v="1"/>
    <x v="68"/>
    <x v="34"/>
    <x v="1"/>
    <x v="1"/>
    <x v="3"/>
  </r>
  <r>
    <x v="5"/>
    <x v="2"/>
    <x v="1"/>
    <x v="11"/>
    <x v="1"/>
    <x v="56"/>
    <x v="53"/>
    <x v="2"/>
    <x v="1"/>
    <x v="3"/>
  </r>
  <r>
    <x v="6"/>
    <x v="4"/>
    <x v="3"/>
    <x v="20"/>
    <x v="2"/>
    <x v="66"/>
    <x v="15"/>
    <x v="1"/>
    <x v="1"/>
    <x v="2"/>
  </r>
  <r>
    <x v="7"/>
    <x v="4"/>
    <x v="3"/>
    <x v="12"/>
    <x v="1"/>
    <x v="52"/>
    <x v="12"/>
    <x v="1"/>
    <x v="1"/>
    <x v="2"/>
  </r>
  <r>
    <x v="8"/>
    <x v="2"/>
    <x v="1"/>
    <x v="26"/>
    <x v="2"/>
    <x v="41"/>
    <x v="96"/>
    <x v="0"/>
    <x v="1"/>
    <x v="3"/>
  </r>
  <r>
    <x v="9"/>
    <x v="2"/>
    <x v="1"/>
    <x v="7"/>
    <x v="1"/>
    <x v="52"/>
    <x v="59"/>
    <x v="2"/>
    <x v="1"/>
    <x v="3"/>
  </r>
  <r>
    <x v="10"/>
    <x v="2"/>
    <x v="1"/>
    <x v="18"/>
    <x v="1"/>
    <x v="59"/>
    <x v="53"/>
    <x v="2"/>
    <x v="1"/>
    <x v="3"/>
  </r>
  <r>
    <x v="11"/>
    <x v="2"/>
    <x v="1"/>
    <x v="6"/>
    <x v="1"/>
    <x v="58"/>
    <x v="23"/>
    <x v="1"/>
    <x v="1"/>
    <x v="3"/>
  </r>
  <r>
    <x v="12"/>
    <x v="2"/>
    <x v="1"/>
    <x v="7"/>
    <x v="1"/>
    <x v="60"/>
    <x v="132"/>
    <x v="0"/>
    <x v="1"/>
    <x v="3"/>
  </r>
  <r>
    <x v="13"/>
    <x v="2"/>
    <x v="1"/>
    <x v="7"/>
    <x v="1"/>
    <x v="60"/>
    <x v="134"/>
    <x v="0"/>
    <x v="1"/>
    <x v="3"/>
  </r>
  <r>
    <x v="14"/>
    <x v="4"/>
    <x v="3"/>
    <x v="26"/>
    <x v="2"/>
    <x v="12"/>
    <x v="97"/>
    <x v="0"/>
    <x v="1"/>
    <x v="2"/>
  </r>
  <r>
    <x v="15"/>
    <x v="2"/>
    <x v="1"/>
    <x v="10"/>
    <x v="1"/>
    <x v="48"/>
    <x v="50"/>
    <x v="2"/>
    <x v="1"/>
    <x v="3"/>
  </r>
  <r>
    <x v="16"/>
    <x v="1"/>
    <x v="4"/>
    <x v="4"/>
    <x v="1"/>
    <x v="54"/>
    <x v="23"/>
    <x v="1"/>
    <x v="1"/>
    <x v="0"/>
  </r>
  <r>
    <x v="17"/>
    <x v="3"/>
    <x v="0"/>
    <x v="7"/>
    <x v="1"/>
    <x v="19"/>
    <x v="50"/>
    <x v="2"/>
    <x v="1"/>
    <x v="2"/>
  </r>
  <r>
    <x v="18"/>
    <x v="3"/>
    <x v="0"/>
    <x v="11"/>
    <x v="1"/>
    <x v="6"/>
    <x v="54"/>
    <x v="2"/>
    <x v="1"/>
    <x v="2"/>
  </r>
  <r>
    <x v="19"/>
    <x v="2"/>
    <x v="1"/>
    <x v="16"/>
    <x v="1"/>
    <x v="27"/>
    <x v="65"/>
    <x v="2"/>
    <x v="1"/>
    <x v="3"/>
  </r>
  <r>
    <x v="20"/>
    <x v="2"/>
    <x v="1"/>
    <x v="12"/>
    <x v="1"/>
    <x v="33"/>
    <x v="31"/>
    <x v="1"/>
    <x v="1"/>
    <x v="3"/>
  </r>
  <r>
    <x v="21"/>
    <x v="2"/>
    <x v="1"/>
    <x v="11"/>
    <x v="1"/>
    <x v="40"/>
    <x v="61"/>
    <x v="2"/>
    <x v="1"/>
    <x v="3"/>
  </r>
  <r>
    <x v="22"/>
    <x v="3"/>
    <x v="0"/>
    <x v="16"/>
    <x v="1"/>
    <x v="29"/>
    <x v="34"/>
    <x v="1"/>
    <x v="1"/>
    <x v="2"/>
  </r>
  <r>
    <x v="23"/>
    <x v="2"/>
    <x v="1"/>
    <x v="10"/>
    <x v="1"/>
    <x v="27"/>
    <x v="17"/>
    <x v="1"/>
    <x v="1"/>
    <x v="3"/>
  </r>
  <r>
    <x v="24"/>
    <x v="2"/>
    <x v="1"/>
    <x v="12"/>
    <x v="1"/>
    <x v="30"/>
    <x v="5"/>
    <x v="1"/>
    <x v="1"/>
    <x v="3"/>
  </r>
  <r>
    <x v="25"/>
    <x v="2"/>
    <x v="1"/>
    <x v="11"/>
    <x v="1"/>
    <x v="78"/>
    <x v="29"/>
    <x v="1"/>
    <x v="0"/>
    <x v="3"/>
  </r>
  <r>
    <x v="26"/>
    <x v="3"/>
    <x v="0"/>
    <x v="17"/>
    <x v="1"/>
    <x v="65"/>
    <x v="10"/>
    <x v="1"/>
    <x v="1"/>
    <x v="2"/>
  </r>
  <r>
    <x v="27"/>
    <x v="2"/>
    <x v="1"/>
    <x v="22"/>
    <x v="2"/>
    <x v="71"/>
    <x v="77"/>
    <x v="2"/>
    <x v="1"/>
    <x v="3"/>
  </r>
  <r>
    <x v="28"/>
    <x v="3"/>
    <x v="0"/>
    <x v="28"/>
    <x v="2"/>
    <x v="73"/>
    <x v="31"/>
    <x v="1"/>
    <x v="1"/>
    <x v="2"/>
  </r>
  <r>
    <x v="29"/>
    <x v="2"/>
    <x v="1"/>
    <x v="17"/>
    <x v="1"/>
    <x v="67"/>
    <x v="106"/>
    <x v="0"/>
    <x v="1"/>
    <x v="3"/>
  </r>
  <r>
    <x v="30"/>
    <x v="3"/>
    <x v="0"/>
    <x v="11"/>
    <x v="1"/>
    <x v="57"/>
    <x v="78"/>
    <x v="2"/>
    <x v="1"/>
    <x v="2"/>
  </r>
  <r>
    <x v="31"/>
    <x v="2"/>
    <x v="1"/>
    <x v="7"/>
    <x v="1"/>
    <x v="19"/>
    <x v="44"/>
    <x v="1"/>
    <x v="1"/>
    <x v="3"/>
  </r>
  <r>
    <x v="32"/>
    <x v="3"/>
    <x v="0"/>
    <x v="15"/>
    <x v="1"/>
    <x v="65"/>
    <x v="12"/>
    <x v="1"/>
    <x v="1"/>
    <x v="2"/>
  </r>
  <r>
    <x v="33"/>
    <x v="3"/>
    <x v="0"/>
    <x v="31"/>
    <x v="2"/>
    <x v="56"/>
    <x v="9"/>
    <x v="1"/>
    <x v="1"/>
    <x v="2"/>
  </r>
  <r>
    <x v="34"/>
    <x v="4"/>
    <x v="3"/>
    <x v="16"/>
    <x v="1"/>
    <x v="26"/>
    <x v="24"/>
    <x v="1"/>
    <x v="1"/>
    <x v="2"/>
  </r>
  <r>
    <x v="35"/>
    <x v="1"/>
    <x v="4"/>
    <x v="17"/>
    <x v="1"/>
    <x v="137"/>
    <x v="13"/>
    <x v="1"/>
    <x v="0"/>
    <x v="0"/>
  </r>
  <r>
    <x v="36"/>
    <x v="2"/>
    <x v="1"/>
    <x v="26"/>
    <x v="2"/>
    <x v="35"/>
    <x v="82"/>
    <x v="2"/>
    <x v="1"/>
    <x v="3"/>
  </r>
  <r>
    <x v="37"/>
    <x v="1"/>
    <x v="4"/>
    <x v="10"/>
    <x v="1"/>
    <x v="58"/>
    <x v="40"/>
    <x v="1"/>
    <x v="1"/>
    <x v="0"/>
  </r>
  <r>
    <x v="38"/>
    <x v="3"/>
    <x v="0"/>
    <x v="26"/>
    <x v="2"/>
    <x v="40"/>
    <x v="8"/>
    <x v="1"/>
    <x v="1"/>
    <x v="2"/>
  </r>
  <r>
    <x v="39"/>
    <x v="2"/>
    <x v="1"/>
    <x v="24"/>
    <x v="2"/>
    <x v="68"/>
    <x v="17"/>
    <x v="1"/>
    <x v="1"/>
    <x v="3"/>
  </r>
  <r>
    <x v="40"/>
    <x v="2"/>
    <x v="1"/>
    <x v="12"/>
    <x v="1"/>
    <x v="70"/>
    <x v="5"/>
    <x v="1"/>
    <x v="1"/>
    <x v="3"/>
  </r>
  <r>
    <x v="41"/>
    <x v="1"/>
    <x v="4"/>
    <x v="56"/>
    <x v="0"/>
    <x v="43"/>
    <x v="59"/>
    <x v="2"/>
    <x v="1"/>
    <x v="0"/>
  </r>
  <r>
    <x v="42"/>
    <x v="2"/>
    <x v="1"/>
    <x v="7"/>
    <x v="1"/>
    <x v="120"/>
    <x v="107"/>
    <x v="0"/>
    <x v="0"/>
    <x v="3"/>
  </r>
  <r>
    <x v="43"/>
    <x v="2"/>
    <x v="1"/>
    <x v="12"/>
    <x v="1"/>
    <x v="13"/>
    <x v="31"/>
    <x v="1"/>
    <x v="1"/>
    <x v="3"/>
  </r>
  <r>
    <x v="44"/>
    <x v="2"/>
    <x v="1"/>
    <x v="7"/>
    <x v="1"/>
    <x v="29"/>
    <x v="6"/>
    <x v="1"/>
    <x v="1"/>
    <x v="3"/>
  </r>
  <r>
    <x v="45"/>
    <x v="2"/>
    <x v="1"/>
    <x v="7"/>
    <x v="1"/>
    <x v="17"/>
    <x v="91"/>
    <x v="2"/>
    <x v="1"/>
    <x v="3"/>
  </r>
  <r>
    <x v="46"/>
    <x v="2"/>
    <x v="1"/>
    <x v="7"/>
    <x v="1"/>
    <x v="68"/>
    <x v="17"/>
    <x v="1"/>
    <x v="1"/>
    <x v="3"/>
  </r>
  <r>
    <x v="47"/>
    <x v="3"/>
    <x v="0"/>
    <x v="11"/>
    <x v="1"/>
    <x v="43"/>
    <x v="9"/>
    <x v="1"/>
    <x v="1"/>
    <x v="2"/>
  </r>
  <r>
    <x v="48"/>
    <x v="3"/>
    <x v="0"/>
    <x v="11"/>
    <x v="1"/>
    <x v="41"/>
    <x v="8"/>
    <x v="1"/>
    <x v="1"/>
    <x v="2"/>
  </r>
  <r>
    <x v="49"/>
    <x v="2"/>
    <x v="1"/>
    <x v="11"/>
    <x v="1"/>
    <x v="26"/>
    <x v="110"/>
    <x v="0"/>
    <x v="1"/>
    <x v="3"/>
  </r>
  <r>
    <x v="50"/>
    <x v="3"/>
    <x v="0"/>
    <x v="23"/>
    <x v="2"/>
    <x v="42"/>
    <x v="67"/>
    <x v="2"/>
    <x v="1"/>
    <x v="2"/>
  </r>
  <r>
    <x v="51"/>
    <x v="2"/>
    <x v="1"/>
    <x v="12"/>
    <x v="1"/>
    <x v="60"/>
    <x v="39"/>
    <x v="1"/>
    <x v="1"/>
    <x v="3"/>
  </r>
  <r>
    <x v="52"/>
    <x v="2"/>
    <x v="1"/>
    <x v="15"/>
    <x v="1"/>
    <x v="32"/>
    <x v="4"/>
    <x v="1"/>
    <x v="1"/>
    <x v="3"/>
  </r>
  <r>
    <x v="53"/>
    <x v="2"/>
    <x v="1"/>
    <x v="11"/>
    <x v="1"/>
    <x v="62"/>
    <x v="103"/>
    <x v="0"/>
    <x v="1"/>
    <x v="3"/>
  </r>
  <r>
    <x v="54"/>
    <x v="2"/>
    <x v="1"/>
    <x v="20"/>
    <x v="2"/>
    <x v="54"/>
    <x v="48"/>
    <x v="2"/>
    <x v="1"/>
    <x v="3"/>
  </r>
  <r>
    <x v="55"/>
    <x v="3"/>
    <x v="0"/>
    <x v="11"/>
    <x v="1"/>
    <x v="27"/>
    <x v="40"/>
    <x v="1"/>
    <x v="1"/>
    <x v="2"/>
  </r>
  <r>
    <x v="56"/>
    <x v="2"/>
    <x v="1"/>
    <x v="7"/>
    <x v="1"/>
    <x v="29"/>
    <x v="46"/>
    <x v="2"/>
    <x v="1"/>
    <x v="3"/>
  </r>
  <r>
    <x v="57"/>
    <x v="2"/>
    <x v="1"/>
    <x v="10"/>
    <x v="1"/>
    <x v="74"/>
    <x v="105"/>
    <x v="0"/>
    <x v="1"/>
    <x v="3"/>
  </r>
  <r>
    <x v="58"/>
    <x v="4"/>
    <x v="3"/>
    <x v="12"/>
    <x v="1"/>
    <x v="43"/>
    <x v="29"/>
    <x v="1"/>
    <x v="1"/>
    <x v="2"/>
  </r>
  <r>
    <x v="59"/>
    <x v="2"/>
    <x v="1"/>
    <x v="17"/>
    <x v="1"/>
    <x v="83"/>
    <x v="48"/>
    <x v="2"/>
    <x v="0"/>
    <x v="3"/>
  </r>
  <r>
    <x v="60"/>
    <x v="2"/>
    <x v="1"/>
    <x v="32"/>
    <x v="2"/>
    <x v="81"/>
    <x v="5"/>
    <x v="1"/>
    <x v="0"/>
    <x v="3"/>
  </r>
  <r>
    <x v="61"/>
    <x v="2"/>
    <x v="1"/>
    <x v="15"/>
    <x v="1"/>
    <x v="43"/>
    <x v="33"/>
    <x v="1"/>
    <x v="1"/>
    <x v="3"/>
  </r>
  <r>
    <x v="62"/>
    <x v="2"/>
    <x v="1"/>
    <x v="29"/>
    <x v="2"/>
    <x v="77"/>
    <x v="9"/>
    <x v="1"/>
    <x v="0"/>
    <x v="3"/>
  </r>
  <r>
    <x v="63"/>
    <x v="2"/>
    <x v="1"/>
    <x v="29"/>
    <x v="2"/>
    <x v="19"/>
    <x v="59"/>
    <x v="2"/>
    <x v="1"/>
    <x v="3"/>
  </r>
  <r>
    <x v="64"/>
    <x v="3"/>
    <x v="0"/>
    <x v="26"/>
    <x v="2"/>
    <x v="77"/>
    <x v="13"/>
    <x v="1"/>
    <x v="0"/>
    <x v="3"/>
  </r>
  <r>
    <x v="65"/>
    <x v="3"/>
    <x v="0"/>
    <x v="12"/>
    <x v="1"/>
    <x v="62"/>
    <x v="21"/>
    <x v="1"/>
    <x v="1"/>
    <x v="2"/>
  </r>
  <r>
    <x v="66"/>
    <x v="2"/>
    <x v="1"/>
    <x v="12"/>
    <x v="1"/>
    <x v="70"/>
    <x v="91"/>
    <x v="2"/>
    <x v="1"/>
    <x v="3"/>
  </r>
  <r>
    <x v="67"/>
    <x v="2"/>
    <x v="1"/>
    <x v="12"/>
    <x v="1"/>
    <x v="74"/>
    <x v="89"/>
    <x v="2"/>
    <x v="1"/>
    <x v="3"/>
  </r>
  <r>
    <x v="68"/>
    <x v="1"/>
    <x v="4"/>
    <x v="7"/>
    <x v="1"/>
    <x v="71"/>
    <x v="37"/>
    <x v="1"/>
    <x v="1"/>
    <x v="0"/>
  </r>
  <r>
    <x v="69"/>
    <x v="2"/>
    <x v="1"/>
    <x v="15"/>
    <x v="1"/>
    <x v="19"/>
    <x v="78"/>
    <x v="2"/>
    <x v="1"/>
    <x v="3"/>
  </r>
  <r>
    <x v="70"/>
    <x v="2"/>
    <x v="1"/>
    <x v="26"/>
    <x v="2"/>
    <x v="30"/>
    <x v="36"/>
    <x v="1"/>
    <x v="1"/>
    <x v="3"/>
  </r>
  <r>
    <x v="71"/>
    <x v="3"/>
    <x v="0"/>
    <x v="29"/>
    <x v="2"/>
    <x v="93"/>
    <x v="24"/>
    <x v="1"/>
    <x v="0"/>
    <x v="3"/>
  </r>
  <r>
    <x v="72"/>
    <x v="2"/>
    <x v="1"/>
    <x v="22"/>
    <x v="2"/>
    <x v="86"/>
    <x v="75"/>
    <x v="2"/>
    <x v="0"/>
    <x v="3"/>
  </r>
  <r>
    <x v="73"/>
    <x v="1"/>
    <x v="4"/>
    <x v="6"/>
    <x v="1"/>
    <x v="61"/>
    <x v="110"/>
    <x v="0"/>
    <x v="1"/>
    <x v="0"/>
  </r>
  <r>
    <x v="74"/>
    <x v="2"/>
    <x v="1"/>
    <x v="7"/>
    <x v="1"/>
    <x v="35"/>
    <x v="9"/>
    <x v="1"/>
    <x v="1"/>
    <x v="3"/>
  </r>
  <r>
    <x v="75"/>
    <x v="2"/>
    <x v="1"/>
    <x v="11"/>
    <x v="1"/>
    <x v="33"/>
    <x v="61"/>
    <x v="2"/>
    <x v="1"/>
    <x v="3"/>
  </r>
  <r>
    <x v="76"/>
    <x v="2"/>
    <x v="1"/>
    <x v="6"/>
    <x v="1"/>
    <x v="41"/>
    <x v="67"/>
    <x v="2"/>
    <x v="1"/>
    <x v="3"/>
  </r>
  <r>
    <x v="77"/>
    <x v="2"/>
    <x v="1"/>
    <x v="11"/>
    <x v="1"/>
    <x v="70"/>
    <x v="45"/>
    <x v="2"/>
    <x v="1"/>
    <x v="3"/>
  </r>
  <r>
    <x v="78"/>
    <x v="3"/>
    <x v="0"/>
    <x v="24"/>
    <x v="2"/>
    <x v="15"/>
    <x v="55"/>
    <x v="2"/>
    <x v="1"/>
    <x v="2"/>
  </r>
  <r>
    <x v="79"/>
    <x v="2"/>
    <x v="1"/>
    <x v="22"/>
    <x v="2"/>
    <x v="47"/>
    <x v="34"/>
    <x v="1"/>
    <x v="1"/>
    <x v="3"/>
  </r>
  <r>
    <x v="80"/>
    <x v="3"/>
    <x v="0"/>
    <x v="18"/>
    <x v="1"/>
    <x v="40"/>
    <x v="125"/>
    <x v="0"/>
    <x v="1"/>
    <x v="2"/>
  </r>
  <r>
    <x v="81"/>
    <x v="2"/>
    <x v="1"/>
    <x v="15"/>
    <x v="1"/>
    <x v="40"/>
    <x v="25"/>
    <x v="1"/>
    <x v="1"/>
    <x v="3"/>
  </r>
  <r>
    <x v="82"/>
    <x v="2"/>
    <x v="1"/>
    <x v="12"/>
    <x v="1"/>
    <x v="27"/>
    <x v="115"/>
    <x v="0"/>
    <x v="1"/>
    <x v="3"/>
  </r>
  <r>
    <x v="83"/>
    <x v="2"/>
    <x v="1"/>
    <x v="4"/>
    <x v="1"/>
    <x v="60"/>
    <x v="18"/>
    <x v="1"/>
    <x v="1"/>
    <x v="3"/>
  </r>
  <r>
    <x v="84"/>
    <x v="2"/>
    <x v="1"/>
    <x v="12"/>
    <x v="1"/>
    <x v="43"/>
    <x v="127"/>
    <x v="0"/>
    <x v="1"/>
    <x v="3"/>
  </r>
  <r>
    <x v="85"/>
    <x v="2"/>
    <x v="1"/>
    <x v="17"/>
    <x v="1"/>
    <x v="40"/>
    <x v="122"/>
    <x v="0"/>
    <x v="1"/>
    <x v="3"/>
  </r>
  <r>
    <x v="86"/>
    <x v="1"/>
    <x v="4"/>
    <x v="26"/>
    <x v="2"/>
    <x v="130"/>
    <x v="80"/>
    <x v="2"/>
    <x v="0"/>
    <x v="0"/>
  </r>
  <r>
    <x v="87"/>
    <x v="3"/>
    <x v="0"/>
    <x v="54"/>
    <x v="0"/>
    <x v="56"/>
    <x v="100"/>
    <x v="0"/>
    <x v="1"/>
    <x v="2"/>
  </r>
  <r>
    <x v="88"/>
    <x v="2"/>
    <x v="1"/>
    <x v="29"/>
    <x v="2"/>
    <x v="91"/>
    <x v="17"/>
    <x v="1"/>
    <x v="0"/>
    <x v="3"/>
  </r>
  <r>
    <x v="89"/>
    <x v="2"/>
    <x v="1"/>
    <x v="7"/>
    <x v="1"/>
    <x v="41"/>
    <x v="16"/>
    <x v="1"/>
    <x v="1"/>
    <x v="3"/>
  </r>
  <r>
    <x v="90"/>
    <x v="2"/>
    <x v="1"/>
    <x v="17"/>
    <x v="1"/>
    <x v="116"/>
    <x v="4"/>
    <x v="1"/>
    <x v="0"/>
    <x v="3"/>
  </r>
  <r>
    <x v="91"/>
    <x v="3"/>
    <x v="0"/>
    <x v="4"/>
    <x v="1"/>
    <x v="46"/>
    <x v="29"/>
    <x v="1"/>
    <x v="1"/>
    <x v="2"/>
  </r>
  <r>
    <x v="92"/>
    <x v="3"/>
    <x v="0"/>
    <x v="23"/>
    <x v="2"/>
    <x v="58"/>
    <x v="44"/>
    <x v="1"/>
    <x v="1"/>
    <x v="2"/>
  </r>
  <r>
    <x v="93"/>
    <x v="3"/>
    <x v="0"/>
    <x v="25"/>
    <x v="2"/>
    <x v="41"/>
    <x v="16"/>
    <x v="1"/>
    <x v="1"/>
    <x v="2"/>
  </r>
  <r>
    <x v="94"/>
    <x v="2"/>
    <x v="1"/>
    <x v="7"/>
    <x v="1"/>
    <x v="51"/>
    <x v="59"/>
    <x v="2"/>
    <x v="1"/>
    <x v="3"/>
  </r>
  <r>
    <x v="95"/>
    <x v="2"/>
    <x v="1"/>
    <x v="11"/>
    <x v="1"/>
    <x v="40"/>
    <x v="30"/>
    <x v="1"/>
    <x v="1"/>
    <x v="3"/>
  </r>
  <r>
    <x v="96"/>
    <x v="2"/>
    <x v="1"/>
    <x v="10"/>
    <x v="1"/>
    <x v="30"/>
    <x v="63"/>
    <x v="2"/>
    <x v="1"/>
    <x v="3"/>
  </r>
  <r>
    <x v="97"/>
    <x v="2"/>
    <x v="1"/>
    <x v="10"/>
    <x v="1"/>
    <x v="62"/>
    <x v="58"/>
    <x v="2"/>
    <x v="1"/>
    <x v="3"/>
  </r>
  <r>
    <x v="98"/>
    <x v="3"/>
    <x v="0"/>
    <x v="15"/>
    <x v="1"/>
    <x v="20"/>
    <x v="75"/>
    <x v="2"/>
    <x v="1"/>
    <x v="2"/>
  </r>
  <r>
    <x v="99"/>
    <x v="2"/>
    <x v="1"/>
    <x v="10"/>
    <x v="1"/>
    <x v="93"/>
    <x v="138"/>
    <x v="0"/>
    <x v="0"/>
    <x v="3"/>
  </r>
  <r>
    <x v="100"/>
    <x v="2"/>
    <x v="1"/>
    <x v="12"/>
    <x v="1"/>
    <x v="48"/>
    <x v="41"/>
    <x v="1"/>
    <x v="1"/>
    <x v="3"/>
  </r>
  <r>
    <x v="101"/>
    <x v="2"/>
    <x v="1"/>
    <x v="17"/>
    <x v="1"/>
    <x v="60"/>
    <x v="101"/>
    <x v="0"/>
    <x v="1"/>
    <x v="3"/>
  </r>
  <r>
    <x v="102"/>
    <x v="2"/>
    <x v="1"/>
    <x v="17"/>
    <x v="1"/>
    <x v="56"/>
    <x v="104"/>
    <x v="0"/>
    <x v="1"/>
    <x v="3"/>
  </r>
  <r>
    <x v="103"/>
    <x v="3"/>
    <x v="0"/>
    <x v="16"/>
    <x v="1"/>
    <x v="17"/>
    <x v="40"/>
    <x v="1"/>
    <x v="1"/>
    <x v="2"/>
  </r>
  <r>
    <x v="104"/>
    <x v="3"/>
    <x v="0"/>
    <x v="26"/>
    <x v="2"/>
    <x v="29"/>
    <x v="56"/>
    <x v="2"/>
    <x v="1"/>
    <x v="2"/>
  </r>
  <r>
    <x v="105"/>
    <x v="3"/>
    <x v="0"/>
    <x v="20"/>
    <x v="2"/>
    <x v="45"/>
    <x v="34"/>
    <x v="1"/>
    <x v="1"/>
    <x v="2"/>
  </r>
  <r>
    <x v="106"/>
    <x v="3"/>
    <x v="0"/>
    <x v="11"/>
    <x v="1"/>
    <x v="48"/>
    <x v="22"/>
    <x v="1"/>
    <x v="1"/>
    <x v="2"/>
  </r>
  <r>
    <x v="107"/>
    <x v="3"/>
    <x v="0"/>
    <x v="32"/>
    <x v="2"/>
    <x v="47"/>
    <x v="50"/>
    <x v="2"/>
    <x v="1"/>
    <x v="2"/>
  </r>
  <r>
    <x v="108"/>
    <x v="3"/>
    <x v="0"/>
    <x v="7"/>
    <x v="1"/>
    <x v="74"/>
    <x v="84"/>
    <x v="2"/>
    <x v="1"/>
    <x v="2"/>
  </r>
  <r>
    <x v="109"/>
    <x v="2"/>
    <x v="1"/>
    <x v="4"/>
    <x v="1"/>
    <x v="134"/>
    <x v="84"/>
    <x v="2"/>
    <x v="0"/>
    <x v="3"/>
  </r>
  <r>
    <x v="110"/>
    <x v="2"/>
    <x v="1"/>
    <x v="7"/>
    <x v="1"/>
    <x v="75"/>
    <x v="7"/>
    <x v="1"/>
    <x v="1"/>
    <x v="3"/>
  </r>
  <r>
    <x v="111"/>
    <x v="2"/>
    <x v="1"/>
    <x v="12"/>
    <x v="1"/>
    <x v="78"/>
    <x v="28"/>
    <x v="1"/>
    <x v="0"/>
    <x v="3"/>
  </r>
  <r>
    <x v="112"/>
    <x v="2"/>
    <x v="1"/>
    <x v="12"/>
    <x v="1"/>
    <x v="41"/>
    <x v="96"/>
    <x v="0"/>
    <x v="1"/>
    <x v="3"/>
  </r>
  <r>
    <x v="113"/>
    <x v="2"/>
    <x v="1"/>
    <x v="11"/>
    <x v="1"/>
    <x v="60"/>
    <x v="85"/>
    <x v="2"/>
    <x v="1"/>
    <x v="3"/>
  </r>
  <r>
    <x v="114"/>
    <x v="2"/>
    <x v="1"/>
    <x v="32"/>
    <x v="2"/>
    <x v="141"/>
    <x v="6"/>
    <x v="1"/>
    <x v="0"/>
    <x v="3"/>
  </r>
  <r>
    <x v="115"/>
    <x v="2"/>
    <x v="1"/>
    <x v="32"/>
    <x v="2"/>
    <x v="141"/>
    <x v="6"/>
    <x v="1"/>
    <x v="0"/>
    <x v="3"/>
  </r>
  <r>
    <x v="116"/>
    <x v="4"/>
    <x v="3"/>
    <x v="26"/>
    <x v="2"/>
    <x v="54"/>
    <x v="10"/>
    <x v="1"/>
    <x v="1"/>
    <x v="2"/>
  </r>
  <r>
    <x v="117"/>
    <x v="2"/>
    <x v="1"/>
    <x v="11"/>
    <x v="1"/>
    <x v="26"/>
    <x v="13"/>
    <x v="1"/>
    <x v="1"/>
    <x v="3"/>
  </r>
  <r>
    <x v="118"/>
    <x v="2"/>
    <x v="1"/>
    <x v="11"/>
    <x v="1"/>
    <x v="85"/>
    <x v="123"/>
    <x v="0"/>
    <x v="0"/>
    <x v="3"/>
  </r>
  <r>
    <x v="119"/>
    <x v="2"/>
    <x v="1"/>
    <x v="55"/>
    <x v="0"/>
    <x v="41"/>
    <x v="93"/>
    <x v="2"/>
    <x v="1"/>
    <x v="3"/>
  </r>
  <r>
    <x v="120"/>
    <x v="3"/>
    <x v="0"/>
    <x v="17"/>
    <x v="1"/>
    <x v="41"/>
    <x v="20"/>
    <x v="1"/>
    <x v="1"/>
    <x v="2"/>
  </r>
  <r>
    <x v="121"/>
    <x v="3"/>
    <x v="0"/>
    <x v="18"/>
    <x v="1"/>
    <x v="133"/>
    <x v="23"/>
    <x v="1"/>
    <x v="0"/>
    <x v="3"/>
  </r>
  <r>
    <x v="122"/>
    <x v="2"/>
    <x v="1"/>
    <x v="15"/>
    <x v="1"/>
    <x v="85"/>
    <x v="57"/>
    <x v="2"/>
    <x v="0"/>
    <x v="3"/>
  </r>
  <r>
    <x v="123"/>
    <x v="2"/>
    <x v="1"/>
    <x v="12"/>
    <x v="1"/>
    <x v="79"/>
    <x v="46"/>
    <x v="2"/>
    <x v="0"/>
    <x v="3"/>
  </r>
  <r>
    <x v="124"/>
    <x v="2"/>
    <x v="1"/>
    <x v="7"/>
    <x v="1"/>
    <x v="31"/>
    <x v="39"/>
    <x v="1"/>
    <x v="1"/>
    <x v="3"/>
  </r>
  <r>
    <x v="125"/>
    <x v="2"/>
    <x v="1"/>
    <x v="12"/>
    <x v="1"/>
    <x v="48"/>
    <x v="99"/>
    <x v="0"/>
    <x v="1"/>
    <x v="3"/>
  </r>
  <r>
    <x v="126"/>
    <x v="2"/>
    <x v="1"/>
    <x v="12"/>
    <x v="1"/>
    <x v="48"/>
    <x v="101"/>
    <x v="0"/>
    <x v="1"/>
    <x v="3"/>
  </r>
  <r>
    <x v="127"/>
    <x v="3"/>
    <x v="0"/>
    <x v="63"/>
    <x v="0"/>
    <x v="21"/>
    <x v="57"/>
    <x v="2"/>
    <x v="1"/>
    <x v="2"/>
  </r>
  <r>
    <x v="128"/>
    <x v="2"/>
    <x v="1"/>
    <x v="11"/>
    <x v="1"/>
    <x v="27"/>
    <x v="14"/>
    <x v="1"/>
    <x v="1"/>
    <x v="3"/>
  </r>
  <r>
    <x v="129"/>
    <x v="2"/>
    <x v="1"/>
    <x v="11"/>
    <x v="1"/>
    <x v="70"/>
    <x v="128"/>
    <x v="0"/>
    <x v="1"/>
    <x v="3"/>
  </r>
  <r>
    <x v="130"/>
    <x v="2"/>
    <x v="1"/>
    <x v="20"/>
    <x v="2"/>
    <x v="72"/>
    <x v="89"/>
    <x v="2"/>
    <x v="1"/>
    <x v="3"/>
  </r>
  <r>
    <x v="131"/>
    <x v="2"/>
    <x v="1"/>
    <x v="10"/>
    <x v="1"/>
    <x v="40"/>
    <x v="83"/>
    <x v="2"/>
    <x v="1"/>
    <x v="3"/>
  </r>
  <r>
    <x v="132"/>
    <x v="3"/>
    <x v="0"/>
    <x v="23"/>
    <x v="2"/>
    <x v="40"/>
    <x v="24"/>
    <x v="1"/>
    <x v="1"/>
    <x v="2"/>
  </r>
  <r>
    <x v="133"/>
    <x v="3"/>
    <x v="0"/>
    <x v="26"/>
    <x v="2"/>
    <x v="29"/>
    <x v="37"/>
    <x v="1"/>
    <x v="1"/>
    <x v="2"/>
  </r>
  <r>
    <x v="134"/>
    <x v="3"/>
    <x v="0"/>
    <x v="24"/>
    <x v="2"/>
    <x v="20"/>
    <x v="5"/>
    <x v="1"/>
    <x v="1"/>
    <x v="2"/>
  </r>
  <r>
    <x v="135"/>
    <x v="1"/>
    <x v="4"/>
    <x v="11"/>
    <x v="1"/>
    <x v="43"/>
    <x v="63"/>
    <x v="2"/>
    <x v="1"/>
    <x v="0"/>
  </r>
  <r>
    <x v="136"/>
    <x v="2"/>
    <x v="1"/>
    <x v="22"/>
    <x v="2"/>
    <x v="56"/>
    <x v="93"/>
    <x v="2"/>
    <x v="1"/>
    <x v="3"/>
  </r>
  <r>
    <x v="137"/>
    <x v="2"/>
    <x v="1"/>
    <x v="26"/>
    <x v="2"/>
    <x v="33"/>
    <x v="119"/>
    <x v="0"/>
    <x v="1"/>
    <x v="3"/>
  </r>
  <r>
    <x v="138"/>
    <x v="2"/>
    <x v="1"/>
    <x v="26"/>
    <x v="2"/>
    <x v="33"/>
    <x v="118"/>
    <x v="0"/>
    <x v="1"/>
    <x v="3"/>
  </r>
  <r>
    <x v="139"/>
    <x v="2"/>
    <x v="1"/>
    <x v="10"/>
    <x v="1"/>
    <x v="72"/>
    <x v="16"/>
    <x v="1"/>
    <x v="1"/>
    <x v="3"/>
  </r>
  <r>
    <x v="140"/>
    <x v="3"/>
    <x v="0"/>
    <x v="10"/>
    <x v="1"/>
    <x v="56"/>
    <x v="81"/>
    <x v="2"/>
    <x v="1"/>
    <x v="2"/>
  </r>
  <r>
    <x v="141"/>
    <x v="2"/>
    <x v="1"/>
    <x v="15"/>
    <x v="1"/>
    <x v="121"/>
    <x v="14"/>
    <x v="1"/>
    <x v="0"/>
    <x v="3"/>
  </r>
  <r>
    <x v="142"/>
    <x v="1"/>
    <x v="4"/>
    <x v="7"/>
    <x v="1"/>
    <x v="72"/>
    <x v="14"/>
    <x v="1"/>
    <x v="1"/>
    <x v="0"/>
  </r>
  <r>
    <x v="143"/>
    <x v="3"/>
    <x v="0"/>
    <x v="20"/>
    <x v="2"/>
    <x v="44"/>
    <x v="25"/>
    <x v="1"/>
    <x v="1"/>
    <x v="2"/>
  </r>
  <r>
    <x v="144"/>
    <x v="2"/>
    <x v="1"/>
    <x v="11"/>
    <x v="1"/>
    <x v="56"/>
    <x v="112"/>
    <x v="0"/>
    <x v="1"/>
    <x v="3"/>
  </r>
  <r>
    <x v="145"/>
    <x v="2"/>
    <x v="1"/>
    <x v="11"/>
    <x v="1"/>
    <x v="54"/>
    <x v="112"/>
    <x v="0"/>
    <x v="1"/>
    <x v="3"/>
  </r>
  <r>
    <x v="146"/>
    <x v="2"/>
    <x v="1"/>
    <x v="12"/>
    <x v="1"/>
    <x v="62"/>
    <x v="91"/>
    <x v="2"/>
    <x v="1"/>
    <x v="3"/>
  </r>
  <r>
    <x v="147"/>
    <x v="2"/>
    <x v="1"/>
    <x v="23"/>
    <x v="2"/>
    <x v="64"/>
    <x v="95"/>
    <x v="0"/>
    <x v="1"/>
    <x v="3"/>
  </r>
  <r>
    <x v="148"/>
    <x v="1"/>
    <x v="4"/>
    <x v="4"/>
    <x v="1"/>
    <x v="47"/>
    <x v="36"/>
    <x v="1"/>
    <x v="1"/>
    <x v="0"/>
  </r>
  <r>
    <x v="149"/>
    <x v="3"/>
    <x v="0"/>
    <x v="25"/>
    <x v="2"/>
    <x v="62"/>
    <x v="38"/>
    <x v="1"/>
    <x v="1"/>
    <x v="2"/>
  </r>
  <r>
    <x v="150"/>
    <x v="2"/>
    <x v="1"/>
    <x v="12"/>
    <x v="1"/>
    <x v="77"/>
    <x v="57"/>
    <x v="2"/>
    <x v="0"/>
    <x v="3"/>
  </r>
  <r>
    <x v="151"/>
    <x v="1"/>
    <x v="4"/>
    <x v="6"/>
    <x v="1"/>
    <x v="113"/>
    <x v="2"/>
    <x v="1"/>
    <x v="0"/>
    <x v="0"/>
  </r>
  <r>
    <x v="152"/>
    <x v="3"/>
    <x v="0"/>
    <x v="7"/>
    <x v="1"/>
    <x v="32"/>
    <x v="12"/>
    <x v="1"/>
    <x v="1"/>
    <x v="2"/>
  </r>
  <r>
    <x v="153"/>
    <x v="3"/>
    <x v="0"/>
    <x v="39"/>
    <x v="0"/>
    <x v="60"/>
    <x v="36"/>
    <x v="1"/>
    <x v="1"/>
    <x v="2"/>
  </r>
  <r>
    <x v="154"/>
    <x v="2"/>
    <x v="1"/>
    <x v="12"/>
    <x v="1"/>
    <x v="26"/>
    <x v="29"/>
    <x v="1"/>
    <x v="1"/>
    <x v="3"/>
  </r>
  <r>
    <x v="155"/>
    <x v="2"/>
    <x v="1"/>
    <x v="12"/>
    <x v="1"/>
    <x v="41"/>
    <x v="43"/>
    <x v="1"/>
    <x v="1"/>
    <x v="3"/>
  </r>
  <r>
    <x v="156"/>
    <x v="3"/>
    <x v="0"/>
    <x v="26"/>
    <x v="2"/>
    <x v="43"/>
    <x v="32"/>
    <x v="1"/>
    <x v="1"/>
    <x v="2"/>
  </r>
  <r>
    <x v="157"/>
    <x v="2"/>
    <x v="1"/>
    <x v="15"/>
    <x v="1"/>
    <x v="97"/>
    <x v="14"/>
    <x v="1"/>
    <x v="0"/>
    <x v="3"/>
  </r>
  <r>
    <x v="158"/>
    <x v="2"/>
    <x v="1"/>
    <x v="12"/>
    <x v="1"/>
    <x v="58"/>
    <x v="36"/>
    <x v="1"/>
    <x v="1"/>
    <x v="3"/>
  </r>
  <r>
    <x v="159"/>
    <x v="2"/>
    <x v="1"/>
    <x v="10"/>
    <x v="1"/>
    <x v="58"/>
    <x v="103"/>
    <x v="0"/>
    <x v="1"/>
    <x v="3"/>
  </r>
  <r>
    <x v="160"/>
    <x v="2"/>
    <x v="1"/>
    <x v="10"/>
    <x v="1"/>
    <x v="82"/>
    <x v="36"/>
    <x v="1"/>
    <x v="0"/>
    <x v="3"/>
  </r>
  <r>
    <x v="161"/>
    <x v="2"/>
    <x v="1"/>
    <x v="10"/>
    <x v="1"/>
    <x v="58"/>
    <x v="59"/>
    <x v="2"/>
    <x v="1"/>
    <x v="3"/>
  </r>
  <r>
    <x v="162"/>
    <x v="3"/>
    <x v="0"/>
    <x v="10"/>
    <x v="1"/>
    <x v="60"/>
    <x v="56"/>
    <x v="2"/>
    <x v="1"/>
    <x v="2"/>
  </r>
  <r>
    <x v="163"/>
    <x v="2"/>
    <x v="1"/>
    <x v="16"/>
    <x v="1"/>
    <x v="17"/>
    <x v="80"/>
    <x v="2"/>
    <x v="1"/>
    <x v="3"/>
  </r>
  <r>
    <x v="164"/>
    <x v="2"/>
    <x v="1"/>
    <x v="7"/>
    <x v="1"/>
    <x v="27"/>
    <x v="61"/>
    <x v="2"/>
    <x v="1"/>
    <x v="3"/>
  </r>
  <r>
    <x v="165"/>
    <x v="2"/>
    <x v="1"/>
    <x v="16"/>
    <x v="1"/>
    <x v="77"/>
    <x v="20"/>
    <x v="1"/>
    <x v="0"/>
    <x v="3"/>
  </r>
  <r>
    <x v="166"/>
    <x v="2"/>
    <x v="1"/>
    <x v="12"/>
    <x v="1"/>
    <x v="41"/>
    <x v="130"/>
    <x v="0"/>
    <x v="1"/>
    <x v="3"/>
  </r>
  <r>
    <x v="167"/>
    <x v="2"/>
    <x v="1"/>
    <x v="12"/>
    <x v="1"/>
    <x v="40"/>
    <x v="131"/>
    <x v="0"/>
    <x v="1"/>
    <x v="3"/>
  </r>
  <r>
    <x v="168"/>
    <x v="2"/>
    <x v="1"/>
    <x v="11"/>
    <x v="1"/>
    <x v="41"/>
    <x v="117"/>
    <x v="0"/>
    <x v="1"/>
    <x v="3"/>
  </r>
  <r>
    <x v="169"/>
    <x v="3"/>
    <x v="0"/>
    <x v="17"/>
    <x v="1"/>
    <x v="25"/>
    <x v="43"/>
    <x v="1"/>
    <x v="1"/>
    <x v="2"/>
  </r>
  <r>
    <x v="170"/>
    <x v="2"/>
    <x v="1"/>
    <x v="12"/>
    <x v="1"/>
    <x v="62"/>
    <x v="116"/>
    <x v="0"/>
    <x v="1"/>
    <x v="3"/>
  </r>
  <r>
    <x v="171"/>
    <x v="2"/>
    <x v="1"/>
    <x v="16"/>
    <x v="1"/>
    <x v="47"/>
    <x v="22"/>
    <x v="1"/>
    <x v="1"/>
    <x v="3"/>
  </r>
  <r>
    <x v="172"/>
    <x v="2"/>
    <x v="1"/>
    <x v="11"/>
    <x v="1"/>
    <x v="54"/>
    <x v="111"/>
    <x v="0"/>
    <x v="1"/>
    <x v="3"/>
  </r>
  <r>
    <x v="173"/>
    <x v="2"/>
    <x v="1"/>
    <x v="23"/>
    <x v="2"/>
    <x v="52"/>
    <x v="49"/>
    <x v="2"/>
    <x v="1"/>
    <x v="3"/>
  </r>
  <r>
    <x v="174"/>
    <x v="3"/>
    <x v="0"/>
    <x v="22"/>
    <x v="2"/>
    <x v="15"/>
    <x v="21"/>
    <x v="1"/>
    <x v="1"/>
    <x v="2"/>
  </r>
  <r>
    <x v="175"/>
    <x v="4"/>
    <x v="3"/>
    <x v="55"/>
    <x v="0"/>
    <x v="103"/>
    <x v="88"/>
    <x v="2"/>
    <x v="0"/>
    <x v="1"/>
  </r>
  <r>
    <x v="176"/>
    <x v="1"/>
    <x v="4"/>
    <x v="38"/>
    <x v="2"/>
    <x v="135"/>
    <x v="25"/>
    <x v="1"/>
    <x v="0"/>
    <x v="0"/>
  </r>
  <r>
    <x v="177"/>
    <x v="4"/>
    <x v="3"/>
    <x v="24"/>
    <x v="2"/>
    <x v="19"/>
    <x v="18"/>
    <x v="1"/>
    <x v="1"/>
    <x v="2"/>
  </r>
  <r>
    <x v="178"/>
    <x v="2"/>
    <x v="1"/>
    <x v="10"/>
    <x v="1"/>
    <x v="25"/>
    <x v="132"/>
    <x v="0"/>
    <x v="1"/>
    <x v="3"/>
  </r>
  <r>
    <x v="179"/>
    <x v="2"/>
    <x v="1"/>
    <x v="12"/>
    <x v="1"/>
    <x v="41"/>
    <x v="43"/>
    <x v="1"/>
    <x v="1"/>
    <x v="3"/>
  </r>
  <r>
    <x v="180"/>
    <x v="2"/>
    <x v="1"/>
    <x v="7"/>
    <x v="1"/>
    <x v="32"/>
    <x v="33"/>
    <x v="1"/>
    <x v="1"/>
    <x v="3"/>
  </r>
  <r>
    <x v="181"/>
    <x v="3"/>
    <x v="0"/>
    <x v="7"/>
    <x v="1"/>
    <x v="33"/>
    <x v="31"/>
    <x v="1"/>
    <x v="1"/>
    <x v="2"/>
  </r>
  <r>
    <x v="182"/>
    <x v="4"/>
    <x v="3"/>
    <x v="31"/>
    <x v="2"/>
    <x v="15"/>
    <x v="22"/>
    <x v="1"/>
    <x v="1"/>
    <x v="2"/>
  </r>
  <r>
    <x v="183"/>
    <x v="2"/>
    <x v="1"/>
    <x v="10"/>
    <x v="1"/>
    <x v="50"/>
    <x v="111"/>
    <x v="0"/>
    <x v="1"/>
    <x v="3"/>
  </r>
  <r>
    <x v="184"/>
    <x v="2"/>
    <x v="1"/>
    <x v="11"/>
    <x v="1"/>
    <x v="34"/>
    <x v="90"/>
    <x v="2"/>
    <x v="1"/>
    <x v="3"/>
  </r>
  <r>
    <x v="185"/>
    <x v="4"/>
    <x v="3"/>
    <x v="26"/>
    <x v="2"/>
    <x v="15"/>
    <x v="13"/>
    <x v="1"/>
    <x v="1"/>
    <x v="2"/>
  </r>
  <r>
    <x v="186"/>
    <x v="3"/>
    <x v="0"/>
    <x v="49"/>
    <x v="0"/>
    <x v="44"/>
    <x v="13"/>
    <x v="1"/>
    <x v="1"/>
    <x v="2"/>
  </r>
  <r>
    <x v="187"/>
    <x v="3"/>
    <x v="0"/>
    <x v="20"/>
    <x v="2"/>
    <x v="81"/>
    <x v="56"/>
    <x v="2"/>
    <x v="0"/>
    <x v="3"/>
  </r>
  <r>
    <x v="188"/>
    <x v="3"/>
    <x v="0"/>
    <x v="23"/>
    <x v="2"/>
    <x v="34"/>
    <x v="9"/>
    <x v="1"/>
    <x v="1"/>
    <x v="2"/>
  </r>
  <r>
    <x v="189"/>
    <x v="2"/>
    <x v="1"/>
    <x v="22"/>
    <x v="2"/>
    <x v="50"/>
    <x v="59"/>
    <x v="2"/>
    <x v="1"/>
    <x v="3"/>
  </r>
  <r>
    <x v="190"/>
    <x v="3"/>
    <x v="0"/>
    <x v="17"/>
    <x v="1"/>
    <x v="83"/>
    <x v="35"/>
    <x v="1"/>
    <x v="0"/>
    <x v="3"/>
  </r>
  <r>
    <x v="191"/>
    <x v="2"/>
    <x v="1"/>
    <x v="26"/>
    <x v="2"/>
    <x v="40"/>
    <x v="112"/>
    <x v="0"/>
    <x v="1"/>
    <x v="3"/>
  </r>
  <r>
    <x v="192"/>
    <x v="2"/>
    <x v="1"/>
    <x v="33"/>
    <x v="2"/>
    <x v="61"/>
    <x v="43"/>
    <x v="1"/>
    <x v="1"/>
    <x v="3"/>
  </r>
  <r>
    <x v="193"/>
    <x v="2"/>
    <x v="1"/>
    <x v="6"/>
    <x v="1"/>
    <x v="81"/>
    <x v="35"/>
    <x v="1"/>
    <x v="0"/>
    <x v="3"/>
  </r>
  <r>
    <x v="194"/>
    <x v="2"/>
    <x v="1"/>
    <x v="16"/>
    <x v="1"/>
    <x v="40"/>
    <x v="38"/>
    <x v="1"/>
    <x v="1"/>
    <x v="3"/>
  </r>
  <r>
    <x v="195"/>
    <x v="2"/>
    <x v="1"/>
    <x v="12"/>
    <x v="1"/>
    <x v="44"/>
    <x v="131"/>
    <x v="0"/>
    <x v="1"/>
    <x v="3"/>
  </r>
  <r>
    <x v="196"/>
    <x v="3"/>
    <x v="0"/>
    <x v="11"/>
    <x v="1"/>
    <x v="21"/>
    <x v="52"/>
    <x v="2"/>
    <x v="1"/>
    <x v="2"/>
  </r>
  <r>
    <x v="197"/>
    <x v="2"/>
    <x v="1"/>
    <x v="11"/>
    <x v="1"/>
    <x v="44"/>
    <x v="66"/>
    <x v="2"/>
    <x v="1"/>
    <x v="3"/>
  </r>
  <r>
    <x v="198"/>
    <x v="2"/>
    <x v="1"/>
    <x v="12"/>
    <x v="1"/>
    <x v="58"/>
    <x v="4"/>
    <x v="1"/>
    <x v="1"/>
    <x v="3"/>
  </r>
  <r>
    <x v="199"/>
    <x v="3"/>
    <x v="0"/>
    <x v="20"/>
    <x v="2"/>
    <x v="65"/>
    <x v="22"/>
    <x v="1"/>
    <x v="1"/>
    <x v="2"/>
  </r>
  <r>
    <x v="200"/>
    <x v="1"/>
    <x v="4"/>
    <x v="25"/>
    <x v="2"/>
    <x v="63"/>
    <x v="49"/>
    <x v="2"/>
    <x v="1"/>
    <x v="0"/>
  </r>
  <r>
    <x v="201"/>
    <x v="3"/>
    <x v="0"/>
    <x v="26"/>
    <x v="2"/>
    <x v="33"/>
    <x v="57"/>
    <x v="2"/>
    <x v="1"/>
    <x v="2"/>
  </r>
  <r>
    <x v="202"/>
    <x v="3"/>
    <x v="0"/>
    <x v="12"/>
    <x v="1"/>
    <x v="54"/>
    <x v="76"/>
    <x v="2"/>
    <x v="1"/>
    <x v="2"/>
  </r>
  <r>
    <x v="203"/>
    <x v="2"/>
    <x v="1"/>
    <x v="17"/>
    <x v="1"/>
    <x v="100"/>
    <x v="17"/>
    <x v="1"/>
    <x v="0"/>
    <x v="3"/>
  </r>
  <r>
    <x v="204"/>
    <x v="2"/>
    <x v="1"/>
    <x v="33"/>
    <x v="2"/>
    <x v="43"/>
    <x v="31"/>
    <x v="1"/>
    <x v="1"/>
    <x v="3"/>
  </r>
  <r>
    <x v="205"/>
    <x v="4"/>
    <x v="3"/>
    <x v="47"/>
    <x v="0"/>
    <x v="39"/>
    <x v="100"/>
    <x v="0"/>
    <x v="1"/>
    <x v="1"/>
  </r>
  <r>
    <x v="206"/>
    <x v="3"/>
    <x v="0"/>
    <x v="18"/>
    <x v="1"/>
    <x v="26"/>
    <x v="43"/>
    <x v="1"/>
    <x v="1"/>
    <x v="2"/>
  </r>
  <r>
    <x v="207"/>
    <x v="3"/>
    <x v="0"/>
    <x v="15"/>
    <x v="1"/>
    <x v="25"/>
    <x v="52"/>
    <x v="2"/>
    <x v="1"/>
    <x v="2"/>
  </r>
  <r>
    <x v="208"/>
    <x v="3"/>
    <x v="0"/>
    <x v="4"/>
    <x v="1"/>
    <x v="127"/>
    <x v="31"/>
    <x v="1"/>
    <x v="0"/>
    <x v="3"/>
  </r>
  <r>
    <x v="209"/>
    <x v="3"/>
    <x v="0"/>
    <x v="4"/>
    <x v="1"/>
    <x v="62"/>
    <x v="32"/>
    <x v="1"/>
    <x v="1"/>
    <x v="2"/>
  </r>
  <r>
    <x v="210"/>
    <x v="3"/>
    <x v="0"/>
    <x v="7"/>
    <x v="1"/>
    <x v="65"/>
    <x v="33"/>
    <x v="1"/>
    <x v="1"/>
    <x v="2"/>
  </r>
  <r>
    <x v="211"/>
    <x v="2"/>
    <x v="1"/>
    <x v="10"/>
    <x v="1"/>
    <x v="63"/>
    <x v="56"/>
    <x v="2"/>
    <x v="1"/>
    <x v="3"/>
  </r>
  <r>
    <x v="212"/>
    <x v="3"/>
    <x v="0"/>
    <x v="32"/>
    <x v="2"/>
    <x v="26"/>
    <x v="18"/>
    <x v="1"/>
    <x v="1"/>
    <x v="2"/>
  </r>
  <r>
    <x v="213"/>
    <x v="3"/>
    <x v="0"/>
    <x v="17"/>
    <x v="1"/>
    <x v="52"/>
    <x v="102"/>
    <x v="0"/>
    <x v="1"/>
    <x v="2"/>
  </r>
  <r>
    <x v="214"/>
    <x v="4"/>
    <x v="3"/>
    <x v="7"/>
    <x v="1"/>
    <x v="5"/>
    <x v="18"/>
    <x v="1"/>
    <x v="1"/>
    <x v="2"/>
  </r>
  <r>
    <x v="215"/>
    <x v="3"/>
    <x v="0"/>
    <x v="18"/>
    <x v="1"/>
    <x v="68"/>
    <x v="17"/>
    <x v="1"/>
    <x v="1"/>
    <x v="2"/>
  </r>
  <r>
    <x v="216"/>
    <x v="2"/>
    <x v="1"/>
    <x v="12"/>
    <x v="1"/>
    <x v="72"/>
    <x v="45"/>
    <x v="2"/>
    <x v="1"/>
    <x v="3"/>
  </r>
  <r>
    <x v="217"/>
    <x v="2"/>
    <x v="1"/>
    <x v="10"/>
    <x v="1"/>
    <x v="56"/>
    <x v="67"/>
    <x v="2"/>
    <x v="1"/>
    <x v="3"/>
  </r>
  <r>
    <x v="218"/>
    <x v="3"/>
    <x v="0"/>
    <x v="17"/>
    <x v="1"/>
    <x v="44"/>
    <x v="33"/>
    <x v="1"/>
    <x v="1"/>
    <x v="2"/>
  </r>
  <r>
    <x v="219"/>
    <x v="3"/>
    <x v="0"/>
    <x v="20"/>
    <x v="2"/>
    <x v="19"/>
    <x v="31"/>
    <x v="1"/>
    <x v="1"/>
    <x v="2"/>
  </r>
  <r>
    <x v="220"/>
    <x v="3"/>
    <x v="0"/>
    <x v="18"/>
    <x v="1"/>
    <x v="56"/>
    <x v="28"/>
    <x v="1"/>
    <x v="1"/>
    <x v="2"/>
  </r>
  <r>
    <x v="221"/>
    <x v="2"/>
    <x v="1"/>
    <x v="26"/>
    <x v="2"/>
    <x v="22"/>
    <x v="15"/>
    <x v="1"/>
    <x v="1"/>
    <x v="3"/>
  </r>
  <r>
    <x v="222"/>
    <x v="2"/>
    <x v="1"/>
    <x v="12"/>
    <x v="1"/>
    <x v="91"/>
    <x v="81"/>
    <x v="2"/>
    <x v="0"/>
    <x v="3"/>
  </r>
  <r>
    <x v="223"/>
    <x v="2"/>
    <x v="1"/>
    <x v="10"/>
    <x v="1"/>
    <x v="50"/>
    <x v="110"/>
    <x v="0"/>
    <x v="1"/>
    <x v="3"/>
  </r>
  <r>
    <x v="224"/>
    <x v="2"/>
    <x v="1"/>
    <x v="7"/>
    <x v="1"/>
    <x v="21"/>
    <x v="7"/>
    <x v="1"/>
    <x v="1"/>
    <x v="3"/>
  </r>
  <r>
    <x v="225"/>
    <x v="2"/>
    <x v="1"/>
    <x v="7"/>
    <x v="1"/>
    <x v="75"/>
    <x v="50"/>
    <x v="2"/>
    <x v="1"/>
    <x v="3"/>
  </r>
  <r>
    <x v="226"/>
    <x v="2"/>
    <x v="1"/>
    <x v="11"/>
    <x v="1"/>
    <x v="30"/>
    <x v="39"/>
    <x v="1"/>
    <x v="1"/>
    <x v="3"/>
  </r>
  <r>
    <x v="227"/>
    <x v="4"/>
    <x v="3"/>
    <x v="26"/>
    <x v="2"/>
    <x v="17"/>
    <x v="27"/>
    <x v="1"/>
    <x v="1"/>
    <x v="2"/>
  </r>
  <r>
    <x v="228"/>
    <x v="2"/>
    <x v="1"/>
    <x v="10"/>
    <x v="1"/>
    <x v="20"/>
    <x v="39"/>
    <x v="1"/>
    <x v="1"/>
    <x v="3"/>
  </r>
  <r>
    <x v="229"/>
    <x v="1"/>
    <x v="4"/>
    <x v="11"/>
    <x v="1"/>
    <x v="125"/>
    <x v="61"/>
    <x v="2"/>
    <x v="0"/>
    <x v="0"/>
  </r>
  <r>
    <x v="230"/>
    <x v="2"/>
    <x v="1"/>
    <x v="20"/>
    <x v="2"/>
    <x v="43"/>
    <x v="29"/>
    <x v="1"/>
    <x v="1"/>
    <x v="3"/>
  </r>
  <r>
    <x v="231"/>
    <x v="2"/>
    <x v="1"/>
    <x v="10"/>
    <x v="1"/>
    <x v="25"/>
    <x v="43"/>
    <x v="1"/>
    <x v="1"/>
    <x v="3"/>
  </r>
  <r>
    <x v="232"/>
    <x v="2"/>
    <x v="1"/>
    <x v="32"/>
    <x v="2"/>
    <x v="48"/>
    <x v="21"/>
    <x v="1"/>
    <x v="1"/>
    <x v="3"/>
  </r>
  <r>
    <x v="233"/>
    <x v="4"/>
    <x v="3"/>
    <x v="23"/>
    <x v="2"/>
    <x v="10"/>
    <x v="4"/>
    <x v="1"/>
    <x v="1"/>
    <x v="2"/>
  </r>
  <r>
    <x v="234"/>
    <x v="1"/>
    <x v="4"/>
    <x v="17"/>
    <x v="1"/>
    <x v="110"/>
    <x v="55"/>
    <x v="2"/>
    <x v="0"/>
    <x v="0"/>
  </r>
  <r>
    <x v="235"/>
    <x v="5"/>
    <x v="2"/>
    <x v="53"/>
    <x v="0"/>
    <x v="22"/>
    <x v="31"/>
    <x v="1"/>
    <x v="1"/>
    <x v="1"/>
  </r>
  <r>
    <x v="236"/>
    <x v="3"/>
    <x v="0"/>
    <x v="11"/>
    <x v="1"/>
    <x v="45"/>
    <x v="21"/>
    <x v="1"/>
    <x v="1"/>
    <x v="2"/>
  </r>
  <r>
    <x v="237"/>
    <x v="3"/>
    <x v="0"/>
    <x v="22"/>
    <x v="2"/>
    <x v="2"/>
    <x v="17"/>
    <x v="1"/>
    <x v="1"/>
    <x v="2"/>
  </r>
  <r>
    <x v="238"/>
    <x v="3"/>
    <x v="0"/>
    <x v="29"/>
    <x v="2"/>
    <x v="46"/>
    <x v="55"/>
    <x v="2"/>
    <x v="1"/>
    <x v="2"/>
  </r>
  <r>
    <x v="239"/>
    <x v="2"/>
    <x v="1"/>
    <x v="22"/>
    <x v="2"/>
    <x v="25"/>
    <x v="59"/>
    <x v="2"/>
    <x v="1"/>
    <x v="3"/>
  </r>
  <r>
    <x v="240"/>
    <x v="2"/>
    <x v="1"/>
    <x v="11"/>
    <x v="1"/>
    <x v="79"/>
    <x v="32"/>
    <x v="1"/>
    <x v="0"/>
    <x v="3"/>
  </r>
  <r>
    <x v="241"/>
    <x v="2"/>
    <x v="1"/>
    <x v="11"/>
    <x v="1"/>
    <x v="66"/>
    <x v="89"/>
    <x v="2"/>
    <x v="1"/>
    <x v="3"/>
  </r>
  <r>
    <x v="242"/>
    <x v="5"/>
    <x v="2"/>
    <x v="51"/>
    <x v="0"/>
    <x v="19"/>
    <x v="7"/>
    <x v="1"/>
    <x v="1"/>
    <x v="1"/>
  </r>
  <r>
    <x v="243"/>
    <x v="4"/>
    <x v="3"/>
    <x v="26"/>
    <x v="2"/>
    <x v="29"/>
    <x v="41"/>
    <x v="1"/>
    <x v="1"/>
    <x v="2"/>
  </r>
  <r>
    <x v="244"/>
    <x v="3"/>
    <x v="0"/>
    <x v="10"/>
    <x v="1"/>
    <x v="10"/>
    <x v="13"/>
    <x v="1"/>
    <x v="1"/>
    <x v="2"/>
  </r>
  <r>
    <x v="245"/>
    <x v="4"/>
    <x v="3"/>
    <x v="18"/>
    <x v="1"/>
    <x v="11"/>
    <x v="4"/>
    <x v="1"/>
    <x v="1"/>
    <x v="2"/>
  </r>
  <r>
    <x v="246"/>
    <x v="2"/>
    <x v="1"/>
    <x v="6"/>
    <x v="1"/>
    <x v="43"/>
    <x v="47"/>
    <x v="2"/>
    <x v="1"/>
    <x v="3"/>
  </r>
  <r>
    <x v="247"/>
    <x v="2"/>
    <x v="1"/>
    <x v="17"/>
    <x v="1"/>
    <x v="54"/>
    <x v="65"/>
    <x v="2"/>
    <x v="1"/>
    <x v="3"/>
  </r>
  <r>
    <x v="248"/>
    <x v="3"/>
    <x v="0"/>
    <x v="24"/>
    <x v="2"/>
    <x v="35"/>
    <x v="43"/>
    <x v="1"/>
    <x v="1"/>
    <x v="2"/>
  </r>
  <r>
    <x v="249"/>
    <x v="3"/>
    <x v="0"/>
    <x v="24"/>
    <x v="2"/>
    <x v="29"/>
    <x v="47"/>
    <x v="2"/>
    <x v="1"/>
    <x v="2"/>
  </r>
  <r>
    <x v="250"/>
    <x v="4"/>
    <x v="3"/>
    <x v="28"/>
    <x v="2"/>
    <x v="43"/>
    <x v="43"/>
    <x v="1"/>
    <x v="1"/>
    <x v="2"/>
  </r>
  <r>
    <x v="251"/>
    <x v="2"/>
    <x v="1"/>
    <x v="7"/>
    <x v="1"/>
    <x v="32"/>
    <x v="92"/>
    <x v="2"/>
    <x v="1"/>
    <x v="3"/>
  </r>
  <r>
    <x v="252"/>
    <x v="2"/>
    <x v="1"/>
    <x v="26"/>
    <x v="2"/>
    <x v="4"/>
    <x v="12"/>
    <x v="1"/>
    <x v="1"/>
    <x v="3"/>
  </r>
  <r>
    <x v="253"/>
    <x v="3"/>
    <x v="0"/>
    <x v="24"/>
    <x v="2"/>
    <x v="47"/>
    <x v="42"/>
    <x v="1"/>
    <x v="1"/>
    <x v="2"/>
  </r>
  <r>
    <x v="254"/>
    <x v="3"/>
    <x v="0"/>
    <x v="22"/>
    <x v="2"/>
    <x v="23"/>
    <x v="10"/>
    <x v="1"/>
    <x v="1"/>
    <x v="2"/>
  </r>
  <r>
    <x v="255"/>
    <x v="3"/>
    <x v="0"/>
    <x v="12"/>
    <x v="1"/>
    <x v="21"/>
    <x v="47"/>
    <x v="2"/>
    <x v="1"/>
    <x v="2"/>
  </r>
  <r>
    <x v="256"/>
    <x v="2"/>
    <x v="1"/>
    <x v="12"/>
    <x v="1"/>
    <x v="41"/>
    <x v="21"/>
    <x v="1"/>
    <x v="1"/>
    <x v="3"/>
  </r>
  <r>
    <x v="257"/>
    <x v="2"/>
    <x v="1"/>
    <x v="18"/>
    <x v="1"/>
    <x v="102"/>
    <x v="64"/>
    <x v="2"/>
    <x v="0"/>
    <x v="3"/>
  </r>
  <r>
    <x v="258"/>
    <x v="2"/>
    <x v="1"/>
    <x v="15"/>
    <x v="1"/>
    <x v="62"/>
    <x v="23"/>
    <x v="1"/>
    <x v="1"/>
    <x v="3"/>
  </r>
  <r>
    <x v="259"/>
    <x v="2"/>
    <x v="1"/>
    <x v="16"/>
    <x v="1"/>
    <x v="66"/>
    <x v="25"/>
    <x v="1"/>
    <x v="1"/>
    <x v="3"/>
  </r>
  <r>
    <x v="260"/>
    <x v="2"/>
    <x v="1"/>
    <x v="15"/>
    <x v="1"/>
    <x v="70"/>
    <x v="27"/>
    <x v="1"/>
    <x v="1"/>
    <x v="3"/>
  </r>
  <r>
    <x v="261"/>
    <x v="3"/>
    <x v="0"/>
    <x v="29"/>
    <x v="2"/>
    <x v="44"/>
    <x v="38"/>
    <x v="1"/>
    <x v="1"/>
    <x v="2"/>
  </r>
  <r>
    <x v="262"/>
    <x v="3"/>
    <x v="0"/>
    <x v="22"/>
    <x v="2"/>
    <x v="2"/>
    <x v="9"/>
    <x v="1"/>
    <x v="1"/>
    <x v="2"/>
  </r>
  <r>
    <x v="263"/>
    <x v="2"/>
    <x v="1"/>
    <x v="20"/>
    <x v="2"/>
    <x v="77"/>
    <x v="22"/>
    <x v="1"/>
    <x v="0"/>
    <x v="3"/>
  </r>
  <r>
    <x v="264"/>
    <x v="2"/>
    <x v="1"/>
    <x v="12"/>
    <x v="1"/>
    <x v="70"/>
    <x v="15"/>
    <x v="1"/>
    <x v="1"/>
    <x v="3"/>
  </r>
  <r>
    <x v="265"/>
    <x v="2"/>
    <x v="1"/>
    <x v="7"/>
    <x v="1"/>
    <x v="66"/>
    <x v="85"/>
    <x v="2"/>
    <x v="1"/>
    <x v="3"/>
  </r>
  <r>
    <x v="266"/>
    <x v="3"/>
    <x v="0"/>
    <x v="10"/>
    <x v="1"/>
    <x v="44"/>
    <x v="19"/>
    <x v="1"/>
    <x v="1"/>
    <x v="2"/>
  </r>
  <r>
    <x v="267"/>
    <x v="2"/>
    <x v="1"/>
    <x v="11"/>
    <x v="1"/>
    <x v="60"/>
    <x v="48"/>
    <x v="2"/>
    <x v="1"/>
    <x v="3"/>
  </r>
  <r>
    <x v="268"/>
    <x v="3"/>
    <x v="0"/>
    <x v="12"/>
    <x v="1"/>
    <x v="30"/>
    <x v="8"/>
    <x v="1"/>
    <x v="1"/>
    <x v="2"/>
  </r>
  <r>
    <x v="269"/>
    <x v="3"/>
    <x v="0"/>
    <x v="12"/>
    <x v="1"/>
    <x v="33"/>
    <x v="6"/>
    <x v="1"/>
    <x v="1"/>
    <x v="2"/>
  </r>
  <r>
    <x v="270"/>
    <x v="3"/>
    <x v="0"/>
    <x v="12"/>
    <x v="1"/>
    <x v="13"/>
    <x v="24"/>
    <x v="1"/>
    <x v="1"/>
    <x v="2"/>
  </r>
  <r>
    <x v="271"/>
    <x v="3"/>
    <x v="0"/>
    <x v="11"/>
    <x v="1"/>
    <x v="44"/>
    <x v="99"/>
    <x v="0"/>
    <x v="1"/>
    <x v="2"/>
  </r>
  <r>
    <x v="272"/>
    <x v="3"/>
    <x v="0"/>
    <x v="12"/>
    <x v="1"/>
    <x v="36"/>
    <x v="92"/>
    <x v="2"/>
    <x v="1"/>
    <x v="2"/>
  </r>
  <r>
    <x v="273"/>
    <x v="2"/>
    <x v="1"/>
    <x v="11"/>
    <x v="1"/>
    <x v="37"/>
    <x v="124"/>
    <x v="0"/>
    <x v="1"/>
    <x v="3"/>
  </r>
  <r>
    <x v="274"/>
    <x v="2"/>
    <x v="1"/>
    <x v="33"/>
    <x v="2"/>
    <x v="23"/>
    <x v="66"/>
    <x v="2"/>
    <x v="1"/>
    <x v="3"/>
  </r>
  <r>
    <x v="275"/>
    <x v="3"/>
    <x v="0"/>
    <x v="33"/>
    <x v="2"/>
    <x v="22"/>
    <x v="47"/>
    <x v="2"/>
    <x v="1"/>
    <x v="2"/>
  </r>
  <r>
    <x v="276"/>
    <x v="2"/>
    <x v="1"/>
    <x v="22"/>
    <x v="2"/>
    <x v="48"/>
    <x v="87"/>
    <x v="2"/>
    <x v="1"/>
    <x v="3"/>
  </r>
  <r>
    <x v="277"/>
    <x v="3"/>
    <x v="0"/>
    <x v="25"/>
    <x v="2"/>
    <x v="90"/>
    <x v="68"/>
    <x v="2"/>
    <x v="0"/>
    <x v="3"/>
  </r>
  <r>
    <x v="278"/>
    <x v="4"/>
    <x v="3"/>
    <x v="39"/>
    <x v="0"/>
    <x v="68"/>
    <x v="53"/>
    <x v="2"/>
    <x v="1"/>
    <x v="1"/>
  </r>
  <r>
    <x v="279"/>
    <x v="2"/>
    <x v="1"/>
    <x v="16"/>
    <x v="1"/>
    <x v="58"/>
    <x v="82"/>
    <x v="2"/>
    <x v="1"/>
    <x v="3"/>
  </r>
  <r>
    <x v="280"/>
    <x v="2"/>
    <x v="1"/>
    <x v="10"/>
    <x v="1"/>
    <x v="60"/>
    <x v="12"/>
    <x v="1"/>
    <x v="1"/>
    <x v="3"/>
  </r>
  <r>
    <x v="281"/>
    <x v="3"/>
    <x v="0"/>
    <x v="12"/>
    <x v="1"/>
    <x v="54"/>
    <x v="67"/>
    <x v="2"/>
    <x v="1"/>
    <x v="2"/>
  </r>
  <r>
    <x v="282"/>
    <x v="3"/>
    <x v="0"/>
    <x v="7"/>
    <x v="1"/>
    <x v="40"/>
    <x v="44"/>
    <x v="1"/>
    <x v="1"/>
    <x v="2"/>
  </r>
  <r>
    <x v="283"/>
    <x v="4"/>
    <x v="3"/>
    <x v="39"/>
    <x v="0"/>
    <x v="44"/>
    <x v="8"/>
    <x v="1"/>
    <x v="1"/>
    <x v="1"/>
  </r>
  <r>
    <x v="284"/>
    <x v="2"/>
    <x v="1"/>
    <x v="39"/>
    <x v="0"/>
    <x v="34"/>
    <x v="7"/>
    <x v="1"/>
    <x v="1"/>
    <x v="3"/>
  </r>
  <r>
    <x v="285"/>
    <x v="3"/>
    <x v="0"/>
    <x v="16"/>
    <x v="1"/>
    <x v="11"/>
    <x v="15"/>
    <x v="1"/>
    <x v="1"/>
    <x v="2"/>
  </r>
  <r>
    <x v="286"/>
    <x v="2"/>
    <x v="1"/>
    <x v="12"/>
    <x v="1"/>
    <x v="36"/>
    <x v="9"/>
    <x v="1"/>
    <x v="1"/>
    <x v="3"/>
  </r>
  <r>
    <x v="287"/>
    <x v="3"/>
    <x v="0"/>
    <x v="50"/>
    <x v="0"/>
    <x v="23"/>
    <x v="35"/>
    <x v="1"/>
    <x v="1"/>
    <x v="2"/>
  </r>
  <r>
    <x v="288"/>
    <x v="3"/>
    <x v="0"/>
    <x v="11"/>
    <x v="1"/>
    <x v="52"/>
    <x v="107"/>
    <x v="0"/>
    <x v="1"/>
    <x v="2"/>
  </r>
  <r>
    <x v="289"/>
    <x v="2"/>
    <x v="1"/>
    <x v="33"/>
    <x v="2"/>
    <x v="48"/>
    <x v="38"/>
    <x v="1"/>
    <x v="1"/>
    <x v="3"/>
  </r>
  <r>
    <x v="290"/>
    <x v="4"/>
    <x v="3"/>
    <x v="41"/>
    <x v="0"/>
    <x v="66"/>
    <x v="32"/>
    <x v="1"/>
    <x v="1"/>
    <x v="1"/>
  </r>
  <r>
    <x v="291"/>
    <x v="4"/>
    <x v="3"/>
    <x v="47"/>
    <x v="0"/>
    <x v="75"/>
    <x v="15"/>
    <x v="1"/>
    <x v="1"/>
    <x v="1"/>
  </r>
  <r>
    <x v="292"/>
    <x v="3"/>
    <x v="0"/>
    <x v="50"/>
    <x v="0"/>
    <x v="33"/>
    <x v="10"/>
    <x v="1"/>
    <x v="1"/>
    <x v="2"/>
  </r>
  <r>
    <x v="293"/>
    <x v="2"/>
    <x v="1"/>
    <x v="24"/>
    <x v="2"/>
    <x v="33"/>
    <x v="52"/>
    <x v="2"/>
    <x v="1"/>
    <x v="3"/>
  </r>
  <r>
    <x v="294"/>
    <x v="3"/>
    <x v="0"/>
    <x v="39"/>
    <x v="0"/>
    <x v="40"/>
    <x v="93"/>
    <x v="2"/>
    <x v="1"/>
    <x v="2"/>
  </r>
  <r>
    <x v="295"/>
    <x v="4"/>
    <x v="3"/>
    <x v="17"/>
    <x v="1"/>
    <x v="12"/>
    <x v="23"/>
    <x v="1"/>
    <x v="1"/>
    <x v="2"/>
  </r>
  <r>
    <x v="296"/>
    <x v="3"/>
    <x v="0"/>
    <x v="7"/>
    <x v="1"/>
    <x v="21"/>
    <x v="15"/>
    <x v="1"/>
    <x v="1"/>
    <x v="2"/>
  </r>
  <r>
    <x v="297"/>
    <x v="3"/>
    <x v="0"/>
    <x v="37"/>
    <x v="2"/>
    <x v="32"/>
    <x v="12"/>
    <x v="1"/>
    <x v="1"/>
    <x v="2"/>
  </r>
  <r>
    <x v="298"/>
    <x v="3"/>
    <x v="0"/>
    <x v="17"/>
    <x v="1"/>
    <x v="27"/>
    <x v="8"/>
    <x v="1"/>
    <x v="1"/>
    <x v="2"/>
  </r>
  <r>
    <x v="299"/>
    <x v="3"/>
    <x v="0"/>
    <x v="29"/>
    <x v="2"/>
    <x v="50"/>
    <x v="26"/>
    <x v="1"/>
    <x v="1"/>
    <x v="2"/>
  </r>
  <r>
    <x v="300"/>
    <x v="2"/>
    <x v="1"/>
    <x v="18"/>
    <x v="1"/>
    <x v="73"/>
    <x v="57"/>
    <x v="2"/>
    <x v="1"/>
    <x v="3"/>
  </r>
  <r>
    <x v="301"/>
    <x v="4"/>
    <x v="3"/>
    <x v="48"/>
    <x v="0"/>
    <x v="99"/>
    <x v="28"/>
    <x v="1"/>
    <x v="0"/>
    <x v="1"/>
  </r>
  <r>
    <x v="302"/>
    <x v="3"/>
    <x v="0"/>
    <x v="45"/>
    <x v="0"/>
    <x v="40"/>
    <x v="9"/>
    <x v="1"/>
    <x v="1"/>
    <x v="2"/>
  </r>
  <r>
    <x v="303"/>
    <x v="3"/>
    <x v="0"/>
    <x v="20"/>
    <x v="2"/>
    <x v="48"/>
    <x v="40"/>
    <x v="1"/>
    <x v="1"/>
    <x v="2"/>
  </r>
  <r>
    <x v="304"/>
    <x v="3"/>
    <x v="0"/>
    <x v="11"/>
    <x v="1"/>
    <x v="93"/>
    <x v="22"/>
    <x v="1"/>
    <x v="0"/>
    <x v="3"/>
  </r>
  <r>
    <x v="305"/>
    <x v="3"/>
    <x v="0"/>
    <x v="18"/>
    <x v="1"/>
    <x v="70"/>
    <x v="28"/>
    <x v="1"/>
    <x v="1"/>
    <x v="2"/>
  </r>
  <r>
    <x v="306"/>
    <x v="3"/>
    <x v="0"/>
    <x v="11"/>
    <x v="1"/>
    <x v="95"/>
    <x v="20"/>
    <x v="1"/>
    <x v="0"/>
    <x v="3"/>
  </r>
  <r>
    <x v="307"/>
    <x v="2"/>
    <x v="1"/>
    <x v="10"/>
    <x v="1"/>
    <x v="69"/>
    <x v="13"/>
    <x v="1"/>
    <x v="1"/>
    <x v="3"/>
  </r>
  <r>
    <x v="308"/>
    <x v="2"/>
    <x v="1"/>
    <x v="55"/>
    <x v="0"/>
    <x v="44"/>
    <x v="71"/>
    <x v="2"/>
    <x v="1"/>
    <x v="3"/>
  </r>
  <r>
    <x v="309"/>
    <x v="3"/>
    <x v="0"/>
    <x v="43"/>
    <x v="0"/>
    <x v="5"/>
    <x v="141"/>
    <x v="0"/>
    <x v="1"/>
    <x v="2"/>
  </r>
  <r>
    <x v="310"/>
    <x v="3"/>
    <x v="0"/>
    <x v="53"/>
    <x v="0"/>
    <x v="86"/>
    <x v="26"/>
    <x v="1"/>
    <x v="0"/>
    <x v="3"/>
  </r>
  <r>
    <x v="311"/>
    <x v="2"/>
    <x v="1"/>
    <x v="33"/>
    <x v="2"/>
    <x v="30"/>
    <x v="49"/>
    <x v="2"/>
    <x v="1"/>
    <x v="3"/>
  </r>
  <r>
    <x v="312"/>
    <x v="4"/>
    <x v="3"/>
    <x v="41"/>
    <x v="0"/>
    <x v="32"/>
    <x v="23"/>
    <x v="1"/>
    <x v="1"/>
    <x v="1"/>
  </r>
  <r>
    <x v="313"/>
    <x v="4"/>
    <x v="3"/>
    <x v="25"/>
    <x v="2"/>
    <x v="33"/>
    <x v="17"/>
    <x v="1"/>
    <x v="1"/>
    <x v="2"/>
  </r>
  <r>
    <x v="314"/>
    <x v="3"/>
    <x v="0"/>
    <x v="17"/>
    <x v="1"/>
    <x v="26"/>
    <x v="35"/>
    <x v="1"/>
    <x v="1"/>
    <x v="2"/>
  </r>
  <r>
    <x v="315"/>
    <x v="2"/>
    <x v="1"/>
    <x v="11"/>
    <x v="1"/>
    <x v="76"/>
    <x v="76"/>
    <x v="2"/>
    <x v="1"/>
    <x v="3"/>
  </r>
  <r>
    <x v="316"/>
    <x v="3"/>
    <x v="0"/>
    <x v="18"/>
    <x v="1"/>
    <x v="35"/>
    <x v="44"/>
    <x v="1"/>
    <x v="1"/>
    <x v="2"/>
  </r>
  <r>
    <x v="317"/>
    <x v="2"/>
    <x v="1"/>
    <x v="20"/>
    <x v="2"/>
    <x v="52"/>
    <x v="31"/>
    <x v="1"/>
    <x v="1"/>
    <x v="3"/>
  </r>
  <r>
    <x v="318"/>
    <x v="2"/>
    <x v="1"/>
    <x v="23"/>
    <x v="2"/>
    <x v="36"/>
    <x v="9"/>
    <x v="1"/>
    <x v="1"/>
    <x v="3"/>
  </r>
  <r>
    <x v="319"/>
    <x v="4"/>
    <x v="3"/>
    <x v="20"/>
    <x v="2"/>
    <x v="59"/>
    <x v="36"/>
    <x v="1"/>
    <x v="1"/>
    <x v="2"/>
  </r>
  <r>
    <x v="320"/>
    <x v="3"/>
    <x v="0"/>
    <x v="42"/>
    <x v="0"/>
    <x v="32"/>
    <x v="15"/>
    <x v="1"/>
    <x v="1"/>
    <x v="2"/>
  </r>
  <r>
    <x v="321"/>
    <x v="2"/>
    <x v="1"/>
    <x v="4"/>
    <x v="1"/>
    <x v="51"/>
    <x v="18"/>
    <x v="1"/>
    <x v="1"/>
    <x v="3"/>
  </r>
  <r>
    <x v="322"/>
    <x v="2"/>
    <x v="1"/>
    <x v="11"/>
    <x v="1"/>
    <x v="21"/>
    <x v="69"/>
    <x v="2"/>
    <x v="1"/>
    <x v="3"/>
  </r>
  <r>
    <x v="323"/>
    <x v="4"/>
    <x v="3"/>
    <x v="45"/>
    <x v="0"/>
    <x v="11"/>
    <x v="12"/>
    <x v="1"/>
    <x v="1"/>
    <x v="1"/>
  </r>
  <r>
    <x v="324"/>
    <x v="2"/>
    <x v="1"/>
    <x v="18"/>
    <x v="1"/>
    <x v="89"/>
    <x v="57"/>
    <x v="2"/>
    <x v="0"/>
    <x v="3"/>
  </r>
  <r>
    <x v="325"/>
    <x v="3"/>
    <x v="0"/>
    <x v="2"/>
    <x v="1"/>
    <x v="8"/>
    <x v="19"/>
    <x v="1"/>
    <x v="1"/>
    <x v="2"/>
  </r>
  <r>
    <x v="326"/>
    <x v="3"/>
    <x v="0"/>
    <x v="28"/>
    <x v="2"/>
    <x v="12"/>
    <x v="40"/>
    <x v="1"/>
    <x v="1"/>
    <x v="2"/>
  </r>
  <r>
    <x v="327"/>
    <x v="2"/>
    <x v="1"/>
    <x v="7"/>
    <x v="1"/>
    <x v="47"/>
    <x v="66"/>
    <x v="2"/>
    <x v="1"/>
    <x v="3"/>
  </r>
  <r>
    <x v="328"/>
    <x v="3"/>
    <x v="0"/>
    <x v="31"/>
    <x v="2"/>
    <x v="30"/>
    <x v="41"/>
    <x v="1"/>
    <x v="1"/>
    <x v="2"/>
  </r>
  <r>
    <x v="329"/>
    <x v="4"/>
    <x v="3"/>
    <x v="42"/>
    <x v="0"/>
    <x v="45"/>
    <x v="9"/>
    <x v="1"/>
    <x v="1"/>
    <x v="1"/>
  </r>
  <r>
    <x v="330"/>
    <x v="3"/>
    <x v="0"/>
    <x v="33"/>
    <x v="2"/>
    <x v="35"/>
    <x v="41"/>
    <x v="1"/>
    <x v="1"/>
    <x v="2"/>
  </r>
  <r>
    <x v="331"/>
    <x v="3"/>
    <x v="0"/>
    <x v="58"/>
    <x v="0"/>
    <x v="61"/>
    <x v="18"/>
    <x v="1"/>
    <x v="1"/>
    <x v="2"/>
  </r>
  <r>
    <x v="332"/>
    <x v="3"/>
    <x v="0"/>
    <x v="31"/>
    <x v="2"/>
    <x v="32"/>
    <x v="54"/>
    <x v="2"/>
    <x v="1"/>
    <x v="2"/>
  </r>
  <r>
    <x v="333"/>
    <x v="3"/>
    <x v="0"/>
    <x v="11"/>
    <x v="1"/>
    <x v="10"/>
    <x v="21"/>
    <x v="1"/>
    <x v="1"/>
    <x v="2"/>
  </r>
  <r>
    <x v="334"/>
    <x v="3"/>
    <x v="0"/>
    <x v="20"/>
    <x v="2"/>
    <x v="31"/>
    <x v="37"/>
    <x v="1"/>
    <x v="1"/>
    <x v="2"/>
  </r>
  <r>
    <x v="335"/>
    <x v="2"/>
    <x v="1"/>
    <x v="7"/>
    <x v="1"/>
    <x v="42"/>
    <x v="48"/>
    <x v="2"/>
    <x v="1"/>
    <x v="3"/>
  </r>
  <r>
    <x v="336"/>
    <x v="3"/>
    <x v="0"/>
    <x v="16"/>
    <x v="1"/>
    <x v="62"/>
    <x v="31"/>
    <x v="1"/>
    <x v="1"/>
    <x v="2"/>
  </r>
  <r>
    <x v="337"/>
    <x v="3"/>
    <x v="0"/>
    <x v="7"/>
    <x v="1"/>
    <x v="45"/>
    <x v="42"/>
    <x v="1"/>
    <x v="1"/>
    <x v="2"/>
  </r>
  <r>
    <x v="338"/>
    <x v="3"/>
    <x v="0"/>
    <x v="15"/>
    <x v="1"/>
    <x v="68"/>
    <x v="36"/>
    <x v="1"/>
    <x v="1"/>
    <x v="2"/>
  </r>
  <r>
    <x v="339"/>
    <x v="3"/>
    <x v="0"/>
    <x v="7"/>
    <x v="1"/>
    <x v="36"/>
    <x v="47"/>
    <x v="2"/>
    <x v="1"/>
    <x v="2"/>
  </r>
  <r>
    <x v="340"/>
    <x v="4"/>
    <x v="3"/>
    <x v="20"/>
    <x v="2"/>
    <x v="26"/>
    <x v="43"/>
    <x v="1"/>
    <x v="1"/>
    <x v="2"/>
  </r>
  <r>
    <x v="341"/>
    <x v="5"/>
    <x v="2"/>
    <x v="54"/>
    <x v="0"/>
    <x v="106"/>
    <x v="83"/>
    <x v="2"/>
    <x v="0"/>
    <x v="1"/>
  </r>
  <r>
    <x v="342"/>
    <x v="2"/>
    <x v="1"/>
    <x v="12"/>
    <x v="1"/>
    <x v="25"/>
    <x v="20"/>
    <x v="1"/>
    <x v="1"/>
    <x v="3"/>
  </r>
  <r>
    <x v="343"/>
    <x v="2"/>
    <x v="1"/>
    <x v="6"/>
    <x v="1"/>
    <x v="69"/>
    <x v="90"/>
    <x v="2"/>
    <x v="1"/>
    <x v="3"/>
  </r>
  <r>
    <x v="344"/>
    <x v="2"/>
    <x v="1"/>
    <x v="18"/>
    <x v="1"/>
    <x v="56"/>
    <x v="19"/>
    <x v="1"/>
    <x v="1"/>
    <x v="3"/>
  </r>
  <r>
    <x v="345"/>
    <x v="4"/>
    <x v="3"/>
    <x v="55"/>
    <x v="0"/>
    <x v="25"/>
    <x v="32"/>
    <x v="1"/>
    <x v="1"/>
    <x v="1"/>
  </r>
  <r>
    <x v="346"/>
    <x v="2"/>
    <x v="1"/>
    <x v="18"/>
    <x v="1"/>
    <x v="83"/>
    <x v="114"/>
    <x v="0"/>
    <x v="0"/>
    <x v="3"/>
  </r>
  <r>
    <x v="347"/>
    <x v="3"/>
    <x v="0"/>
    <x v="33"/>
    <x v="2"/>
    <x v="54"/>
    <x v="43"/>
    <x v="1"/>
    <x v="1"/>
    <x v="2"/>
  </r>
  <r>
    <x v="348"/>
    <x v="2"/>
    <x v="1"/>
    <x v="11"/>
    <x v="1"/>
    <x v="89"/>
    <x v="36"/>
    <x v="1"/>
    <x v="0"/>
    <x v="3"/>
  </r>
  <r>
    <x v="349"/>
    <x v="3"/>
    <x v="0"/>
    <x v="31"/>
    <x v="2"/>
    <x v="10"/>
    <x v="32"/>
    <x v="1"/>
    <x v="1"/>
    <x v="2"/>
  </r>
  <r>
    <x v="350"/>
    <x v="3"/>
    <x v="0"/>
    <x v="26"/>
    <x v="2"/>
    <x v="39"/>
    <x v="58"/>
    <x v="2"/>
    <x v="1"/>
    <x v="2"/>
  </r>
  <r>
    <x v="351"/>
    <x v="3"/>
    <x v="0"/>
    <x v="26"/>
    <x v="2"/>
    <x v="56"/>
    <x v="35"/>
    <x v="1"/>
    <x v="1"/>
    <x v="2"/>
  </r>
  <r>
    <x v="352"/>
    <x v="2"/>
    <x v="1"/>
    <x v="6"/>
    <x v="1"/>
    <x v="74"/>
    <x v="21"/>
    <x v="1"/>
    <x v="1"/>
    <x v="3"/>
  </r>
  <r>
    <x v="353"/>
    <x v="3"/>
    <x v="0"/>
    <x v="22"/>
    <x v="2"/>
    <x v="17"/>
    <x v="19"/>
    <x v="1"/>
    <x v="1"/>
    <x v="2"/>
  </r>
  <r>
    <x v="354"/>
    <x v="3"/>
    <x v="0"/>
    <x v="31"/>
    <x v="2"/>
    <x v="34"/>
    <x v="22"/>
    <x v="1"/>
    <x v="1"/>
    <x v="2"/>
  </r>
  <r>
    <x v="355"/>
    <x v="4"/>
    <x v="3"/>
    <x v="31"/>
    <x v="2"/>
    <x v="27"/>
    <x v="24"/>
    <x v="1"/>
    <x v="1"/>
    <x v="2"/>
  </r>
  <r>
    <x v="356"/>
    <x v="3"/>
    <x v="0"/>
    <x v="37"/>
    <x v="2"/>
    <x v="21"/>
    <x v="10"/>
    <x v="1"/>
    <x v="1"/>
    <x v="2"/>
  </r>
  <r>
    <x v="357"/>
    <x v="1"/>
    <x v="4"/>
    <x v="15"/>
    <x v="1"/>
    <x v="36"/>
    <x v="43"/>
    <x v="1"/>
    <x v="1"/>
    <x v="0"/>
  </r>
  <r>
    <x v="358"/>
    <x v="3"/>
    <x v="0"/>
    <x v="12"/>
    <x v="1"/>
    <x v="33"/>
    <x v="81"/>
    <x v="2"/>
    <x v="1"/>
    <x v="2"/>
  </r>
  <r>
    <x v="359"/>
    <x v="2"/>
    <x v="1"/>
    <x v="12"/>
    <x v="1"/>
    <x v="35"/>
    <x v="73"/>
    <x v="2"/>
    <x v="1"/>
    <x v="3"/>
  </r>
  <r>
    <x v="360"/>
    <x v="2"/>
    <x v="1"/>
    <x v="10"/>
    <x v="1"/>
    <x v="83"/>
    <x v="71"/>
    <x v="2"/>
    <x v="0"/>
    <x v="3"/>
  </r>
  <r>
    <x v="361"/>
    <x v="4"/>
    <x v="3"/>
    <x v="41"/>
    <x v="0"/>
    <x v="29"/>
    <x v="13"/>
    <x v="1"/>
    <x v="1"/>
    <x v="1"/>
  </r>
  <r>
    <x v="362"/>
    <x v="2"/>
    <x v="1"/>
    <x v="12"/>
    <x v="1"/>
    <x v="43"/>
    <x v="113"/>
    <x v="0"/>
    <x v="1"/>
    <x v="3"/>
  </r>
  <r>
    <x v="363"/>
    <x v="2"/>
    <x v="1"/>
    <x v="10"/>
    <x v="1"/>
    <x v="81"/>
    <x v="123"/>
    <x v="0"/>
    <x v="0"/>
    <x v="3"/>
  </r>
  <r>
    <x v="364"/>
    <x v="3"/>
    <x v="0"/>
    <x v="41"/>
    <x v="0"/>
    <x v="39"/>
    <x v="14"/>
    <x v="1"/>
    <x v="1"/>
    <x v="2"/>
  </r>
  <r>
    <x v="365"/>
    <x v="2"/>
    <x v="1"/>
    <x v="26"/>
    <x v="2"/>
    <x v="52"/>
    <x v="114"/>
    <x v="0"/>
    <x v="1"/>
    <x v="3"/>
  </r>
  <r>
    <x v="366"/>
    <x v="3"/>
    <x v="0"/>
    <x v="25"/>
    <x v="2"/>
    <x v="26"/>
    <x v="14"/>
    <x v="1"/>
    <x v="1"/>
    <x v="2"/>
  </r>
  <r>
    <x v="367"/>
    <x v="2"/>
    <x v="1"/>
    <x v="18"/>
    <x v="1"/>
    <x v="90"/>
    <x v="46"/>
    <x v="2"/>
    <x v="0"/>
    <x v="3"/>
  </r>
  <r>
    <x v="368"/>
    <x v="4"/>
    <x v="3"/>
    <x v="42"/>
    <x v="0"/>
    <x v="48"/>
    <x v="61"/>
    <x v="2"/>
    <x v="1"/>
    <x v="1"/>
  </r>
  <r>
    <x v="369"/>
    <x v="4"/>
    <x v="3"/>
    <x v="48"/>
    <x v="0"/>
    <x v="104"/>
    <x v="42"/>
    <x v="1"/>
    <x v="0"/>
    <x v="1"/>
  </r>
  <r>
    <x v="370"/>
    <x v="2"/>
    <x v="1"/>
    <x v="32"/>
    <x v="2"/>
    <x v="123"/>
    <x v="54"/>
    <x v="2"/>
    <x v="0"/>
    <x v="3"/>
  </r>
  <r>
    <x v="371"/>
    <x v="4"/>
    <x v="3"/>
    <x v="33"/>
    <x v="2"/>
    <x v="8"/>
    <x v="18"/>
    <x v="1"/>
    <x v="1"/>
    <x v="2"/>
  </r>
  <r>
    <x v="372"/>
    <x v="3"/>
    <x v="0"/>
    <x v="38"/>
    <x v="2"/>
    <x v="70"/>
    <x v="42"/>
    <x v="1"/>
    <x v="1"/>
    <x v="2"/>
  </r>
  <r>
    <x v="373"/>
    <x v="3"/>
    <x v="0"/>
    <x v="28"/>
    <x v="2"/>
    <x v="92"/>
    <x v="26"/>
    <x v="1"/>
    <x v="0"/>
    <x v="3"/>
  </r>
  <r>
    <x v="374"/>
    <x v="2"/>
    <x v="1"/>
    <x v="10"/>
    <x v="1"/>
    <x v="43"/>
    <x v="24"/>
    <x v="1"/>
    <x v="1"/>
    <x v="3"/>
  </r>
  <r>
    <x v="375"/>
    <x v="3"/>
    <x v="0"/>
    <x v="25"/>
    <x v="2"/>
    <x v="104"/>
    <x v="29"/>
    <x v="1"/>
    <x v="0"/>
    <x v="3"/>
  </r>
  <r>
    <x v="376"/>
    <x v="2"/>
    <x v="1"/>
    <x v="7"/>
    <x v="1"/>
    <x v="47"/>
    <x v="60"/>
    <x v="2"/>
    <x v="1"/>
    <x v="3"/>
  </r>
  <r>
    <x v="377"/>
    <x v="3"/>
    <x v="0"/>
    <x v="53"/>
    <x v="0"/>
    <x v="25"/>
    <x v="18"/>
    <x v="1"/>
    <x v="1"/>
    <x v="2"/>
  </r>
  <r>
    <x v="378"/>
    <x v="2"/>
    <x v="1"/>
    <x v="12"/>
    <x v="1"/>
    <x v="27"/>
    <x v="12"/>
    <x v="1"/>
    <x v="1"/>
    <x v="3"/>
  </r>
  <r>
    <x v="379"/>
    <x v="3"/>
    <x v="0"/>
    <x v="18"/>
    <x v="1"/>
    <x v="30"/>
    <x v="48"/>
    <x v="2"/>
    <x v="1"/>
    <x v="2"/>
  </r>
  <r>
    <x v="380"/>
    <x v="3"/>
    <x v="0"/>
    <x v="23"/>
    <x v="2"/>
    <x v="70"/>
    <x v="56"/>
    <x v="2"/>
    <x v="1"/>
    <x v="2"/>
  </r>
  <r>
    <x v="381"/>
    <x v="3"/>
    <x v="0"/>
    <x v="36"/>
    <x v="2"/>
    <x v="35"/>
    <x v="16"/>
    <x v="1"/>
    <x v="1"/>
    <x v="2"/>
  </r>
  <r>
    <x v="382"/>
    <x v="2"/>
    <x v="1"/>
    <x v="10"/>
    <x v="1"/>
    <x v="60"/>
    <x v="44"/>
    <x v="1"/>
    <x v="1"/>
    <x v="3"/>
  </r>
  <r>
    <x v="383"/>
    <x v="5"/>
    <x v="2"/>
    <x v="17"/>
    <x v="1"/>
    <x v="17"/>
    <x v="23"/>
    <x v="1"/>
    <x v="1"/>
    <x v="2"/>
  </r>
  <r>
    <x v="384"/>
    <x v="3"/>
    <x v="0"/>
    <x v="37"/>
    <x v="2"/>
    <x v="29"/>
    <x v="21"/>
    <x v="1"/>
    <x v="1"/>
    <x v="2"/>
  </r>
  <r>
    <x v="385"/>
    <x v="4"/>
    <x v="3"/>
    <x v="36"/>
    <x v="2"/>
    <x v="73"/>
    <x v="37"/>
    <x v="1"/>
    <x v="1"/>
    <x v="2"/>
  </r>
  <r>
    <x v="386"/>
    <x v="4"/>
    <x v="3"/>
    <x v="40"/>
    <x v="0"/>
    <x v="34"/>
    <x v="13"/>
    <x v="1"/>
    <x v="1"/>
    <x v="1"/>
  </r>
  <r>
    <x v="387"/>
    <x v="4"/>
    <x v="3"/>
    <x v="50"/>
    <x v="0"/>
    <x v="50"/>
    <x v="21"/>
    <x v="1"/>
    <x v="1"/>
    <x v="1"/>
  </r>
  <r>
    <x v="388"/>
    <x v="3"/>
    <x v="0"/>
    <x v="22"/>
    <x v="2"/>
    <x v="83"/>
    <x v="25"/>
    <x v="1"/>
    <x v="0"/>
    <x v="3"/>
  </r>
  <r>
    <x v="389"/>
    <x v="2"/>
    <x v="1"/>
    <x v="26"/>
    <x v="2"/>
    <x v="26"/>
    <x v="66"/>
    <x v="2"/>
    <x v="1"/>
    <x v="3"/>
  </r>
  <r>
    <x v="390"/>
    <x v="2"/>
    <x v="1"/>
    <x v="36"/>
    <x v="2"/>
    <x v="39"/>
    <x v="10"/>
    <x v="1"/>
    <x v="1"/>
    <x v="3"/>
  </r>
  <r>
    <x v="391"/>
    <x v="3"/>
    <x v="0"/>
    <x v="23"/>
    <x v="2"/>
    <x v="44"/>
    <x v="21"/>
    <x v="1"/>
    <x v="1"/>
    <x v="2"/>
  </r>
  <r>
    <x v="392"/>
    <x v="3"/>
    <x v="0"/>
    <x v="31"/>
    <x v="2"/>
    <x v="27"/>
    <x v="29"/>
    <x v="1"/>
    <x v="1"/>
    <x v="2"/>
  </r>
  <r>
    <x v="393"/>
    <x v="3"/>
    <x v="0"/>
    <x v="6"/>
    <x v="1"/>
    <x v="25"/>
    <x v="20"/>
    <x v="1"/>
    <x v="1"/>
    <x v="2"/>
  </r>
  <r>
    <x v="394"/>
    <x v="3"/>
    <x v="0"/>
    <x v="20"/>
    <x v="2"/>
    <x v="48"/>
    <x v="29"/>
    <x v="1"/>
    <x v="1"/>
    <x v="2"/>
  </r>
  <r>
    <x v="395"/>
    <x v="4"/>
    <x v="3"/>
    <x v="36"/>
    <x v="2"/>
    <x v="20"/>
    <x v="16"/>
    <x v="1"/>
    <x v="1"/>
    <x v="2"/>
  </r>
  <r>
    <x v="396"/>
    <x v="2"/>
    <x v="1"/>
    <x v="35"/>
    <x v="2"/>
    <x v="7"/>
    <x v="61"/>
    <x v="2"/>
    <x v="1"/>
    <x v="3"/>
  </r>
  <r>
    <x v="397"/>
    <x v="5"/>
    <x v="2"/>
    <x v="59"/>
    <x v="0"/>
    <x v="60"/>
    <x v="13"/>
    <x v="1"/>
    <x v="1"/>
    <x v="1"/>
  </r>
  <r>
    <x v="398"/>
    <x v="2"/>
    <x v="1"/>
    <x v="24"/>
    <x v="2"/>
    <x v="54"/>
    <x v="16"/>
    <x v="1"/>
    <x v="1"/>
    <x v="3"/>
  </r>
  <r>
    <x v="399"/>
    <x v="2"/>
    <x v="1"/>
    <x v="15"/>
    <x v="1"/>
    <x v="62"/>
    <x v="59"/>
    <x v="2"/>
    <x v="1"/>
    <x v="3"/>
  </r>
  <r>
    <x v="400"/>
    <x v="0"/>
    <x v="4"/>
    <x v="4"/>
    <x v="1"/>
    <x v="52"/>
    <x v="41"/>
    <x v="1"/>
    <x v="1"/>
    <x v="0"/>
  </r>
  <r>
    <x v="401"/>
    <x v="3"/>
    <x v="0"/>
    <x v="37"/>
    <x v="2"/>
    <x v="33"/>
    <x v="17"/>
    <x v="1"/>
    <x v="1"/>
    <x v="2"/>
  </r>
  <r>
    <x v="402"/>
    <x v="2"/>
    <x v="1"/>
    <x v="10"/>
    <x v="1"/>
    <x v="59"/>
    <x v="13"/>
    <x v="1"/>
    <x v="1"/>
    <x v="3"/>
  </r>
  <r>
    <x v="403"/>
    <x v="2"/>
    <x v="1"/>
    <x v="42"/>
    <x v="0"/>
    <x v="10"/>
    <x v="19"/>
    <x v="1"/>
    <x v="1"/>
    <x v="3"/>
  </r>
  <r>
    <x v="404"/>
    <x v="2"/>
    <x v="1"/>
    <x v="4"/>
    <x v="1"/>
    <x v="68"/>
    <x v="119"/>
    <x v="0"/>
    <x v="1"/>
    <x v="3"/>
  </r>
  <r>
    <x v="405"/>
    <x v="3"/>
    <x v="0"/>
    <x v="7"/>
    <x v="1"/>
    <x v="18"/>
    <x v="9"/>
    <x v="1"/>
    <x v="1"/>
    <x v="2"/>
  </r>
  <r>
    <x v="406"/>
    <x v="2"/>
    <x v="1"/>
    <x v="16"/>
    <x v="1"/>
    <x v="13"/>
    <x v="20"/>
    <x v="1"/>
    <x v="1"/>
    <x v="3"/>
  </r>
  <r>
    <x v="407"/>
    <x v="3"/>
    <x v="0"/>
    <x v="39"/>
    <x v="0"/>
    <x v="41"/>
    <x v="45"/>
    <x v="2"/>
    <x v="1"/>
    <x v="2"/>
  </r>
  <r>
    <x v="408"/>
    <x v="3"/>
    <x v="0"/>
    <x v="63"/>
    <x v="0"/>
    <x v="36"/>
    <x v="12"/>
    <x v="1"/>
    <x v="1"/>
    <x v="2"/>
  </r>
  <r>
    <x v="409"/>
    <x v="3"/>
    <x v="0"/>
    <x v="7"/>
    <x v="1"/>
    <x v="23"/>
    <x v="15"/>
    <x v="1"/>
    <x v="1"/>
    <x v="2"/>
  </r>
  <r>
    <x v="410"/>
    <x v="2"/>
    <x v="1"/>
    <x v="17"/>
    <x v="1"/>
    <x v="100"/>
    <x v="42"/>
    <x v="1"/>
    <x v="0"/>
    <x v="3"/>
  </r>
  <r>
    <x v="411"/>
    <x v="2"/>
    <x v="1"/>
    <x v="28"/>
    <x v="2"/>
    <x v="19"/>
    <x v="41"/>
    <x v="1"/>
    <x v="1"/>
    <x v="3"/>
  </r>
  <r>
    <x v="412"/>
    <x v="3"/>
    <x v="0"/>
    <x v="38"/>
    <x v="2"/>
    <x v="45"/>
    <x v="46"/>
    <x v="2"/>
    <x v="1"/>
    <x v="2"/>
  </r>
  <r>
    <x v="413"/>
    <x v="3"/>
    <x v="0"/>
    <x v="25"/>
    <x v="2"/>
    <x v="25"/>
    <x v="62"/>
    <x v="2"/>
    <x v="1"/>
    <x v="2"/>
  </r>
  <r>
    <x v="414"/>
    <x v="2"/>
    <x v="1"/>
    <x v="28"/>
    <x v="2"/>
    <x v="22"/>
    <x v="8"/>
    <x v="1"/>
    <x v="1"/>
    <x v="3"/>
  </r>
  <r>
    <x v="415"/>
    <x v="3"/>
    <x v="0"/>
    <x v="11"/>
    <x v="1"/>
    <x v="12"/>
    <x v="18"/>
    <x v="1"/>
    <x v="1"/>
    <x v="2"/>
  </r>
  <r>
    <x v="416"/>
    <x v="2"/>
    <x v="1"/>
    <x v="23"/>
    <x v="2"/>
    <x v="72"/>
    <x v="22"/>
    <x v="1"/>
    <x v="1"/>
    <x v="3"/>
  </r>
  <r>
    <x v="417"/>
    <x v="2"/>
    <x v="1"/>
    <x v="16"/>
    <x v="1"/>
    <x v="11"/>
    <x v="10"/>
    <x v="1"/>
    <x v="1"/>
    <x v="3"/>
  </r>
  <r>
    <x v="418"/>
    <x v="3"/>
    <x v="0"/>
    <x v="33"/>
    <x v="2"/>
    <x v="8"/>
    <x v="14"/>
    <x v="1"/>
    <x v="1"/>
    <x v="2"/>
  </r>
  <r>
    <x v="419"/>
    <x v="3"/>
    <x v="0"/>
    <x v="22"/>
    <x v="2"/>
    <x v="73"/>
    <x v="25"/>
    <x v="1"/>
    <x v="1"/>
    <x v="2"/>
  </r>
  <r>
    <x v="420"/>
    <x v="2"/>
    <x v="1"/>
    <x v="7"/>
    <x v="1"/>
    <x v="12"/>
    <x v="17"/>
    <x v="1"/>
    <x v="1"/>
    <x v="3"/>
  </r>
  <r>
    <x v="421"/>
    <x v="5"/>
    <x v="2"/>
    <x v="41"/>
    <x v="0"/>
    <x v="15"/>
    <x v="11"/>
    <x v="1"/>
    <x v="1"/>
    <x v="1"/>
  </r>
  <r>
    <x v="422"/>
    <x v="2"/>
    <x v="1"/>
    <x v="11"/>
    <x v="1"/>
    <x v="23"/>
    <x v="12"/>
    <x v="1"/>
    <x v="1"/>
    <x v="3"/>
  </r>
  <r>
    <x v="423"/>
    <x v="2"/>
    <x v="1"/>
    <x v="11"/>
    <x v="1"/>
    <x v="23"/>
    <x v="12"/>
    <x v="1"/>
    <x v="1"/>
    <x v="3"/>
  </r>
  <r>
    <x v="424"/>
    <x v="3"/>
    <x v="0"/>
    <x v="59"/>
    <x v="0"/>
    <x v="34"/>
    <x v="18"/>
    <x v="1"/>
    <x v="1"/>
    <x v="2"/>
  </r>
  <r>
    <x v="425"/>
    <x v="2"/>
    <x v="1"/>
    <x v="20"/>
    <x v="2"/>
    <x v="70"/>
    <x v="11"/>
    <x v="1"/>
    <x v="1"/>
    <x v="3"/>
  </r>
  <r>
    <x v="426"/>
    <x v="3"/>
    <x v="0"/>
    <x v="20"/>
    <x v="2"/>
    <x v="65"/>
    <x v="8"/>
    <x v="1"/>
    <x v="1"/>
    <x v="2"/>
  </r>
  <r>
    <x v="427"/>
    <x v="4"/>
    <x v="3"/>
    <x v="31"/>
    <x v="2"/>
    <x v="19"/>
    <x v="61"/>
    <x v="2"/>
    <x v="1"/>
    <x v="2"/>
  </r>
  <r>
    <x v="428"/>
    <x v="3"/>
    <x v="0"/>
    <x v="23"/>
    <x v="2"/>
    <x v="27"/>
    <x v="20"/>
    <x v="1"/>
    <x v="1"/>
    <x v="2"/>
  </r>
  <r>
    <x v="429"/>
    <x v="3"/>
    <x v="0"/>
    <x v="28"/>
    <x v="2"/>
    <x v="91"/>
    <x v="50"/>
    <x v="2"/>
    <x v="0"/>
    <x v="3"/>
  </r>
  <r>
    <x v="430"/>
    <x v="4"/>
    <x v="3"/>
    <x v="58"/>
    <x v="0"/>
    <x v="30"/>
    <x v="19"/>
    <x v="1"/>
    <x v="1"/>
    <x v="1"/>
  </r>
  <r>
    <x v="431"/>
    <x v="4"/>
    <x v="3"/>
    <x v="59"/>
    <x v="0"/>
    <x v="29"/>
    <x v="21"/>
    <x v="1"/>
    <x v="1"/>
    <x v="1"/>
  </r>
  <r>
    <x v="432"/>
    <x v="3"/>
    <x v="0"/>
    <x v="40"/>
    <x v="0"/>
    <x v="74"/>
    <x v="76"/>
    <x v="2"/>
    <x v="1"/>
    <x v="2"/>
  </r>
  <r>
    <x v="433"/>
    <x v="3"/>
    <x v="0"/>
    <x v="46"/>
    <x v="0"/>
    <x v="27"/>
    <x v="86"/>
    <x v="2"/>
    <x v="1"/>
    <x v="2"/>
  </r>
  <r>
    <x v="434"/>
    <x v="5"/>
    <x v="2"/>
    <x v="33"/>
    <x v="2"/>
    <x v="22"/>
    <x v="10"/>
    <x v="1"/>
    <x v="1"/>
    <x v="2"/>
  </r>
  <r>
    <x v="435"/>
    <x v="3"/>
    <x v="0"/>
    <x v="4"/>
    <x v="1"/>
    <x v="43"/>
    <x v="32"/>
    <x v="1"/>
    <x v="1"/>
    <x v="2"/>
  </r>
  <r>
    <x v="436"/>
    <x v="2"/>
    <x v="1"/>
    <x v="35"/>
    <x v="2"/>
    <x v="21"/>
    <x v="106"/>
    <x v="0"/>
    <x v="1"/>
    <x v="3"/>
  </r>
  <r>
    <x v="437"/>
    <x v="4"/>
    <x v="3"/>
    <x v="45"/>
    <x v="0"/>
    <x v="34"/>
    <x v="70"/>
    <x v="2"/>
    <x v="1"/>
    <x v="1"/>
  </r>
  <r>
    <x v="438"/>
    <x v="4"/>
    <x v="3"/>
    <x v="32"/>
    <x v="2"/>
    <x v="10"/>
    <x v="18"/>
    <x v="1"/>
    <x v="1"/>
    <x v="2"/>
  </r>
  <r>
    <x v="439"/>
    <x v="4"/>
    <x v="3"/>
    <x v="31"/>
    <x v="2"/>
    <x v="8"/>
    <x v="16"/>
    <x v="1"/>
    <x v="1"/>
    <x v="2"/>
  </r>
  <r>
    <x v="440"/>
    <x v="4"/>
    <x v="3"/>
    <x v="50"/>
    <x v="0"/>
    <x v="40"/>
    <x v="20"/>
    <x v="1"/>
    <x v="1"/>
    <x v="1"/>
  </r>
  <r>
    <x v="441"/>
    <x v="4"/>
    <x v="3"/>
    <x v="31"/>
    <x v="2"/>
    <x v="8"/>
    <x v="15"/>
    <x v="1"/>
    <x v="1"/>
    <x v="2"/>
  </r>
  <r>
    <x v="442"/>
    <x v="3"/>
    <x v="0"/>
    <x v="12"/>
    <x v="1"/>
    <x v="70"/>
    <x v="7"/>
    <x v="1"/>
    <x v="1"/>
    <x v="2"/>
  </r>
  <r>
    <x v="443"/>
    <x v="3"/>
    <x v="0"/>
    <x v="23"/>
    <x v="2"/>
    <x v="54"/>
    <x v="56"/>
    <x v="2"/>
    <x v="1"/>
    <x v="2"/>
  </r>
  <r>
    <x v="444"/>
    <x v="4"/>
    <x v="3"/>
    <x v="38"/>
    <x v="2"/>
    <x v="13"/>
    <x v="37"/>
    <x v="1"/>
    <x v="1"/>
    <x v="2"/>
  </r>
  <r>
    <x v="445"/>
    <x v="2"/>
    <x v="1"/>
    <x v="12"/>
    <x v="1"/>
    <x v="32"/>
    <x v="37"/>
    <x v="1"/>
    <x v="1"/>
    <x v="3"/>
  </r>
  <r>
    <x v="446"/>
    <x v="3"/>
    <x v="0"/>
    <x v="16"/>
    <x v="1"/>
    <x v="29"/>
    <x v="43"/>
    <x v="1"/>
    <x v="1"/>
    <x v="2"/>
  </r>
  <r>
    <x v="447"/>
    <x v="4"/>
    <x v="3"/>
    <x v="42"/>
    <x v="0"/>
    <x v="42"/>
    <x v="9"/>
    <x v="1"/>
    <x v="1"/>
    <x v="1"/>
  </r>
  <r>
    <x v="448"/>
    <x v="2"/>
    <x v="1"/>
    <x v="10"/>
    <x v="1"/>
    <x v="67"/>
    <x v="136"/>
    <x v="0"/>
    <x v="1"/>
    <x v="3"/>
  </r>
  <r>
    <x v="449"/>
    <x v="3"/>
    <x v="0"/>
    <x v="43"/>
    <x v="0"/>
    <x v="56"/>
    <x v="8"/>
    <x v="1"/>
    <x v="1"/>
    <x v="2"/>
  </r>
  <r>
    <x v="450"/>
    <x v="0"/>
    <x v="4"/>
    <x v="0"/>
    <x v="1"/>
    <x v="58"/>
    <x v="10"/>
    <x v="1"/>
    <x v="1"/>
    <x v="0"/>
  </r>
  <r>
    <x v="451"/>
    <x v="3"/>
    <x v="0"/>
    <x v="41"/>
    <x v="0"/>
    <x v="5"/>
    <x v="26"/>
    <x v="1"/>
    <x v="1"/>
    <x v="2"/>
  </r>
  <r>
    <x v="452"/>
    <x v="2"/>
    <x v="1"/>
    <x v="33"/>
    <x v="2"/>
    <x v="24"/>
    <x v="100"/>
    <x v="0"/>
    <x v="1"/>
    <x v="3"/>
  </r>
  <r>
    <x v="453"/>
    <x v="3"/>
    <x v="0"/>
    <x v="20"/>
    <x v="2"/>
    <x v="9"/>
    <x v="27"/>
    <x v="1"/>
    <x v="1"/>
    <x v="2"/>
  </r>
  <r>
    <x v="454"/>
    <x v="2"/>
    <x v="1"/>
    <x v="6"/>
    <x v="1"/>
    <x v="30"/>
    <x v="37"/>
    <x v="1"/>
    <x v="1"/>
    <x v="3"/>
  </r>
  <r>
    <x v="455"/>
    <x v="2"/>
    <x v="1"/>
    <x v="17"/>
    <x v="1"/>
    <x v="27"/>
    <x v="122"/>
    <x v="0"/>
    <x v="1"/>
    <x v="3"/>
  </r>
  <r>
    <x v="456"/>
    <x v="2"/>
    <x v="1"/>
    <x v="11"/>
    <x v="1"/>
    <x v="29"/>
    <x v="129"/>
    <x v="0"/>
    <x v="1"/>
    <x v="3"/>
  </r>
  <r>
    <x v="457"/>
    <x v="2"/>
    <x v="1"/>
    <x v="12"/>
    <x v="1"/>
    <x v="33"/>
    <x v="109"/>
    <x v="0"/>
    <x v="1"/>
    <x v="3"/>
  </r>
  <r>
    <x v="458"/>
    <x v="2"/>
    <x v="1"/>
    <x v="18"/>
    <x v="1"/>
    <x v="64"/>
    <x v="47"/>
    <x v="2"/>
    <x v="1"/>
    <x v="3"/>
  </r>
  <r>
    <x v="459"/>
    <x v="3"/>
    <x v="0"/>
    <x v="38"/>
    <x v="2"/>
    <x v="26"/>
    <x v="80"/>
    <x v="2"/>
    <x v="1"/>
    <x v="2"/>
  </r>
  <r>
    <x v="460"/>
    <x v="3"/>
    <x v="0"/>
    <x v="2"/>
    <x v="1"/>
    <x v="32"/>
    <x v="49"/>
    <x v="2"/>
    <x v="1"/>
    <x v="2"/>
  </r>
  <r>
    <x v="461"/>
    <x v="2"/>
    <x v="1"/>
    <x v="11"/>
    <x v="1"/>
    <x v="62"/>
    <x v="27"/>
    <x v="1"/>
    <x v="1"/>
    <x v="3"/>
  </r>
  <r>
    <x v="462"/>
    <x v="3"/>
    <x v="0"/>
    <x v="24"/>
    <x v="2"/>
    <x v="6"/>
    <x v="22"/>
    <x v="1"/>
    <x v="1"/>
    <x v="2"/>
  </r>
  <r>
    <x v="463"/>
    <x v="2"/>
    <x v="1"/>
    <x v="24"/>
    <x v="2"/>
    <x v="26"/>
    <x v="36"/>
    <x v="1"/>
    <x v="1"/>
    <x v="3"/>
  </r>
  <r>
    <x v="464"/>
    <x v="3"/>
    <x v="0"/>
    <x v="53"/>
    <x v="0"/>
    <x v="11"/>
    <x v="27"/>
    <x v="1"/>
    <x v="1"/>
    <x v="2"/>
  </r>
  <r>
    <x v="465"/>
    <x v="3"/>
    <x v="0"/>
    <x v="20"/>
    <x v="2"/>
    <x v="39"/>
    <x v="26"/>
    <x v="1"/>
    <x v="1"/>
    <x v="2"/>
  </r>
  <r>
    <x v="466"/>
    <x v="3"/>
    <x v="0"/>
    <x v="29"/>
    <x v="2"/>
    <x v="101"/>
    <x v="7"/>
    <x v="1"/>
    <x v="0"/>
    <x v="3"/>
  </r>
  <r>
    <x v="467"/>
    <x v="4"/>
    <x v="3"/>
    <x v="45"/>
    <x v="0"/>
    <x v="22"/>
    <x v="29"/>
    <x v="1"/>
    <x v="1"/>
    <x v="1"/>
  </r>
  <r>
    <x v="468"/>
    <x v="2"/>
    <x v="1"/>
    <x v="36"/>
    <x v="2"/>
    <x v="41"/>
    <x v="11"/>
    <x v="1"/>
    <x v="1"/>
    <x v="3"/>
  </r>
  <r>
    <x v="469"/>
    <x v="2"/>
    <x v="1"/>
    <x v="15"/>
    <x v="1"/>
    <x v="54"/>
    <x v="41"/>
    <x v="1"/>
    <x v="1"/>
    <x v="3"/>
  </r>
  <r>
    <x v="470"/>
    <x v="3"/>
    <x v="0"/>
    <x v="33"/>
    <x v="2"/>
    <x v="36"/>
    <x v="11"/>
    <x v="1"/>
    <x v="1"/>
    <x v="2"/>
  </r>
  <r>
    <x v="471"/>
    <x v="2"/>
    <x v="1"/>
    <x v="18"/>
    <x v="1"/>
    <x v="79"/>
    <x v="14"/>
    <x v="1"/>
    <x v="0"/>
    <x v="3"/>
  </r>
  <r>
    <x v="472"/>
    <x v="3"/>
    <x v="0"/>
    <x v="33"/>
    <x v="2"/>
    <x v="68"/>
    <x v="47"/>
    <x v="2"/>
    <x v="1"/>
    <x v="2"/>
  </r>
  <r>
    <x v="473"/>
    <x v="3"/>
    <x v="0"/>
    <x v="0"/>
    <x v="1"/>
    <x v="17"/>
    <x v="9"/>
    <x v="1"/>
    <x v="1"/>
    <x v="2"/>
  </r>
  <r>
    <x v="474"/>
    <x v="2"/>
    <x v="1"/>
    <x v="6"/>
    <x v="1"/>
    <x v="37"/>
    <x v="100"/>
    <x v="0"/>
    <x v="1"/>
    <x v="3"/>
  </r>
  <r>
    <x v="475"/>
    <x v="3"/>
    <x v="0"/>
    <x v="12"/>
    <x v="1"/>
    <x v="47"/>
    <x v="22"/>
    <x v="1"/>
    <x v="1"/>
    <x v="2"/>
  </r>
  <r>
    <x v="476"/>
    <x v="3"/>
    <x v="0"/>
    <x v="29"/>
    <x v="2"/>
    <x v="17"/>
    <x v="15"/>
    <x v="1"/>
    <x v="1"/>
    <x v="2"/>
  </r>
  <r>
    <x v="477"/>
    <x v="3"/>
    <x v="0"/>
    <x v="25"/>
    <x v="2"/>
    <x v="22"/>
    <x v="63"/>
    <x v="2"/>
    <x v="1"/>
    <x v="2"/>
  </r>
  <r>
    <x v="478"/>
    <x v="3"/>
    <x v="0"/>
    <x v="11"/>
    <x v="1"/>
    <x v="44"/>
    <x v="19"/>
    <x v="1"/>
    <x v="1"/>
    <x v="2"/>
  </r>
  <r>
    <x v="479"/>
    <x v="3"/>
    <x v="0"/>
    <x v="12"/>
    <x v="1"/>
    <x v="42"/>
    <x v="19"/>
    <x v="1"/>
    <x v="1"/>
    <x v="2"/>
  </r>
  <r>
    <x v="480"/>
    <x v="3"/>
    <x v="0"/>
    <x v="20"/>
    <x v="2"/>
    <x v="33"/>
    <x v="39"/>
    <x v="1"/>
    <x v="1"/>
    <x v="2"/>
  </r>
  <r>
    <x v="481"/>
    <x v="3"/>
    <x v="0"/>
    <x v="20"/>
    <x v="2"/>
    <x v="36"/>
    <x v="38"/>
    <x v="1"/>
    <x v="1"/>
    <x v="2"/>
  </r>
  <r>
    <x v="482"/>
    <x v="2"/>
    <x v="1"/>
    <x v="39"/>
    <x v="0"/>
    <x v="133"/>
    <x v="91"/>
    <x v="2"/>
    <x v="0"/>
    <x v="3"/>
  </r>
  <r>
    <x v="483"/>
    <x v="2"/>
    <x v="1"/>
    <x v="35"/>
    <x v="2"/>
    <x v="65"/>
    <x v="17"/>
    <x v="1"/>
    <x v="1"/>
    <x v="3"/>
  </r>
  <r>
    <x v="484"/>
    <x v="3"/>
    <x v="0"/>
    <x v="41"/>
    <x v="0"/>
    <x v="44"/>
    <x v="11"/>
    <x v="1"/>
    <x v="1"/>
    <x v="2"/>
  </r>
  <r>
    <x v="485"/>
    <x v="2"/>
    <x v="1"/>
    <x v="35"/>
    <x v="2"/>
    <x v="65"/>
    <x v="17"/>
    <x v="1"/>
    <x v="1"/>
    <x v="3"/>
  </r>
  <r>
    <x v="486"/>
    <x v="3"/>
    <x v="0"/>
    <x v="52"/>
    <x v="0"/>
    <x v="37"/>
    <x v="41"/>
    <x v="1"/>
    <x v="1"/>
    <x v="2"/>
  </r>
  <r>
    <x v="487"/>
    <x v="2"/>
    <x v="1"/>
    <x v="38"/>
    <x v="2"/>
    <x v="56"/>
    <x v="13"/>
    <x v="1"/>
    <x v="1"/>
    <x v="3"/>
  </r>
  <r>
    <x v="488"/>
    <x v="2"/>
    <x v="1"/>
    <x v="7"/>
    <x v="1"/>
    <x v="34"/>
    <x v="112"/>
    <x v="0"/>
    <x v="1"/>
    <x v="3"/>
  </r>
  <r>
    <x v="489"/>
    <x v="2"/>
    <x v="1"/>
    <x v="7"/>
    <x v="1"/>
    <x v="45"/>
    <x v="103"/>
    <x v="0"/>
    <x v="1"/>
    <x v="3"/>
  </r>
  <r>
    <x v="490"/>
    <x v="3"/>
    <x v="0"/>
    <x v="22"/>
    <x v="2"/>
    <x v="13"/>
    <x v="54"/>
    <x v="2"/>
    <x v="1"/>
    <x v="2"/>
  </r>
  <r>
    <x v="491"/>
    <x v="3"/>
    <x v="0"/>
    <x v="4"/>
    <x v="1"/>
    <x v="76"/>
    <x v="9"/>
    <x v="1"/>
    <x v="1"/>
    <x v="2"/>
  </r>
  <r>
    <x v="492"/>
    <x v="3"/>
    <x v="0"/>
    <x v="29"/>
    <x v="2"/>
    <x v="41"/>
    <x v="14"/>
    <x v="1"/>
    <x v="1"/>
    <x v="2"/>
  </r>
  <r>
    <x v="493"/>
    <x v="3"/>
    <x v="0"/>
    <x v="41"/>
    <x v="0"/>
    <x v="23"/>
    <x v="36"/>
    <x v="1"/>
    <x v="1"/>
    <x v="2"/>
  </r>
  <r>
    <x v="494"/>
    <x v="3"/>
    <x v="0"/>
    <x v="33"/>
    <x v="2"/>
    <x v="22"/>
    <x v="31"/>
    <x v="1"/>
    <x v="1"/>
    <x v="2"/>
  </r>
  <r>
    <x v="495"/>
    <x v="2"/>
    <x v="1"/>
    <x v="25"/>
    <x v="2"/>
    <x v="8"/>
    <x v="22"/>
    <x v="1"/>
    <x v="1"/>
    <x v="3"/>
  </r>
  <r>
    <x v="496"/>
    <x v="1"/>
    <x v="4"/>
    <x v="15"/>
    <x v="1"/>
    <x v="54"/>
    <x v="41"/>
    <x v="1"/>
    <x v="1"/>
    <x v="0"/>
  </r>
  <r>
    <x v="497"/>
    <x v="3"/>
    <x v="0"/>
    <x v="20"/>
    <x v="2"/>
    <x v="21"/>
    <x v="73"/>
    <x v="2"/>
    <x v="1"/>
    <x v="2"/>
  </r>
  <r>
    <x v="498"/>
    <x v="3"/>
    <x v="0"/>
    <x v="23"/>
    <x v="2"/>
    <x v="11"/>
    <x v="40"/>
    <x v="1"/>
    <x v="1"/>
    <x v="2"/>
  </r>
  <r>
    <x v="499"/>
    <x v="1"/>
    <x v="4"/>
    <x v="20"/>
    <x v="2"/>
    <x v="41"/>
    <x v="8"/>
    <x v="1"/>
    <x v="1"/>
    <x v="0"/>
  </r>
  <r>
    <x v="500"/>
    <x v="2"/>
    <x v="1"/>
    <x v="12"/>
    <x v="1"/>
    <x v="34"/>
    <x v="104"/>
    <x v="0"/>
    <x v="1"/>
    <x v="3"/>
  </r>
  <r>
    <x v="501"/>
    <x v="2"/>
    <x v="1"/>
    <x v="17"/>
    <x v="1"/>
    <x v="37"/>
    <x v="103"/>
    <x v="0"/>
    <x v="1"/>
    <x v="3"/>
  </r>
  <r>
    <x v="502"/>
    <x v="3"/>
    <x v="0"/>
    <x v="17"/>
    <x v="1"/>
    <x v="17"/>
    <x v="34"/>
    <x v="1"/>
    <x v="1"/>
    <x v="2"/>
  </r>
  <r>
    <x v="503"/>
    <x v="2"/>
    <x v="1"/>
    <x v="15"/>
    <x v="1"/>
    <x v="41"/>
    <x v="8"/>
    <x v="1"/>
    <x v="1"/>
    <x v="3"/>
  </r>
  <r>
    <x v="504"/>
    <x v="2"/>
    <x v="1"/>
    <x v="7"/>
    <x v="1"/>
    <x v="40"/>
    <x v="9"/>
    <x v="1"/>
    <x v="1"/>
    <x v="3"/>
  </r>
  <r>
    <x v="505"/>
    <x v="4"/>
    <x v="3"/>
    <x v="18"/>
    <x v="1"/>
    <x v="12"/>
    <x v="15"/>
    <x v="1"/>
    <x v="1"/>
    <x v="2"/>
  </r>
  <r>
    <x v="506"/>
    <x v="4"/>
    <x v="3"/>
    <x v="29"/>
    <x v="2"/>
    <x v="20"/>
    <x v="75"/>
    <x v="2"/>
    <x v="1"/>
    <x v="2"/>
  </r>
  <r>
    <x v="507"/>
    <x v="3"/>
    <x v="0"/>
    <x v="15"/>
    <x v="1"/>
    <x v="42"/>
    <x v="32"/>
    <x v="1"/>
    <x v="1"/>
    <x v="2"/>
  </r>
  <r>
    <x v="508"/>
    <x v="4"/>
    <x v="3"/>
    <x v="28"/>
    <x v="2"/>
    <x v="17"/>
    <x v="41"/>
    <x v="1"/>
    <x v="1"/>
    <x v="2"/>
  </r>
  <r>
    <x v="509"/>
    <x v="2"/>
    <x v="1"/>
    <x v="10"/>
    <x v="1"/>
    <x v="82"/>
    <x v="96"/>
    <x v="0"/>
    <x v="0"/>
    <x v="3"/>
  </r>
  <r>
    <x v="510"/>
    <x v="5"/>
    <x v="2"/>
    <x v="63"/>
    <x v="0"/>
    <x v="32"/>
    <x v="44"/>
    <x v="1"/>
    <x v="1"/>
    <x v="1"/>
  </r>
  <r>
    <x v="511"/>
    <x v="4"/>
    <x v="3"/>
    <x v="26"/>
    <x v="2"/>
    <x v="13"/>
    <x v="7"/>
    <x v="1"/>
    <x v="1"/>
    <x v="2"/>
  </r>
  <r>
    <x v="512"/>
    <x v="2"/>
    <x v="1"/>
    <x v="16"/>
    <x v="1"/>
    <x v="35"/>
    <x v="69"/>
    <x v="2"/>
    <x v="1"/>
    <x v="3"/>
  </r>
  <r>
    <x v="513"/>
    <x v="3"/>
    <x v="0"/>
    <x v="39"/>
    <x v="0"/>
    <x v="27"/>
    <x v="135"/>
    <x v="0"/>
    <x v="1"/>
    <x v="2"/>
  </r>
  <r>
    <x v="514"/>
    <x v="2"/>
    <x v="1"/>
    <x v="4"/>
    <x v="1"/>
    <x v="40"/>
    <x v="37"/>
    <x v="1"/>
    <x v="1"/>
    <x v="3"/>
  </r>
  <r>
    <x v="515"/>
    <x v="2"/>
    <x v="1"/>
    <x v="12"/>
    <x v="1"/>
    <x v="80"/>
    <x v="32"/>
    <x v="1"/>
    <x v="0"/>
    <x v="3"/>
  </r>
  <r>
    <x v="516"/>
    <x v="2"/>
    <x v="1"/>
    <x v="10"/>
    <x v="1"/>
    <x v="55"/>
    <x v="102"/>
    <x v="0"/>
    <x v="1"/>
    <x v="3"/>
  </r>
  <r>
    <x v="517"/>
    <x v="3"/>
    <x v="0"/>
    <x v="10"/>
    <x v="1"/>
    <x v="29"/>
    <x v="18"/>
    <x v="1"/>
    <x v="1"/>
    <x v="2"/>
  </r>
  <r>
    <x v="518"/>
    <x v="3"/>
    <x v="0"/>
    <x v="20"/>
    <x v="2"/>
    <x v="52"/>
    <x v="12"/>
    <x v="1"/>
    <x v="1"/>
    <x v="2"/>
  </r>
  <r>
    <x v="519"/>
    <x v="3"/>
    <x v="0"/>
    <x v="17"/>
    <x v="1"/>
    <x v="53"/>
    <x v="24"/>
    <x v="1"/>
    <x v="1"/>
    <x v="2"/>
  </r>
  <r>
    <x v="520"/>
    <x v="3"/>
    <x v="0"/>
    <x v="10"/>
    <x v="1"/>
    <x v="54"/>
    <x v="16"/>
    <x v="1"/>
    <x v="1"/>
    <x v="2"/>
  </r>
  <r>
    <x v="521"/>
    <x v="1"/>
    <x v="4"/>
    <x v="20"/>
    <x v="2"/>
    <x v="118"/>
    <x v="17"/>
    <x v="1"/>
    <x v="0"/>
    <x v="0"/>
  </r>
  <r>
    <x v="522"/>
    <x v="3"/>
    <x v="0"/>
    <x v="4"/>
    <x v="1"/>
    <x v="36"/>
    <x v="29"/>
    <x v="1"/>
    <x v="1"/>
    <x v="2"/>
  </r>
  <r>
    <x v="523"/>
    <x v="2"/>
    <x v="1"/>
    <x v="10"/>
    <x v="1"/>
    <x v="103"/>
    <x v="8"/>
    <x v="1"/>
    <x v="0"/>
    <x v="3"/>
  </r>
  <r>
    <x v="524"/>
    <x v="3"/>
    <x v="0"/>
    <x v="6"/>
    <x v="1"/>
    <x v="52"/>
    <x v="57"/>
    <x v="2"/>
    <x v="1"/>
    <x v="2"/>
  </r>
  <r>
    <x v="525"/>
    <x v="3"/>
    <x v="0"/>
    <x v="7"/>
    <x v="1"/>
    <x v="56"/>
    <x v="18"/>
    <x v="1"/>
    <x v="1"/>
    <x v="2"/>
  </r>
  <r>
    <x v="526"/>
    <x v="4"/>
    <x v="3"/>
    <x v="47"/>
    <x v="0"/>
    <x v="30"/>
    <x v="14"/>
    <x v="1"/>
    <x v="1"/>
    <x v="1"/>
  </r>
  <r>
    <x v="527"/>
    <x v="3"/>
    <x v="0"/>
    <x v="26"/>
    <x v="2"/>
    <x v="39"/>
    <x v="46"/>
    <x v="2"/>
    <x v="1"/>
    <x v="2"/>
  </r>
  <r>
    <x v="528"/>
    <x v="3"/>
    <x v="0"/>
    <x v="25"/>
    <x v="2"/>
    <x v="66"/>
    <x v="59"/>
    <x v="2"/>
    <x v="1"/>
    <x v="2"/>
  </r>
  <r>
    <x v="529"/>
    <x v="3"/>
    <x v="0"/>
    <x v="52"/>
    <x v="0"/>
    <x v="23"/>
    <x v="33"/>
    <x v="1"/>
    <x v="1"/>
    <x v="2"/>
  </r>
  <r>
    <x v="530"/>
    <x v="2"/>
    <x v="1"/>
    <x v="7"/>
    <x v="1"/>
    <x v="8"/>
    <x v="51"/>
    <x v="2"/>
    <x v="1"/>
    <x v="3"/>
  </r>
  <r>
    <x v="531"/>
    <x v="2"/>
    <x v="1"/>
    <x v="11"/>
    <x v="1"/>
    <x v="26"/>
    <x v="10"/>
    <x v="1"/>
    <x v="1"/>
    <x v="3"/>
  </r>
  <r>
    <x v="532"/>
    <x v="3"/>
    <x v="0"/>
    <x v="20"/>
    <x v="2"/>
    <x v="64"/>
    <x v="23"/>
    <x v="1"/>
    <x v="1"/>
    <x v="2"/>
  </r>
  <r>
    <x v="533"/>
    <x v="2"/>
    <x v="1"/>
    <x v="17"/>
    <x v="1"/>
    <x v="27"/>
    <x v="23"/>
    <x v="1"/>
    <x v="1"/>
    <x v="3"/>
  </r>
  <r>
    <x v="534"/>
    <x v="3"/>
    <x v="0"/>
    <x v="23"/>
    <x v="2"/>
    <x v="87"/>
    <x v="97"/>
    <x v="0"/>
    <x v="0"/>
    <x v="3"/>
  </r>
  <r>
    <x v="535"/>
    <x v="2"/>
    <x v="1"/>
    <x v="16"/>
    <x v="1"/>
    <x v="56"/>
    <x v="65"/>
    <x v="2"/>
    <x v="1"/>
    <x v="3"/>
  </r>
  <r>
    <x v="536"/>
    <x v="3"/>
    <x v="0"/>
    <x v="17"/>
    <x v="1"/>
    <x v="17"/>
    <x v="22"/>
    <x v="1"/>
    <x v="1"/>
    <x v="2"/>
  </r>
  <r>
    <x v="537"/>
    <x v="2"/>
    <x v="1"/>
    <x v="23"/>
    <x v="2"/>
    <x v="36"/>
    <x v="11"/>
    <x v="1"/>
    <x v="1"/>
    <x v="3"/>
  </r>
  <r>
    <x v="538"/>
    <x v="2"/>
    <x v="1"/>
    <x v="10"/>
    <x v="1"/>
    <x v="25"/>
    <x v="10"/>
    <x v="1"/>
    <x v="1"/>
    <x v="3"/>
  </r>
  <r>
    <x v="539"/>
    <x v="2"/>
    <x v="1"/>
    <x v="11"/>
    <x v="1"/>
    <x v="45"/>
    <x v="105"/>
    <x v="0"/>
    <x v="1"/>
    <x v="3"/>
  </r>
  <r>
    <x v="540"/>
    <x v="2"/>
    <x v="1"/>
    <x v="11"/>
    <x v="1"/>
    <x v="48"/>
    <x v="98"/>
    <x v="0"/>
    <x v="1"/>
    <x v="3"/>
  </r>
  <r>
    <x v="541"/>
    <x v="2"/>
    <x v="1"/>
    <x v="12"/>
    <x v="1"/>
    <x v="52"/>
    <x v="26"/>
    <x v="1"/>
    <x v="1"/>
    <x v="3"/>
  </r>
  <r>
    <x v="542"/>
    <x v="3"/>
    <x v="0"/>
    <x v="46"/>
    <x v="0"/>
    <x v="42"/>
    <x v="39"/>
    <x v="1"/>
    <x v="1"/>
    <x v="2"/>
  </r>
  <r>
    <x v="543"/>
    <x v="2"/>
    <x v="1"/>
    <x v="23"/>
    <x v="2"/>
    <x v="74"/>
    <x v="52"/>
    <x v="2"/>
    <x v="1"/>
    <x v="3"/>
  </r>
  <r>
    <x v="544"/>
    <x v="2"/>
    <x v="1"/>
    <x v="6"/>
    <x v="1"/>
    <x v="56"/>
    <x v="9"/>
    <x v="1"/>
    <x v="1"/>
    <x v="3"/>
  </r>
  <r>
    <x v="545"/>
    <x v="3"/>
    <x v="0"/>
    <x v="10"/>
    <x v="1"/>
    <x v="45"/>
    <x v="25"/>
    <x v="1"/>
    <x v="1"/>
    <x v="2"/>
  </r>
  <r>
    <x v="546"/>
    <x v="2"/>
    <x v="1"/>
    <x v="10"/>
    <x v="1"/>
    <x v="73"/>
    <x v="79"/>
    <x v="2"/>
    <x v="1"/>
    <x v="3"/>
  </r>
  <r>
    <x v="547"/>
    <x v="2"/>
    <x v="1"/>
    <x v="12"/>
    <x v="1"/>
    <x v="12"/>
    <x v="13"/>
    <x v="1"/>
    <x v="1"/>
    <x v="3"/>
  </r>
  <r>
    <x v="548"/>
    <x v="3"/>
    <x v="0"/>
    <x v="26"/>
    <x v="2"/>
    <x v="30"/>
    <x v="37"/>
    <x v="1"/>
    <x v="1"/>
    <x v="2"/>
  </r>
  <r>
    <x v="549"/>
    <x v="1"/>
    <x v="4"/>
    <x v="37"/>
    <x v="2"/>
    <x v="120"/>
    <x v="81"/>
    <x v="2"/>
    <x v="0"/>
    <x v="0"/>
  </r>
  <r>
    <x v="550"/>
    <x v="2"/>
    <x v="1"/>
    <x v="12"/>
    <x v="1"/>
    <x v="22"/>
    <x v="96"/>
    <x v="0"/>
    <x v="1"/>
    <x v="3"/>
  </r>
  <r>
    <x v="551"/>
    <x v="2"/>
    <x v="1"/>
    <x v="16"/>
    <x v="1"/>
    <x v="104"/>
    <x v="27"/>
    <x v="1"/>
    <x v="0"/>
    <x v="3"/>
  </r>
  <r>
    <x v="552"/>
    <x v="2"/>
    <x v="1"/>
    <x v="11"/>
    <x v="1"/>
    <x v="112"/>
    <x v="133"/>
    <x v="0"/>
    <x v="0"/>
    <x v="3"/>
  </r>
  <r>
    <x v="553"/>
    <x v="2"/>
    <x v="1"/>
    <x v="11"/>
    <x v="1"/>
    <x v="113"/>
    <x v="132"/>
    <x v="0"/>
    <x v="0"/>
    <x v="3"/>
  </r>
  <r>
    <x v="554"/>
    <x v="4"/>
    <x v="3"/>
    <x v="23"/>
    <x v="2"/>
    <x v="118"/>
    <x v="17"/>
    <x v="1"/>
    <x v="0"/>
    <x v="3"/>
  </r>
  <r>
    <x v="555"/>
    <x v="3"/>
    <x v="0"/>
    <x v="24"/>
    <x v="2"/>
    <x v="13"/>
    <x v="51"/>
    <x v="2"/>
    <x v="1"/>
    <x v="2"/>
  </r>
  <r>
    <x v="556"/>
    <x v="2"/>
    <x v="1"/>
    <x v="11"/>
    <x v="1"/>
    <x v="45"/>
    <x v="34"/>
    <x v="1"/>
    <x v="1"/>
    <x v="3"/>
  </r>
  <r>
    <x v="557"/>
    <x v="2"/>
    <x v="1"/>
    <x v="12"/>
    <x v="1"/>
    <x v="54"/>
    <x v="62"/>
    <x v="2"/>
    <x v="1"/>
    <x v="3"/>
  </r>
  <r>
    <x v="558"/>
    <x v="4"/>
    <x v="3"/>
    <x v="22"/>
    <x v="2"/>
    <x v="64"/>
    <x v="5"/>
    <x v="1"/>
    <x v="1"/>
    <x v="2"/>
  </r>
  <r>
    <x v="559"/>
    <x v="2"/>
    <x v="1"/>
    <x v="22"/>
    <x v="2"/>
    <x v="70"/>
    <x v="14"/>
    <x v="1"/>
    <x v="1"/>
    <x v="3"/>
  </r>
  <r>
    <x v="560"/>
    <x v="1"/>
    <x v="4"/>
    <x v="33"/>
    <x v="2"/>
    <x v="105"/>
    <x v="8"/>
    <x v="1"/>
    <x v="0"/>
    <x v="0"/>
  </r>
  <r>
    <x v="561"/>
    <x v="4"/>
    <x v="3"/>
    <x v="36"/>
    <x v="2"/>
    <x v="39"/>
    <x v="22"/>
    <x v="1"/>
    <x v="1"/>
    <x v="2"/>
  </r>
  <r>
    <x v="562"/>
    <x v="3"/>
    <x v="0"/>
    <x v="37"/>
    <x v="2"/>
    <x v="32"/>
    <x v="134"/>
    <x v="0"/>
    <x v="1"/>
    <x v="2"/>
  </r>
  <r>
    <x v="563"/>
    <x v="2"/>
    <x v="1"/>
    <x v="15"/>
    <x v="1"/>
    <x v="33"/>
    <x v="26"/>
    <x v="1"/>
    <x v="1"/>
    <x v="3"/>
  </r>
  <r>
    <x v="564"/>
    <x v="2"/>
    <x v="1"/>
    <x v="36"/>
    <x v="2"/>
    <x v="112"/>
    <x v="139"/>
    <x v="0"/>
    <x v="0"/>
    <x v="3"/>
  </r>
  <r>
    <x v="565"/>
    <x v="2"/>
    <x v="1"/>
    <x v="64"/>
    <x v="0"/>
    <x v="23"/>
    <x v="65"/>
    <x v="2"/>
    <x v="1"/>
    <x v="3"/>
  </r>
  <r>
    <x v="566"/>
    <x v="3"/>
    <x v="0"/>
    <x v="45"/>
    <x v="0"/>
    <x v="20"/>
    <x v="24"/>
    <x v="1"/>
    <x v="1"/>
    <x v="2"/>
  </r>
  <r>
    <x v="567"/>
    <x v="2"/>
    <x v="1"/>
    <x v="12"/>
    <x v="1"/>
    <x v="37"/>
    <x v="23"/>
    <x v="1"/>
    <x v="1"/>
    <x v="3"/>
  </r>
  <r>
    <x v="568"/>
    <x v="2"/>
    <x v="1"/>
    <x v="11"/>
    <x v="1"/>
    <x v="47"/>
    <x v="47"/>
    <x v="2"/>
    <x v="1"/>
    <x v="3"/>
  </r>
  <r>
    <x v="569"/>
    <x v="4"/>
    <x v="3"/>
    <x v="26"/>
    <x v="2"/>
    <x v="41"/>
    <x v="36"/>
    <x v="1"/>
    <x v="1"/>
    <x v="2"/>
  </r>
  <r>
    <x v="570"/>
    <x v="3"/>
    <x v="0"/>
    <x v="15"/>
    <x v="1"/>
    <x v="43"/>
    <x v="14"/>
    <x v="1"/>
    <x v="1"/>
    <x v="2"/>
  </r>
  <r>
    <x v="571"/>
    <x v="1"/>
    <x v="4"/>
    <x v="33"/>
    <x v="2"/>
    <x v="104"/>
    <x v="7"/>
    <x v="1"/>
    <x v="0"/>
    <x v="0"/>
  </r>
  <r>
    <x v="572"/>
    <x v="2"/>
    <x v="1"/>
    <x v="4"/>
    <x v="1"/>
    <x v="32"/>
    <x v="36"/>
    <x v="1"/>
    <x v="1"/>
    <x v="3"/>
  </r>
  <r>
    <x v="573"/>
    <x v="3"/>
    <x v="0"/>
    <x v="15"/>
    <x v="1"/>
    <x v="50"/>
    <x v="21"/>
    <x v="1"/>
    <x v="1"/>
    <x v="2"/>
  </r>
  <r>
    <x v="574"/>
    <x v="3"/>
    <x v="0"/>
    <x v="23"/>
    <x v="2"/>
    <x v="12"/>
    <x v="7"/>
    <x v="1"/>
    <x v="1"/>
    <x v="2"/>
  </r>
  <r>
    <x v="575"/>
    <x v="2"/>
    <x v="1"/>
    <x v="23"/>
    <x v="2"/>
    <x v="29"/>
    <x v="48"/>
    <x v="2"/>
    <x v="1"/>
    <x v="3"/>
  </r>
  <r>
    <x v="576"/>
    <x v="2"/>
    <x v="1"/>
    <x v="16"/>
    <x v="1"/>
    <x v="54"/>
    <x v="42"/>
    <x v="1"/>
    <x v="1"/>
    <x v="3"/>
  </r>
  <r>
    <x v="577"/>
    <x v="3"/>
    <x v="0"/>
    <x v="12"/>
    <x v="1"/>
    <x v="40"/>
    <x v="10"/>
    <x v="1"/>
    <x v="1"/>
    <x v="2"/>
  </r>
  <r>
    <x v="578"/>
    <x v="3"/>
    <x v="0"/>
    <x v="7"/>
    <x v="1"/>
    <x v="21"/>
    <x v="9"/>
    <x v="1"/>
    <x v="1"/>
    <x v="2"/>
  </r>
  <r>
    <x v="579"/>
    <x v="2"/>
    <x v="1"/>
    <x v="33"/>
    <x v="2"/>
    <x v="82"/>
    <x v="25"/>
    <x v="1"/>
    <x v="0"/>
    <x v="3"/>
  </r>
  <r>
    <x v="580"/>
    <x v="2"/>
    <x v="1"/>
    <x v="20"/>
    <x v="2"/>
    <x v="29"/>
    <x v="39"/>
    <x v="1"/>
    <x v="1"/>
    <x v="3"/>
  </r>
  <r>
    <x v="581"/>
    <x v="2"/>
    <x v="1"/>
    <x v="12"/>
    <x v="1"/>
    <x v="82"/>
    <x v="7"/>
    <x v="1"/>
    <x v="0"/>
    <x v="3"/>
  </r>
  <r>
    <x v="582"/>
    <x v="2"/>
    <x v="1"/>
    <x v="12"/>
    <x v="1"/>
    <x v="140"/>
    <x v="136"/>
    <x v="0"/>
    <x v="0"/>
    <x v="3"/>
  </r>
  <r>
    <x v="583"/>
    <x v="3"/>
    <x v="0"/>
    <x v="10"/>
    <x v="1"/>
    <x v="29"/>
    <x v="11"/>
    <x v="1"/>
    <x v="1"/>
    <x v="2"/>
  </r>
  <r>
    <x v="584"/>
    <x v="2"/>
    <x v="1"/>
    <x v="23"/>
    <x v="2"/>
    <x v="30"/>
    <x v="25"/>
    <x v="1"/>
    <x v="1"/>
    <x v="3"/>
  </r>
  <r>
    <x v="585"/>
    <x v="2"/>
    <x v="1"/>
    <x v="18"/>
    <x v="1"/>
    <x v="96"/>
    <x v="25"/>
    <x v="1"/>
    <x v="0"/>
    <x v="3"/>
  </r>
  <r>
    <x v="586"/>
    <x v="2"/>
    <x v="1"/>
    <x v="20"/>
    <x v="2"/>
    <x v="92"/>
    <x v="82"/>
    <x v="2"/>
    <x v="0"/>
    <x v="3"/>
  </r>
  <r>
    <x v="587"/>
    <x v="2"/>
    <x v="1"/>
    <x v="15"/>
    <x v="1"/>
    <x v="10"/>
    <x v="43"/>
    <x v="1"/>
    <x v="1"/>
    <x v="3"/>
  </r>
  <r>
    <x v="588"/>
    <x v="2"/>
    <x v="1"/>
    <x v="4"/>
    <x v="1"/>
    <x v="33"/>
    <x v="34"/>
    <x v="1"/>
    <x v="1"/>
    <x v="3"/>
  </r>
  <r>
    <x v="589"/>
    <x v="3"/>
    <x v="0"/>
    <x v="23"/>
    <x v="2"/>
    <x v="35"/>
    <x v="23"/>
    <x v="1"/>
    <x v="1"/>
    <x v="2"/>
  </r>
  <r>
    <x v="590"/>
    <x v="2"/>
    <x v="1"/>
    <x v="17"/>
    <x v="1"/>
    <x v="36"/>
    <x v="52"/>
    <x v="2"/>
    <x v="1"/>
    <x v="3"/>
  </r>
  <r>
    <x v="591"/>
    <x v="2"/>
    <x v="1"/>
    <x v="37"/>
    <x v="2"/>
    <x v="92"/>
    <x v="9"/>
    <x v="1"/>
    <x v="0"/>
    <x v="3"/>
  </r>
  <r>
    <x v="592"/>
    <x v="2"/>
    <x v="1"/>
    <x v="11"/>
    <x v="1"/>
    <x v="126"/>
    <x v="137"/>
    <x v="0"/>
    <x v="0"/>
    <x v="3"/>
  </r>
  <r>
    <x v="593"/>
    <x v="2"/>
    <x v="1"/>
    <x v="6"/>
    <x v="1"/>
    <x v="66"/>
    <x v="34"/>
    <x v="1"/>
    <x v="1"/>
    <x v="3"/>
  </r>
  <r>
    <x v="594"/>
    <x v="2"/>
    <x v="1"/>
    <x v="16"/>
    <x v="1"/>
    <x v="64"/>
    <x v="32"/>
    <x v="1"/>
    <x v="1"/>
    <x v="3"/>
  </r>
  <r>
    <x v="595"/>
    <x v="2"/>
    <x v="1"/>
    <x v="11"/>
    <x v="1"/>
    <x v="68"/>
    <x v="3"/>
    <x v="1"/>
    <x v="1"/>
    <x v="3"/>
  </r>
  <r>
    <x v="596"/>
    <x v="2"/>
    <x v="1"/>
    <x v="11"/>
    <x v="1"/>
    <x v="26"/>
    <x v="11"/>
    <x v="1"/>
    <x v="1"/>
    <x v="3"/>
  </r>
  <r>
    <x v="597"/>
    <x v="0"/>
    <x v="4"/>
    <x v="29"/>
    <x v="2"/>
    <x v="139"/>
    <x v="8"/>
    <x v="1"/>
    <x v="0"/>
    <x v="0"/>
  </r>
  <r>
    <x v="598"/>
    <x v="2"/>
    <x v="1"/>
    <x v="17"/>
    <x v="1"/>
    <x v="119"/>
    <x v="88"/>
    <x v="2"/>
    <x v="0"/>
    <x v="3"/>
  </r>
  <r>
    <x v="599"/>
    <x v="2"/>
    <x v="1"/>
    <x v="4"/>
    <x v="1"/>
    <x v="40"/>
    <x v="56"/>
    <x v="2"/>
    <x v="1"/>
    <x v="3"/>
  </r>
  <r>
    <x v="600"/>
    <x v="2"/>
    <x v="1"/>
    <x v="11"/>
    <x v="1"/>
    <x v="39"/>
    <x v="113"/>
    <x v="0"/>
    <x v="1"/>
    <x v="3"/>
  </r>
  <r>
    <x v="601"/>
    <x v="2"/>
    <x v="1"/>
    <x v="11"/>
    <x v="1"/>
    <x v="37"/>
    <x v="115"/>
    <x v="0"/>
    <x v="1"/>
    <x v="3"/>
  </r>
  <r>
    <x v="602"/>
    <x v="3"/>
    <x v="0"/>
    <x v="53"/>
    <x v="0"/>
    <x v="37"/>
    <x v="38"/>
    <x v="1"/>
    <x v="1"/>
    <x v="2"/>
  </r>
  <r>
    <x v="603"/>
    <x v="3"/>
    <x v="0"/>
    <x v="12"/>
    <x v="1"/>
    <x v="66"/>
    <x v="19"/>
    <x v="1"/>
    <x v="1"/>
    <x v="2"/>
  </r>
  <r>
    <x v="604"/>
    <x v="2"/>
    <x v="1"/>
    <x v="16"/>
    <x v="1"/>
    <x v="59"/>
    <x v="66"/>
    <x v="2"/>
    <x v="1"/>
    <x v="3"/>
  </r>
  <r>
    <x v="605"/>
    <x v="3"/>
    <x v="0"/>
    <x v="31"/>
    <x v="2"/>
    <x v="26"/>
    <x v="13"/>
    <x v="1"/>
    <x v="1"/>
    <x v="2"/>
  </r>
  <r>
    <x v="606"/>
    <x v="3"/>
    <x v="0"/>
    <x v="22"/>
    <x v="2"/>
    <x v="130"/>
    <x v="83"/>
    <x v="2"/>
    <x v="0"/>
    <x v="3"/>
  </r>
  <r>
    <x v="607"/>
    <x v="3"/>
    <x v="0"/>
    <x v="11"/>
    <x v="1"/>
    <x v="64"/>
    <x v="17"/>
    <x v="1"/>
    <x v="1"/>
    <x v="2"/>
  </r>
  <r>
    <x v="608"/>
    <x v="1"/>
    <x v="4"/>
    <x v="15"/>
    <x v="1"/>
    <x v="26"/>
    <x v="79"/>
    <x v="2"/>
    <x v="1"/>
    <x v="0"/>
  </r>
  <r>
    <x v="609"/>
    <x v="1"/>
    <x v="4"/>
    <x v="16"/>
    <x v="1"/>
    <x v="89"/>
    <x v="8"/>
    <x v="1"/>
    <x v="0"/>
    <x v="0"/>
  </r>
  <r>
    <x v="610"/>
    <x v="2"/>
    <x v="1"/>
    <x v="18"/>
    <x v="1"/>
    <x v="132"/>
    <x v="48"/>
    <x v="2"/>
    <x v="0"/>
    <x v="3"/>
  </r>
  <r>
    <x v="611"/>
    <x v="2"/>
    <x v="1"/>
    <x v="20"/>
    <x v="2"/>
    <x v="92"/>
    <x v="13"/>
    <x v="1"/>
    <x v="0"/>
    <x v="3"/>
  </r>
  <r>
    <x v="612"/>
    <x v="2"/>
    <x v="1"/>
    <x v="26"/>
    <x v="2"/>
    <x v="40"/>
    <x v="31"/>
    <x v="1"/>
    <x v="1"/>
    <x v="3"/>
  </r>
  <r>
    <x v="613"/>
    <x v="3"/>
    <x v="0"/>
    <x v="40"/>
    <x v="0"/>
    <x v="46"/>
    <x v="29"/>
    <x v="1"/>
    <x v="1"/>
    <x v="2"/>
  </r>
  <r>
    <x v="614"/>
    <x v="3"/>
    <x v="0"/>
    <x v="20"/>
    <x v="2"/>
    <x v="17"/>
    <x v="27"/>
    <x v="1"/>
    <x v="1"/>
    <x v="2"/>
  </r>
  <r>
    <x v="615"/>
    <x v="2"/>
    <x v="1"/>
    <x v="22"/>
    <x v="2"/>
    <x v="131"/>
    <x v="79"/>
    <x v="2"/>
    <x v="0"/>
    <x v="3"/>
  </r>
  <r>
    <x v="616"/>
    <x v="2"/>
    <x v="1"/>
    <x v="12"/>
    <x v="1"/>
    <x v="49"/>
    <x v="105"/>
    <x v="0"/>
    <x v="1"/>
    <x v="3"/>
  </r>
  <r>
    <x v="617"/>
    <x v="2"/>
    <x v="1"/>
    <x v="11"/>
    <x v="1"/>
    <x v="74"/>
    <x v="27"/>
    <x v="1"/>
    <x v="1"/>
    <x v="3"/>
  </r>
  <r>
    <x v="618"/>
    <x v="2"/>
    <x v="1"/>
    <x v="11"/>
    <x v="1"/>
    <x v="33"/>
    <x v="42"/>
    <x v="1"/>
    <x v="1"/>
    <x v="3"/>
  </r>
  <r>
    <x v="619"/>
    <x v="2"/>
    <x v="1"/>
    <x v="17"/>
    <x v="1"/>
    <x v="84"/>
    <x v="71"/>
    <x v="2"/>
    <x v="0"/>
    <x v="3"/>
  </r>
  <r>
    <x v="620"/>
    <x v="3"/>
    <x v="0"/>
    <x v="7"/>
    <x v="1"/>
    <x v="40"/>
    <x v="28"/>
    <x v="1"/>
    <x v="1"/>
    <x v="2"/>
  </r>
  <r>
    <x v="621"/>
    <x v="2"/>
    <x v="1"/>
    <x v="20"/>
    <x v="2"/>
    <x v="36"/>
    <x v="43"/>
    <x v="1"/>
    <x v="1"/>
    <x v="3"/>
  </r>
  <r>
    <x v="622"/>
    <x v="2"/>
    <x v="1"/>
    <x v="15"/>
    <x v="1"/>
    <x v="48"/>
    <x v="16"/>
    <x v="1"/>
    <x v="1"/>
    <x v="3"/>
  </r>
  <r>
    <x v="623"/>
    <x v="2"/>
    <x v="1"/>
    <x v="12"/>
    <x v="1"/>
    <x v="68"/>
    <x v="39"/>
    <x v="1"/>
    <x v="1"/>
    <x v="3"/>
  </r>
  <r>
    <x v="624"/>
    <x v="2"/>
    <x v="1"/>
    <x v="7"/>
    <x v="1"/>
    <x v="39"/>
    <x v="100"/>
    <x v="0"/>
    <x v="1"/>
    <x v="3"/>
  </r>
  <r>
    <x v="625"/>
    <x v="2"/>
    <x v="1"/>
    <x v="20"/>
    <x v="2"/>
    <x v="32"/>
    <x v="42"/>
    <x v="1"/>
    <x v="1"/>
    <x v="3"/>
  </r>
  <r>
    <x v="626"/>
    <x v="2"/>
    <x v="1"/>
    <x v="12"/>
    <x v="1"/>
    <x v="17"/>
    <x v="117"/>
    <x v="0"/>
    <x v="1"/>
    <x v="3"/>
  </r>
  <r>
    <x v="627"/>
    <x v="1"/>
    <x v="4"/>
    <x v="36"/>
    <x v="2"/>
    <x v="136"/>
    <x v="6"/>
    <x v="1"/>
    <x v="0"/>
    <x v="0"/>
  </r>
  <r>
    <x v="628"/>
    <x v="2"/>
    <x v="1"/>
    <x v="25"/>
    <x v="2"/>
    <x v="68"/>
    <x v="7"/>
    <x v="1"/>
    <x v="1"/>
    <x v="3"/>
  </r>
  <r>
    <x v="629"/>
    <x v="3"/>
    <x v="0"/>
    <x v="35"/>
    <x v="2"/>
    <x v="80"/>
    <x v="43"/>
    <x v="1"/>
    <x v="0"/>
    <x v="3"/>
  </r>
  <r>
    <x v="630"/>
    <x v="2"/>
    <x v="1"/>
    <x v="12"/>
    <x v="1"/>
    <x v="50"/>
    <x v="5"/>
    <x v="1"/>
    <x v="1"/>
    <x v="3"/>
  </r>
  <r>
    <x v="631"/>
    <x v="3"/>
    <x v="0"/>
    <x v="52"/>
    <x v="0"/>
    <x v="109"/>
    <x v="52"/>
    <x v="2"/>
    <x v="0"/>
    <x v="3"/>
  </r>
  <r>
    <x v="632"/>
    <x v="2"/>
    <x v="1"/>
    <x v="15"/>
    <x v="1"/>
    <x v="47"/>
    <x v="31"/>
    <x v="1"/>
    <x v="1"/>
    <x v="3"/>
  </r>
  <r>
    <x v="633"/>
    <x v="2"/>
    <x v="1"/>
    <x v="39"/>
    <x v="0"/>
    <x v="111"/>
    <x v="8"/>
    <x v="1"/>
    <x v="0"/>
    <x v="3"/>
  </r>
  <r>
    <x v="634"/>
    <x v="2"/>
    <x v="1"/>
    <x v="15"/>
    <x v="1"/>
    <x v="103"/>
    <x v="13"/>
    <x v="1"/>
    <x v="0"/>
    <x v="3"/>
  </r>
  <r>
    <x v="635"/>
    <x v="2"/>
    <x v="1"/>
    <x v="12"/>
    <x v="1"/>
    <x v="35"/>
    <x v="66"/>
    <x v="2"/>
    <x v="1"/>
    <x v="3"/>
  </r>
  <r>
    <x v="636"/>
    <x v="2"/>
    <x v="1"/>
    <x v="10"/>
    <x v="1"/>
    <x v="48"/>
    <x v="33"/>
    <x v="1"/>
    <x v="1"/>
    <x v="3"/>
  </r>
  <r>
    <x v="637"/>
    <x v="2"/>
    <x v="1"/>
    <x v="12"/>
    <x v="1"/>
    <x v="124"/>
    <x v="16"/>
    <x v="1"/>
    <x v="0"/>
    <x v="3"/>
  </r>
  <r>
    <x v="638"/>
    <x v="3"/>
    <x v="0"/>
    <x v="10"/>
    <x v="1"/>
    <x v="54"/>
    <x v="52"/>
    <x v="2"/>
    <x v="1"/>
    <x v="2"/>
  </r>
  <r>
    <x v="639"/>
    <x v="2"/>
    <x v="1"/>
    <x v="7"/>
    <x v="1"/>
    <x v="36"/>
    <x v="98"/>
    <x v="0"/>
    <x v="1"/>
    <x v="3"/>
  </r>
  <r>
    <x v="640"/>
    <x v="2"/>
    <x v="1"/>
    <x v="10"/>
    <x v="1"/>
    <x v="74"/>
    <x v="32"/>
    <x v="1"/>
    <x v="1"/>
    <x v="3"/>
  </r>
  <r>
    <x v="641"/>
    <x v="3"/>
    <x v="0"/>
    <x v="39"/>
    <x v="0"/>
    <x v="88"/>
    <x v="10"/>
    <x v="1"/>
    <x v="0"/>
    <x v="3"/>
  </r>
  <r>
    <x v="642"/>
    <x v="2"/>
    <x v="1"/>
    <x v="12"/>
    <x v="1"/>
    <x v="44"/>
    <x v="126"/>
    <x v="0"/>
    <x v="1"/>
    <x v="3"/>
  </r>
  <r>
    <x v="643"/>
    <x v="2"/>
    <x v="1"/>
    <x v="7"/>
    <x v="1"/>
    <x v="59"/>
    <x v="12"/>
    <x v="1"/>
    <x v="1"/>
    <x v="3"/>
  </r>
  <r>
    <x v="644"/>
    <x v="2"/>
    <x v="1"/>
    <x v="20"/>
    <x v="2"/>
    <x v="30"/>
    <x v="95"/>
    <x v="0"/>
    <x v="1"/>
    <x v="3"/>
  </r>
  <r>
    <x v="645"/>
    <x v="2"/>
    <x v="1"/>
    <x v="12"/>
    <x v="1"/>
    <x v="27"/>
    <x v="95"/>
    <x v="0"/>
    <x v="1"/>
    <x v="3"/>
  </r>
  <r>
    <x v="646"/>
    <x v="3"/>
    <x v="0"/>
    <x v="12"/>
    <x v="1"/>
    <x v="42"/>
    <x v="22"/>
    <x v="1"/>
    <x v="1"/>
    <x v="2"/>
  </r>
  <r>
    <x v="647"/>
    <x v="3"/>
    <x v="0"/>
    <x v="4"/>
    <x v="1"/>
    <x v="21"/>
    <x v="51"/>
    <x v="2"/>
    <x v="1"/>
    <x v="2"/>
  </r>
  <r>
    <x v="648"/>
    <x v="2"/>
    <x v="1"/>
    <x v="11"/>
    <x v="1"/>
    <x v="20"/>
    <x v="62"/>
    <x v="2"/>
    <x v="1"/>
    <x v="3"/>
  </r>
  <r>
    <x v="649"/>
    <x v="3"/>
    <x v="0"/>
    <x v="15"/>
    <x v="1"/>
    <x v="41"/>
    <x v="25"/>
    <x v="1"/>
    <x v="1"/>
    <x v="2"/>
  </r>
  <r>
    <x v="650"/>
    <x v="2"/>
    <x v="1"/>
    <x v="12"/>
    <x v="1"/>
    <x v="66"/>
    <x v="34"/>
    <x v="1"/>
    <x v="1"/>
    <x v="3"/>
  </r>
  <r>
    <x v="651"/>
    <x v="2"/>
    <x v="1"/>
    <x v="11"/>
    <x v="1"/>
    <x v="45"/>
    <x v="60"/>
    <x v="2"/>
    <x v="1"/>
    <x v="3"/>
  </r>
  <r>
    <x v="652"/>
    <x v="3"/>
    <x v="0"/>
    <x v="6"/>
    <x v="1"/>
    <x v="39"/>
    <x v="26"/>
    <x v="1"/>
    <x v="1"/>
    <x v="2"/>
  </r>
  <r>
    <x v="653"/>
    <x v="3"/>
    <x v="0"/>
    <x v="29"/>
    <x v="2"/>
    <x v="117"/>
    <x v="41"/>
    <x v="1"/>
    <x v="0"/>
    <x v="3"/>
  </r>
  <r>
    <x v="654"/>
    <x v="3"/>
    <x v="0"/>
    <x v="36"/>
    <x v="2"/>
    <x v="126"/>
    <x v="27"/>
    <x v="1"/>
    <x v="0"/>
    <x v="3"/>
  </r>
  <r>
    <x v="655"/>
    <x v="2"/>
    <x v="1"/>
    <x v="17"/>
    <x v="1"/>
    <x v="110"/>
    <x v="25"/>
    <x v="1"/>
    <x v="0"/>
    <x v="3"/>
  </r>
  <r>
    <x v="656"/>
    <x v="2"/>
    <x v="1"/>
    <x v="7"/>
    <x v="1"/>
    <x v="32"/>
    <x v="83"/>
    <x v="2"/>
    <x v="1"/>
    <x v="3"/>
  </r>
  <r>
    <x v="657"/>
    <x v="2"/>
    <x v="1"/>
    <x v="16"/>
    <x v="1"/>
    <x v="52"/>
    <x v="98"/>
    <x v="0"/>
    <x v="1"/>
    <x v="3"/>
  </r>
  <r>
    <x v="658"/>
    <x v="2"/>
    <x v="1"/>
    <x v="15"/>
    <x v="1"/>
    <x v="67"/>
    <x v="29"/>
    <x v="1"/>
    <x v="1"/>
    <x v="3"/>
  </r>
  <r>
    <x v="659"/>
    <x v="3"/>
    <x v="0"/>
    <x v="20"/>
    <x v="2"/>
    <x v="76"/>
    <x v="13"/>
    <x v="1"/>
    <x v="1"/>
    <x v="2"/>
  </r>
  <r>
    <x v="660"/>
    <x v="3"/>
    <x v="0"/>
    <x v="12"/>
    <x v="1"/>
    <x v="72"/>
    <x v="38"/>
    <x v="1"/>
    <x v="1"/>
    <x v="2"/>
  </r>
  <r>
    <x v="661"/>
    <x v="3"/>
    <x v="0"/>
    <x v="12"/>
    <x v="1"/>
    <x v="70"/>
    <x v="42"/>
    <x v="1"/>
    <x v="1"/>
    <x v="2"/>
  </r>
  <r>
    <x v="662"/>
    <x v="2"/>
    <x v="1"/>
    <x v="11"/>
    <x v="1"/>
    <x v="54"/>
    <x v="68"/>
    <x v="2"/>
    <x v="1"/>
    <x v="3"/>
  </r>
  <r>
    <x v="663"/>
    <x v="2"/>
    <x v="1"/>
    <x v="12"/>
    <x v="1"/>
    <x v="56"/>
    <x v="92"/>
    <x v="2"/>
    <x v="1"/>
    <x v="3"/>
  </r>
  <r>
    <x v="664"/>
    <x v="3"/>
    <x v="0"/>
    <x v="16"/>
    <x v="1"/>
    <x v="54"/>
    <x v="89"/>
    <x v="2"/>
    <x v="1"/>
    <x v="2"/>
  </r>
  <r>
    <x v="665"/>
    <x v="2"/>
    <x v="1"/>
    <x v="15"/>
    <x v="1"/>
    <x v="80"/>
    <x v="26"/>
    <x v="1"/>
    <x v="0"/>
    <x v="3"/>
  </r>
  <r>
    <x v="666"/>
    <x v="2"/>
    <x v="1"/>
    <x v="11"/>
    <x v="1"/>
    <x v="73"/>
    <x v="130"/>
    <x v="0"/>
    <x v="1"/>
    <x v="3"/>
  </r>
  <r>
    <x v="667"/>
    <x v="2"/>
    <x v="1"/>
    <x v="11"/>
    <x v="1"/>
    <x v="50"/>
    <x v="131"/>
    <x v="0"/>
    <x v="1"/>
    <x v="3"/>
  </r>
  <r>
    <x v="668"/>
    <x v="3"/>
    <x v="0"/>
    <x v="12"/>
    <x v="1"/>
    <x v="29"/>
    <x v="38"/>
    <x v="1"/>
    <x v="1"/>
    <x v="2"/>
  </r>
  <r>
    <x v="669"/>
    <x v="3"/>
    <x v="0"/>
    <x v="12"/>
    <x v="1"/>
    <x v="29"/>
    <x v="39"/>
    <x v="1"/>
    <x v="1"/>
    <x v="2"/>
  </r>
  <r>
    <x v="670"/>
    <x v="2"/>
    <x v="1"/>
    <x v="20"/>
    <x v="2"/>
    <x v="127"/>
    <x v="10"/>
    <x v="1"/>
    <x v="0"/>
    <x v="3"/>
  </r>
  <r>
    <x v="671"/>
    <x v="3"/>
    <x v="0"/>
    <x v="24"/>
    <x v="2"/>
    <x v="89"/>
    <x v="42"/>
    <x v="1"/>
    <x v="0"/>
    <x v="3"/>
  </r>
  <r>
    <x v="672"/>
    <x v="3"/>
    <x v="0"/>
    <x v="24"/>
    <x v="2"/>
    <x v="63"/>
    <x v="12"/>
    <x v="1"/>
    <x v="1"/>
    <x v="2"/>
  </r>
  <r>
    <x v="673"/>
    <x v="2"/>
    <x v="1"/>
    <x v="26"/>
    <x v="2"/>
    <x v="33"/>
    <x v="28"/>
    <x v="1"/>
    <x v="1"/>
    <x v="3"/>
  </r>
  <r>
    <x v="674"/>
    <x v="2"/>
    <x v="1"/>
    <x v="17"/>
    <x v="1"/>
    <x v="43"/>
    <x v="87"/>
    <x v="2"/>
    <x v="1"/>
    <x v="3"/>
  </r>
  <r>
    <x v="675"/>
    <x v="3"/>
    <x v="0"/>
    <x v="11"/>
    <x v="1"/>
    <x v="50"/>
    <x v="39"/>
    <x v="1"/>
    <x v="1"/>
    <x v="2"/>
  </r>
  <r>
    <x v="676"/>
    <x v="2"/>
    <x v="1"/>
    <x v="17"/>
    <x v="1"/>
    <x v="36"/>
    <x v="31"/>
    <x v="1"/>
    <x v="1"/>
    <x v="3"/>
  </r>
  <r>
    <x v="677"/>
    <x v="2"/>
    <x v="1"/>
    <x v="20"/>
    <x v="2"/>
    <x v="100"/>
    <x v="91"/>
    <x v="2"/>
    <x v="0"/>
    <x v="3"/>
  </r>
  <r>
    <x v="678"/>
    <x v="2"/>
    <x v="1"/>
    <x v="17"/>
    <x v="1"/>
    <x v="54"/>
    <x v="80"/>
    <x v="2"/>
    <x v="1"/>
    <x v="3"/>
  </r>
  <r>
    <x v="679"/>
    <x v="2"/>
    <x v="1"/>
    <x v="12"/>
    <x v="1"/>
    <x v="22"/>
    <x v="55"/>
    <x v="2"/>
    <x v="1"/>
    <x v="3"/>
  </r>
  <r>
    <x v="680"/>
    <x v="3"/>
    <x v="0"/>
    <x v="22"/>
    <x v="2"/>
    <x v="48"/>
    <x v="52"/>
    <x v="2"/>
    <x v="1"/>
    <x v="2"/>
  </r>
  <r>
    <x v="681"/>
    <x v="2"/>
    <x v="1"/>
    <x v="10"/>
    <x v="1"/>
    <x v="62"/>
    <x v="110"/>
    <x v="0"/>
    <x v="1"/>
    <x v="3"/>
  </r>
  <r>
    <x v="682"/>
    <x v="3"/>
    <x v="0"/>
    <x v="16"/>
    <x v="1"/>
    <x v="25"/>
    <x v="77"/>
    <x v="2"/>
    <x v="1"/>
    <x v="2"/>
  </r>
  <r>
    <x v="683"/>
    <x v="2"/>
    <x v="1"/>
    <x v="15"/>
    <x v="1"/>
    <x v="64"/>
    <x v="120"/>
    <x v="0"/>
    <x v="1"/>
    <x v="3"/>
  </r>
  <r>
    <x v="684"/>
    <x v="3"/>
    <x v="0"/>
    <x v="16"/>
    <x v="1"/>
    <x v="58"/>
    <x v="82"/>
    <x v="2"/>
    <x v="1"/>
    <x v="2"/>
  </r>
  <r>
    <x v="685"/>
    <x v="2"/>
    <x v="1"/>
    <x v="31"/>
    <x v="2"/>
    <x v="56"/>
    <x v="7"/>
    <x v="1"/>
    <x v="1"/>
    <x v="3"/>
  </r>
  <r>
    <x v="686"/>
    <x v="3"/>
    <x v="0"/>
    <x v="50"/>
    <x v="0"/>
    <x v="11"/>
    <x v="20"/>
    <x v="1"/>
    <x v="1"/>
    <x v="2"/>
  </r>
  <r>
    <x v="687"/>
    <x v="2"/>
    <x v="1"/>
    <x v="23"/>
    <x v="2"/>
    <x v="114"/>
    <x v="54"/>
    <x v="2"/>
    <x v="0"/>
    <x v="3"/>
  </r>
  <r>
    <x v="688"/>
    <x v="2"/>
    <x v="1"/>
    <x v="15"/>
    <x v="1"/>
    <x v="36"/>
    <x v="58"/>
    <x v="2"/>
    <x v="1"/>
    <x v="3"/>
  </r>
  <r>
    <x v="689"/>
    <x v="4"/>
    <x v="3"/>
    <x v="31"/>
    <x v="2"/>
    <x v="25"/>
    <x v="36"/>
    <x v="1"/>
    <x v="1"/>
    <x v="2"/>
  </r>
  <r>
    <x v="690"/>
    <x v="3"/>
    <x v="0"/>
    <x v="29"/>
    <x v="2"/>
    <x v="41"/>
    <x v="8"/>
    <x v="1"/>
    <x v="1"/>
    <x v="2"/>
  </r>
  <r>
    <x v="691"/>
    <x v="2"/>
    <x v="1"/>
    <x v="11"/>
    <x v="1"/>
    <x v="58"/>
    <x v="101"/>
    <x v="0"/>
    <x v="1"/>
    <x v="3"/>
  </r>
  <r>
    <x v="692"/>
    <x v="2"/>
    <x v="1"/>
    <x v="20"/>
    <x v="2"/>
    <x v="47"/>
    <x v="11"/>
    <x v="1"/>
    <x v="1"/>
    <x v="3"/>
  </r>
  <r>
    <x v="693"/>
    <x v="4"/>
    <x v="3"/>
    <x v="54"/>
    <x v="0"/>
    <x v="53"/>
    <x v="81"/>
    <x v="2"/>
    <x v="1"/>
    <x v="1"/>
  </r>
  <r>
    <x v="694"/>
    <x v="3"/>
    <x v="0"/>
    <x v="15"/>
    <x v="1"/>
    <x v="48"/>
    <x v="40"/>
    <x v="1"/>
    <x v="1"/>
    <x v="2"/>
  </r>
  <r>
    <x v="695"/>
    <x v="3"/>
    <x v="0"/>
    <x v="18"/>
    <x v="1"/>
    <x v="43"/>
    <x v="12"/>
    <x v="1"/>
    <x v="1"/>
    <x v="2"/>
  </r>
  <r>
    <x v="696"/>
    <x v="4"/>
    <x v="3"/>
    <x v="53"/>
    <x v="0"/>
    <x v="12"/>
    <x v="4"/>
    <x v="1"/>
    <x v="1"/>
    <x v="1"/>
  </r>
  <r>
    <x v="697"/>
    <x v="4"/>
    <x v="3"/>
    <x v="50"/>
    <x v="0"/>
    <x v="9"/>
    <x v="4"/>
    <x v="1"/>
    <x v="1"/>
    <x v="1"/>
  </r>
  <r>
    <x v="698"/>
    <x v="2"/>
    <x v="1"/>
    <x v="7"/>
    <x v="1"/>
    <x v="44"/>
    <x v="6"/>
    <x v="1"/>
    <x v="1"/>
    <x v="3"/>
  </r>
  <r>
    <x v="699"/>
    <x v="3"/>
    <x v="0"/>
    <x v="24"/>
    <x v="2"/>
    <x v="39"/>
    <x v="9"/>
    <x v="1"/>
    <x v="1"/>
    <x v="2"/>
  </r>
  <r>
    <x v="700"/>
    <x v="2"/>
    <x v="1"/>
    <x v="26"/>
    <x v="2"/>
    <x v="40"/>
    <x v="8"/>
    <x v="1"/>
    <x v="1"/>
    <x v="3"/>
  </r>
  <r>
    <x v="701"/>
    <x v="3"/>
    <x v="0"/>
    <x v="32"/>
    <x v="2"/>
    <x v="41"/>
    <x v="18"/>
    <x v="1"/>
    <x v="1"/>
    <x v="2"/>
  </r>
  <r>
    <x v="702"/>
    <x v="2"/>
    <x v="1"/>
    <x v="31"/>
    <x v="2"/>
    <x v="35"/>
    <x v="32"/>
    <x v="1"/>
    <x v="1"/>
    <x v="3"/>
  </r>
  <r>
    <x v="703"/>
    <x v="1"/>
    <x v="4"/>
    <x v="38"/>
    <x v="2"/>
    <x v="27"/>
    <x v="1"/>
    <x v="1"/>
    <x v="1"/>
    <x v="0"/>
  </r>
  <r>
    <x v="704"/>
    <x v="3"/>
    <x v="0"/>
    <x v="37"/>
    <x v="2"/>
    <x v="30"/>
    <x v="35"/>
    <x v="1"/>
    <x v="1"/>
    <x v="2"/>
  </r>
  <r>
    <x v="705"/>
    <x v="3"/>
    <x v="0"/>
    <x v="26"/>
    <x v="2"/>
    <x v="42"/>
    <x v="24"/>
    <x v="1"/>
    <x v="1"/>
    <x v="2"/>
  </r>
  <r>
    <x v="706"/>
    <x v="3"/>
    <x v="0"/>
    <x v="43"/>
    <x v="0"/>
    <x v="13"/>
    <x v="21"/>
    <x v="1"/>
    <x v="1"/>
    <x v="2"/>
  </r>
  <r>
    <x v="707"/>
    <x v="2"/>
    <x v="1"/>
    <x v="11"/>
    <x v="1"/>
    <x v="79"/>
    <x v="41"/>
    <x v="1"/>
    <x v="0"/>
    <x v="3"/>
  </r>
  <r>
    <x v="708"/>
    <x v="2"/>
    <x v="1"/>
    <x v="15"/>
    <x v="1"/>
    <x v="68"/>
    <x v="53"/>
    <x v="2"/>
    <x v="1"/>
    <x v="3"/>
  </r>
  <r>
    <x v="709"/>
    <x v="2"/>
    <x v="1"/>
    <x v="16"/>
    <x v="1"/>
    <x v="73"/>
    <x v="16"/>
    <x v="1"/>
    <x v="1"/>
    <x v="3"/>
  </r>
  <r>
    <x v="710"/>
    <x v="4"/>
    <x v="3"/>
    <x v="63"/>
    <x v="0"/>
    <x v="32"/>
    <x v="36"/>
    <x v="1"/>
    <x v="1"/>
    <x v="1"/>
  </r>
  <r>
    <x v="711"/>
    <x v="2"/>
    <x v="1"/>
    <x v="17"/>
    <x v="1"/>
    <x v="45"/>
    <x v="30"/>
    <x v="1"/>
    <x v="1"/>
    <x v="3"/>
  </r>
  <r>
    <x v="712"/>
    <x v="2"/>
    <x v="1"/>
    <x v="24"/>
    <x v="2"/>
    <x v="39"/>
    <x v="10"/>
    <x v="1"/>
    <x v="1"/>
    <x v="3"/>
  </r>
  <r>
    <x v="713"/>
    <x v="2"/>
    <x v="1"/>
    <x v="29"/>
    <x v="2"/>
    <x v="36"/>
    <x v="31"/>
    <x v="1"/>
    <x v="1"/>
    <x v="3"/>
  </r>
  <r>
    <x v="714"/>
    <x v="4"/>
    <x v="3"/>
    <x v="33"/>
    <x v="2"/>
    <x v="11"/>
    <x v="2"/>
    <x v="1"/>
    <x v="1"/>
    <x v="2"/>
  </r>
  <r>
    <x v="715"/>
    <x v="5"/>
    <x v="2"/>
    <x v="52"/>
    <x v="0"/>
    <x v="50"/>
    <x v="39"/>
    <x v="1"/>
    <x v="1"/>
    <x v="1"/>
  </r>
  <r>
    <x v="716"/>
    <x v="3"/>
    <x v="0"/>
    <x v="35"/>
    <x v="2"/>
    <x v="58"/>
    <x v="18"/>
    <x v="1"/>
    <x v="1"/>
    <x v="2"/>
  </r>
  <r>
    <x v="717"/>
    <x v="1"/>
    <x v="4"/>
    <x v="32"/>
    <x v="2"/>
    <x v="73"/>
    <x v="3"/>
    <x v="1"/>
    <x v="1"/>
    <x v="0"/>
  </r>
  <r>
    <x v="718"/>
    <x v="0"/>
    <x v="4"/>
    <x v="18"/>
    <x v="1"/>
    <x v="34"/>
    <x v="42"/>
    <x v="1"/>
    <x v="1"/>
    <x v="0"/>
  </r>
  <r>
    <x v="719"/>
    <x v="1"/>
    <x v="4"/>
    <x v="18"/>
    <x v="1"/>
    <x v="37"/>
    <x v="45"/>
    <x v="2"/>
    <x v="1"/>
    <x v="0"/>
  </r>
  <r>
    <x v="720"/>
    <x v="2"/>
    <x v="1"/>
    <x v="11"/>
    <x v="1"/>
    <x v="73"/>
    <x v="17"/>
    <x v="1"/>
    <x v="1"/>
    <x v="3"/>
  </r>
  <r>
    <x v="721"/>
    <x v="2"/>
    <x v="1"/>
    <x v="10"/>
    <x v="1"/>
    <x v="69"/>
    <x v="49"/>
    <x v="2"/>
    <x v="1"/>
    <x v="3"/>
  </r>
  <r>
    <x v="722"/>
    <x v="4"/>
    <x v="3"/>
    <x v="41"/>
    <x v="0"/>
    <x v="12"/>
    <x v="94"/>
    <x v="2"/>
    <x v="1"/>
    <x v="1"/>
  </r>
  <r>
    <x v="723"/>
    <x v="4"/>
    <x v="3"/>
    <x v="36"/>
    <x v="2"/>
    <x v="17"/>
    <x v="22"/>
    <x v="1"/>
    <x v="1"/>
    <x v="2"/>
  </r>
  <r>
    <x v="724"/>
    <x v="2"/>
    <x v="1"/>
    <x v="20"/>
    <x v="2"/>
    <x v="41"/>
    <x v="20"/>
    <x v="1"/>
    <x v="1"/>
    <x v="3"/>
  </r>
  <r>
    <x v="725"/>
    <x v="4"/>
    <x v="3"/>
    <x v="46"/>
    <x v="0"/>
    <x v="32"/>
    <x v="28"/>
    <x v="1"/>
    <x v="1"/>
    <x v="1"/>
  </r>
  <r>
    <x v="726"/>
    <x v="2"/>
    <x v="1"/>
    <x v="24"/>
    <x v="2"/>
    <x v="68"/>
    <x v="25"/>
    <x v="1"/>
    <x v="1"/>
    <x v="3"/>
  </r>
  <r>
    <x v="727"/>
    <x v="3"/>
    <x v="0"/>
    <x v="32"/>
    <x v="2"/>
    <x v="41"/>
    <x v="62"/>
    <x v="2"/>
    <x v="1"/>
    <x v="2"/>
  </r>
  <r>
    <x v="728"/>
    <x v="2"/>
    <x v="1"/>
    <x v="11"/>
    <x v="1"/>
    <x v="73"/>
    <x v="87"/>
    <x v="2"/>
    <x v="1"/>
    <x v="3"/>
  </r>
  <r>
    <x v="729"/>
    <x v="3"/>
    <x v="0"/>
    <x v="28"/>
    <x v="2"/>
    <x v="9"/>
    <x v="36"/>
    <x v="1"/>
    <x v="1"/>
    <x v="2"/>
  </r>
  <r>
    <x v="730"/>
    <x v="2"/>
    <x v="1"/>
    <x v="17"/>
    <x v="1"/>
    <x v="64"/>
    <x v="25"/>
    <x v="1"/>
    <x v="1"/>
    <x v="3"/>
  </r>
  <r>
    <x v="731"/>
    <x v="3"/>
    <x v="0"/>
    <x v="18"/>
    <x v="1"/>
    <x v="72"/>
    <x v="33"/>
    <x v="1"/>
    <x v="1"/>
    <x v="2"/>
  </r>
  <r>
    <x v="732"/>
    <x v="2"/>
    <x v="1"/>
    <x v="17"/>
    <x v="1"/>
    <x v="62"/>
    <x v="26"/>
    <x v="1"/>
    <x v="1"/>
    <x v="3"/>
  </r>
  <r>
    <x v="733"/>
    <x v="2"/>
    <x v="1"/>
    <x v="12"/>
    <x v="1"/>
    <x v="33"/>
    <x v="16"/>
    <x v="1"/>
    <x v="1"/>
    <x v="3"/>
  </r>
  <r>
    <x v="734"/>
    <x v="2"/>
    <x v="1"/>
    <x v="16"/>
    <x v="1"/>
    <x v="32"/>
    <x v="113"/>
    <x v="0"/>
    <x v="1"/>
    <x v="3"/>
  </r>
  <r>
    <x v="735"/>
    <x v="3"/>
    <x v="0"/>
    <x v="32"/>
    <x v="2"/>
    <x v="23"/>
    <x v="49"/>
    <x v="2"/>
    <x v="1"/>
    <x v="2"/>
  </r>
  <r>
    <x v="736"/>
    <x v="4"/>
    <x v="3"/>
    <x v="41"/>
    <x v="0"/>
    <x v="83"/>
    <x v="8"/>
    <x v="1"/>
    <x v="0"/>
    <x v="1"/>
  </r>
  <r>
    <x v="737"/>
    <x v="4"/>
    <x v="3"/>
    <x v="37"/>
    <x v="2"/>
    <x v="10"/>
    <x v="41"/>
    <x v="1"/>
    <x v="1"/>
    <x v="2"/>
  </r>
  <r>
    <x v="738"/>
    <x v="4"/>
    <x v="3"/>
    <x v="28"/>
    <x v="2"/>
    <x v="12"/>
    <x v="26"/>
    <x v="1"/>
    <x v="1"/>
    <x v="2"/>
  </r>
  <r>
    <x v="739"/>
    <x v="3"/>
    <x v="0"/>
    <x v="36"/>
    <x v="2"/>
    <x v="48"/>
    <x v="18"/>
    <x v="1"/>
    <x v="1"/>
    <x v="2"/>
  </r>
  <r>
    <x v="740"/>
    <x v="2"/>
    <x v="1"/>
    <x v="12"/>
    <x v="1"/>
    <x v="60"/>
    <x v="80"/>
    <x v="2"/>
    <x v="1"/>
    <x v="3"/>
  </r>
  <r>
    <x v="741"/>
    <x v="3"/>
    <x v="0"/>
    <x v="39"/>
    <x v="0"/>
    <x v="129"/>
    <x v="83"/>
    <x v="2"/>
    <x v="0"/>
    <x v="3"/>
  </r>
  <r>
    <x v="742"/>
    <x v="2"/>
    <x v="1"/>
    <x v="25"/>
    <x v="2"/>
    <x v="32"/>
    <x v="19"/>
    <x v="1"/>
    <x v="1"/>
    <x v="3"/>
  </r>
  <r>
    <x v="743"/>
    <x v="2"/>
    <x v="1"/>
    <x v="16"/>
    <x v="1"/>
    <x v="60"/>
    <x v="79"/>
    <x v="2"/>
    <x v="1"/>
    <x v="3"/>
  </r>
  <r>
    <x v="744"/>
    <x v="2"/>
    <x v="1"/>
    <x v="16"/>
    <x v="1"/>
    <x v="63"/>
    <x v="81"/>
    <x v="2"/>
    <x v="1"/>
    <x v="3"/>
  </r>
  <r>
    <x v="745"/>
    <x v="3"/>
    <x v="0"/>
    <x v="37"/>
    <x v="2"/>
    <x v="40"/>
    <x v="18"/>
    <x v="1"/>
    <x v="1"/>
    <x v="2"/>
  </r>
  <r>
    <x v="746"/>
    <x v="3"/>
    <x v="0"/>
    <x v="36"/>
    <x v="2"/>
    <x v="42"/>
    <x v="16"/>
    <x v="1"/>
    <x v="1"/>
    <x v="2"/>
  </r>
  <r>
    <x v="747"/>
    <x v="3"/>
    <x v="0"/>
    <x v="32"/>
    <x v="2"/>
    <x v="62"/>
    <x v="37"/>
    <x v="1"/>
    <x v="1"/>
    <x v="2"/>
  </r>
  <r>
    <x v="748"/>
    <x v="3"/>
    <x v="0"/>
    <x v="42"/>
    <x v="0"/>
    <x v="79"/>
    <x v="37"/>
    <x v="1"/>
    <x v="0"/>
    <x v="3"/>
  </r>
  <r>
    <x v="749"/>
    <x v="2"/>
    <x v="1"/>
    <x v="28"/>
    <x v="2"/>
    <x v="48"/>
    <x v="40"/>
    <x v="1"/>
    <x v="1"/>
    <x v="3"/>
  </r>
  <r>
    <x v="750"/>
    <x v="1"/>
    <x v="4"/>
    <x v="20"/>
    <x v="2"/>
    <x v="22"/>
    <x v="42"/>
    <x v="1"/>
    <x v="1"/>
    <x v="0"/>
  </r>
  <r>
    <x v="751"/>
    <x v="4"/>
    <x v="3"/>
    <x v="35"/>
    <x v="2"/>
    <x v="5"/>
    <x v="4"/>
    <x v="1"/>
    <x v="1"/>
    <x v="2"/>
  </r>
  <r>
    <x v="752"/>
    <x v="4"/>
    <x v="3"/>
    <x v="42"/>
    <x v="0"/>
    <x v="26"/>
    <x v="4"/>
    <x v="1"/>
    <x v="1"/>
    <x v="1"/>
  </r>
  <r>
    <x v="753"/>
    <x v="4"/>
    <x v="3"/>
    <x v="42"/>
    <x v="0"/>
    <x v="17"/>
    <x v="10"/>
    <x v="1"/>
    <x v="1"/>
    <x v="1"/>
  </r>
  <r>
    <x v="754"/>
    <x v="1"/>
    <x v="4"/>
    <x v="32"/>
    <x v="2"/>
    <x v="37"/>
    <x v="8"/>
    <x v="1"/>
    <x v="1"/>
    <x v="0"/>
  </r>
  <r>
    <x v="755"/>
    <x v="3"/>
    <x v="0"/>
    <x v="20"/>
    <x v="2"/>
    <x v="58"/>
    <x v="63"/>
    <x v="2"/>
    <x v="1"/>
    <x v="2"/>
  </r>
  <r>
    <x v="756"/>
    <x v="2"/>
    <x v="1"/>
    <x v="12"/>
    <x v="1"/>
    <x v="56"/>
    <x v="83"/>
    <x v="2"/>
    <x v="1"/>
    <x v="3"/>
  </r>
  <r>
    <x v="757"/>
    <x v="2"/>
    <x v="1"/>
    <x v="18"/>
    <x v="1"/>
    <x v="48"/>
    <x v="15"/>
    <x v="1"/>
    <x v="1"/>
    <x v="3"/>
  </r>
  <r>
    <x v="758"/>
    <x v="3"/>
    <x v="0"/>
    <x v="38"/>
    <x v="2"/>
    <x v="79"/>
    <x v="29"/>
    <x v="1"/>
    <x v="0"/>
    <x v="3"/>
  </r>
  <r>
    <x v="759"/>
    <x v="3"/>
    <x v="0"/>
    <x v="45"/>
    <x v="0"/>
    <x v="17"/>
    <x v="20"/>
    <x v="1"/>
    <x v="1"/>
    <x v="2"/>
  </r>
  <r>
    <x v="760"/>
    <x v="2"/>
    <x v="1"/>
    <x v="26"/>
    <x v="2"/>
    <x v="86"/>
    <x v="24"/>
    <x v="1"/>
    <x v="0"/>
    <x v="3"/>
  </r>
  <r>
    <x v="761"/>
    <x v="3"/>
    <x v="0"/>
    <x v="25"/>
    <x v="2"/>
    <x v="96"/>
    <x v="22"/>
    <x v="1"/>
    <x v="0"/>
    <x v="3"/>
  </r>
  <r>
    <x v="762"/>
    <x v="4"/>
    <x v="3"/>
    <x v="46"/>
    <x v="0"/>
    <x v="43"/>
    <x v="50"/>
    <x v="2"/>
    <x v="1"/>
    <x v="1"/>
  </r>
  <r>
    <x v="763"/>
    <x v="3"/>
    <x v="0"/>
    <x v="36"/>
    <x v="2"/>
    <x v="50"/>
    <x v="58"/>
    <x v="2"/>
    <x v="1"/>
    <x v="2"/>
  </r>
  <r>
    <x v="764"/>
    <x v="2"/>
    <x v="1"/>
    <x v="10"/>
    <x v="1"/>
    <x v="116"/>
    <x v="93"/>
    <x v="2"/>
    <x v="0"/>
    <x v="3"/>
  </r>
  <r>
    <x v="765"/>
    <x v="2"/>
    <x v="1"/>
    <x v="22"/>
    <x v="2"/>
    <x v="21"/>
    <x v="46"/>
    <x v="2"/>
    <x v="1"/>
    <x v="3"/>
  </r>
  <r>
    <x v="766"/>
    <x v="2"/>
    <x v="1"/>
    <x v="16"/>
    <x v="1"/>
    <x v="68"/>
    <x v="81"/>
    <x v="2"/>
    <x v="1"/>
    <x v="3"/>
  </r>
  <r>
    <x v="767"/>
    <x v="3"/>
    <x v="0"/>
    <x v="10"/>
    <x v="1"/>
    <x v="35"/>
    <x v="12"/>
    <x v="1"/>
    <x v="1"/>
    <x v="2"/>
  </r>
  <r>
    <x v="768"/>
    <x v="3"/>
    <x v="0"/>
    <x v="17"/>
    <x v="1"/>
    <x v="62"/>
    <x v="83"/>
    <x v="2"/>
    <x v="1"/>
    <x v="2"/>
  </r>
  <r>
    <x v="769"/>
    <x v="3"/>
    <x v="0"/>
    <x v="29"/>
    <x v="2"/>
    <x v="54"/>
    <x v="37"/>
    <x v="1"/>
    <x v="1"/>
    <x v="2"/>
  </r>
  <r>
    <x v="770"/>
    <x v="4"/>
    <x v="3"/>
    <x v="50"/>
    <x v="0"/>
    <x v="17"/>
    <x v="37"/>
    <x v="1"/>
    <x v="1"/>
    <x v="1"/>
  </r>
  <r>
    <x v="771"/>
    <x v="0"/>
    <x v="4"/>
    <x v="33"/>
    <x v="2"/>
    <x v="130"/>
    <x v="5"/>
    <x v="1"/>
    <x v="0"/>
    <x v="0"/>
  </r>
  <r>
    <x v="772"/>
    <x v="2"/>
    <x v="1"/>
    <x v="42"/>
    <x v="0"/>
    <x v="17"/>
    <x v="33"/>
    <x v="1"/>
    <x v="1"/>
    <x v="3"/>
  </r>
  <r>
    <x v="773"/>
    <x v="4"/>
    <x v="3"/>
    <x v="31"/>
    <x v="2"/>
    <x v="63"/>
    <x v="27"/>
    <x v="1"/>
    <x v="1"/>
    <x v="2"/>
  </r>
  <r>
    <x v="774"/>
    <x v="4"/>
    <x v="3"/>
    <x v="31"/>
    <x v="2"/>
    <x v="54"/>
    <x v="12"/>
    <x v="1"/>
    <x v="1"/>
    <x v="2"/>
  </r>
  <r>
    <x v="775"/>
    <x v="2"/>
    <x v="1"/>
    <x v="12"/>
    <x v="1"/>
    <x v="52"/>
    <x v="108"/>
    <x v="0"/>
    <x v="1"/>
    <x v="3"/>
  </r>
  <r>
    <x v="776"/>
    <x v="2"/>
    <x v="1"/>
    <x v="33"/>
    <x v="2"/>
    <x v="45"/>
    <x v="73"/>
    <x v="2"/>
    <x v="1"/>
    <x v="3"/>
  </r>
  <r>
    <x v="777"/>
    <x v="3"/>
    <x v="0"/>
    <x v="39"/>
    <x v="0"/>
    <x v="48"/>
    <x v="3"/>
    <x v="1"/>
    <x v="1"/>
    <x v="2"/>
  </r>
  <r>
    <x v="778"/>
    <x v="3"/>
    <x v="0"/>
    <x v="31"/>
    <x v="2"/>
    <x v="43"/>
    <x v="55"/>
    <x v="2"/>
    <x v="1"/>
    <x v="2"/>
  </r>
  <r>
    <x v="779"/>
    <x v="3"/>
    <x v="0"/>
    <x v="39"/>
    <x v="0"/>
    <x v="16"/>
    <x v="5"/>
    <x v="1"/>
    <x v="1"/>
    <x v="2"/>
  </r>
  <r>
    <x v="780"/>
    <x v="3"/>
    <x v="0"/>
    <x v="57"/>
    <x v="0"/>
    <x v="26"/>
    <x v="5"/>
    <x v="1"/>
    <x v="1"/>
    <x v="2"/>
  </r>
  <r>
    <x v="781"/>
    <x v="3"/>
    <x v="0"/>
    <x v="32"/>
    <x v="2"/>
    <x v="12"/>
    <x v="3"/>
    <x v="1"/>
    <x v="1"/>
    <x v="2"/>
  </r>
  <r>
    <x v="782"/>
    <x v="3"/>
    <x v="0"/>
    <x v="47"/>
    <x v="0"/>
    <x v="36"/>
    <x v="2"/>
    <x v="1"/>
    <x v="1"/>
    <x v="2"/>
  </r>
  <r>
    <x v="783"/>
    <x v="4"/>
    <x v="3"/>
    <x v="47"/>
    <x v="0"/>
    <x v="28"/>
    <x v="4"/>
    <x v="1"/>
    <x v="1"/>
    <x v="1"/>
  </r>
  <r>
    <x v="784"/>
    <x v="3"/>
    <x v="0"/>
    <x v="43"/>
    <x v="0"/>
    <x v="18"/>
    <x v="0"/>
    <x v="1"/>
    <x v="1"/>
    <x v="2"/>
  </r>
  <r>
    <x v="785"/>
    <x v="2"/>
    <x v="1"/>
    <x v="33"/>
    <x v="2"/>
    <x v="79"/>
    <x v="56"/>
    <x v="2"/>
    <x v="0"/>
    <x v="3"/>
  </r>
  <r>
    <x v="786"/>
    <x v="3"/>
    <x v="0"/>
    <x v="22"/>
    <x v="2"/>
    <x v="30"/>
    <x v="39"/>
    <x v="1"/>
    <x v="1"/>
    <x v="2"/>
  </r>
  <r>
    <x v="787"/>
    <x v="3"/>
    <x v="0"/>
    <x v="33"/>
    <x v="2"/>
    <x v="23"/>
    <x v="74"/>
    <x v="2"/>
    <x v="1"/>
    <x v="2"/>
  </r>
  <r>
    <x v="788"/>
    <x v="3"/>
    <x v="0"/>
    <x v="42"/>
    <x v="0"/>
    <x v="60"/>
    <x v="40"/>
    <x v="1"/>
    <x v="1"/>
    <x v="2"/>
  </r>
  <r>
    <x v="789"/>
    <x v="2"/>
    <x v="1"/>
    <x v="26"/>
    <x v="2"/>
    <x v="30"/>
    <x v="17"/>
    <x v="1"/>
    <x v="1"/>
    <x v="3"/>
  </r>
  <r>
    <x v="790"/>
    <x v="2"/>
    <x v="1"/>
    <x v="36"/>
    <x v="2"/>
    <x v="37"/>
    <x v="22"/>
    <x v="1"/>
    <x v="1"/>
    <x v="3"/>
  </r>
  <r>
    <x v="791"/>
    <x v="4"/>
    <x v="3"/>
    <x v="33"/>
    <x v="2"/>
    <x v="6"/>
    <x v="71"/>
    <x v="2"/>
    <x v="1"/>
    <x v="2"/>
  </r>
  <r>
    <x v="792"/>
    <x v="3"/>
    <x v="0"/>
    <x v="23"/>
    <x v="2"/>
    <x v="8"/>
    <x v="67"/>
    <x v="2"/>
    <x v="1"/>
    <x v="2"/>
  </r>
  <r>
    <x v="793"/>
    <x v="1"/>
    <x v="4"/>
    <x v="7"/>
    <x v="1"/>
    <x v="70"/>
    <x v="69"/>
    <x v="2"/>
    <x v="1"/>
    <x v="0"/>
  </r>
  <r>
    <x v="794"/>
    <x v="4"/>
    <x v="3"/>
    <x v="45"/>
    <x v="0"/>
    <x v="20"/>
    <x v="13"/>
    <x v="1"/>
    <x v="1"/>
    <x v="1"/>
  </r>
  <r>
    <x v="795"/>
    <x v="2"/>
    <x v="1"/>
    <x v="26"/>
    <x v="2"/>
    <x v="58"/>
    <x v="19"/>
    <x v="1"/>
    <x v="1"/>
    <x v="3"/>
  </r>
  <r>
    <x v="796"/>
    <x v="2"/>
    <x v="1"/>
    <x v="17"/>
    <x v="1"/>
    <x v="58"/>
    <x v="32"/>
    <x v="1"/>
    <x v="1"/>
    <x v="3"/>
  </r>
  <r>
    <x v="797"/>
    <x v="3"/>
    <x v="0"/>
    <x v="12"/>
    <x v="1"/>
    <x v="29"/>
    <x v="60"/>
    <x v="2"/>
    <x v="1"/>
    <x v="2"/>
  </r>
  <r>
    <x v="798"/>
    <x v="3"/>
    <x v="0"/>
    <x v="42"/>
    <x v="0"/>
    <x v="15"/>
    <x v="66"/>
    <x v="2"/>
    <x v="1"/>
    <x v="2"/>
  </r>
  <r>
    <x v="799"/>
    <x v="1"/>
    <x v="4"/>
    <x v="25"/>
    <x v="2"/>
    <x v="62"/>
    <x v="20"/>
    <x v="1"/>
    <x v="1"/>
    <x v="0"/>
  </r>
  <r>
    <x v="800"/>
    <x v="4"/>
    <x v="3"/>
    <x v="54"/>
    <x v="0"/>
    <x v="26"/>
    <x v="36"/>
    <x v="1"/>
    <x v="1"/>
    <x v="1"/>
  </r>
  <r>
    <x v="801"/>
    <x v="2"/>
    <x v="1"/>
    <x v="38"/>
    <x v="2"/>
    <x v="36"/>
    <x v="5"/>
    <x v="1"/>
    <x v="1"/>
    <x v="3"/>
  </r>
  <r>
    <x v="802"/>
    <x v="4"/>
    <x v="3"/>
    <x v="49"/>
    <x v="0"/>
    <x v="20"/>
    <x v="19"/>
    <x v="1"/>
    <x v="1"/>
    <x v="1"/>
  </r>
  <r>
    <x v="803"/>
    <x v="4"/>
    <x v="3"/>
    <x v="50"/>
    <x v="0"/>
    <x v="11"/>
    <x v="11"/>
    <x v="1"/>
    <x v="1"/>
    <x v="1"/>
  </r>
  <r>
    <x v="804"/>
    <x v="4"/>
    <x v="3"/>
    <x v="20"/>
    <x v="2"/>
    <x v="33"/>
    <x v="46"/>
    <x v="2"/>
    <x v="1"/>
    <x v="2"/>
  </r>
  <r>
    <x v="805"/>
    <x v="4"/>
    <x v="3"/>
    <x v="16"/>
    <x v="1"/>
    <x v="41"/>
    <x v="39"/>
    <x v="1"/>
    <x v="1"/>
    <x v="2"/>
  </r>
  <r>
    <x v="806"/>
    <x v="4"/>
    <x v="3"/>
    <x v="46"/>
    <x v="0"/>
    <x v="15"/>
    <x v="18"/>
    <x v="1"/>
    <x v="1"/>
    <x v="1"/>
  </r>
  <r>
    <x v="807"/>
    <x v="4"/>
    <x v="3"/>
    <x v="35"/>
    <x v="2"/>
    <x v="34"/>
    <x v="14"/>
    <x v="1"/>
    <x v="1"/>
    <x v="2"/>
  </r>
  <r>
    <x v="808"/>
    <x v="4"/>
    <x v="3"/>
    <x v="45"/>
    <x v="0"/>
    <x v="34"/>
    <x v="18"/>
    <x v="1"/>
    <x v="1"/>
    <x v="1"/>
  </r>
  <r>
    <x v="809"/>
    <x v="4"/>
    <x v="3"/>
    <x v="49"/>
    <x v="0"/>
    <x v="12"/>
    <x v="6"/>
    <x v="1"/>
    <x v="1"/>
    <x v="1"/>
  </r>
  <r>
    <x v="810"/>
    <x v="4"/>
    <x v="3"/>
    <x v="43"/>
    <x v="0"/>
    <x v="0"/>
    <x v="15"/>
    <x v="1"/>
    <x v="1"/>
    <x v="1"/>
  </r>
  <r>
    <x v="811"/>
    <x v="4"/>
    <x v="3"/>
    <x v="36"/>
    <x v="2"/>
    <x v="17"/>
    <x v="4"/>
    <x v="1"/>
    <x v="1"/>
    <x v="2"/>
  </r>
  <r>
    <x v="812"/>
    <x v="4"/>
    <x v="3"/>
    <x v="46"/>
    <x v="0"/>
    <x v="21"/>
    <x v="3"/>
    <x v="1"/>
    <x v="1"/>
    <x v="1"/>
  </r>
  <r>
    <x v="813"/>
    <x v="3"/>
    <x v="0"/>
    <x v="47"/>
    <x v="0"/>
    <x v="33"/>
    <x v="5"/>
    <x v="1"/>
    <x v="1"/>
    <x v="2"/>
  </r>
  <r>
    <x v="814"/>
    <x v="2"/>
    <x v="1"/>
    <x v="25"/>
    <x v="2"/>
    <x v="5"/>
    <x v="17"/>
    <x v="1"/>
    <x v="1"/>
    <x v="3"/>
  </r>
  <r>
    <x v="815"/>
    <x v="3"/>
    <x v="0"/>
    <x v="37"/>
    <x v="2"/>
    <x v="23"/>
    <x v="4"/>
    <x v="1"/>
    <x v="1"/>
    <x v="2"/>
  </r>
  <r>
    <x v="816"/>
    <x v="3"/>
    <x v="0"/>
    <x v="35"/>
    <x v="2"/>
    <x v="25"/>
    <x v="45"/>
    <x v="2"/>
    <x v="1"/>
    <x v="2"/>
  </r>
  <r>
    <x v="817"/>
    <x v="4"/>
    <x v="3"/>
    <x v="37"/>
    <x v="2"/>
    <x v="50"/>
    <x v="30"/>
    <x v="1"/>
    <x v="1"/>
    <x v="2"/>
  </r>
  <r>
    <x v="818"/>
    <x v="2"/>
    <x v="1"/>
    <x v="20"/>
    <x v="2"/>
    <x v="54"/>
    <x v="26"/>
    <x v="1"/>
    <x v="1"/>
    <x v="3"/>
  </r>
  <r>
    <x v="819"/>
    <x v="3"/>
    <x v="0"/>
    <x v="35"/>
    <x v="2"/>
    <x v="37"/>
    <x v="32"/>
    <x v="1"/>
    <x v="1"/>
    <x v="2"/>
  </r>
  <r>
    <x v="820"/>
    <x v="2"/>
    <x v="1"/>
    <x v="10"/>
    <x v="1"/>
    <x v="48"/>
    <x v="12"/>
    <x v="1"/>
    <x v="1"/>
    <x v="3"/>
  </r>
  <r>
    <x v="821"/>
    <x v="2"/>
    <x v="1"/>
    <x v="12"/>
    <x v="1"/>
    <x v="50"/>
    <x v="10"/>
    <x v="1"/>
    <x v="1"/>
    <x v="3"/>
  </r>
  <r>
    <x v="822"/>
    <x v="3"/>
    <x v="0"/>
    <x v="36"/>
    <x v="2"/>
    <x v="11"/>
    <x v="21"/>
    <x v="1"/>
    <x v="1"/>
    <x v="2"/>
  </r>
  <r>
    <x v="823"/>
    <x v="3"/>
    <x v="0"/>
    <x v="33"/>
    <x v="2"/>
    <x v="21"/>
    <x v="42"/>
    <x v="1"/>
    <x v="1"/>
    <x v="2"/>
  </r>
  <r>
    <x v="824"/>
    <x v="4"/>
    <x v="3"/>
    <x v="43"/>
    <x v="0"/>
    <x v="26"/>
    <x v="4"/>
    <x v="1"/>
    <x v="1"/>
    <x v="1"/>
  </r>
  <r>
    <x v="825"/>
    <x v="2"/>
    <x v="1"/>
    <x v="7"/>
    <x v="1"/>
    <x v="68"/>
    <x v="106"/>
    <x v="0"/>
    <x v="1"/>
    <x v="3"/>
  </r>
  <r>
    <x v="826"/>
    <x v="3"/>
    <x v="0"/>
    <x v="47"/>
    <x v="0"/>
    <x v="29"/>
    <x v="40"/>
    <x v="1"/>
    <x v="1"/>
    <x v="2"/>
  </r>
  <r>
    <x v="827"/>
    <x v="2"/>
    <x v="1"/>
    <x v="23"/>
    <x v="2"/>
    <x v="48"/>
    <x v="16"/>
    <x v="1"/>
    <x v="1"/>
    <x v="3"/>
  </r>
  <r>
    <x v="828"/>
    <x v="3"/>
    <x v="0"/>
    <x v="32"/>
    <x v="2"/>
    <x v="10"/>
    <x v="4"/>
    <x v="1"/>
    <x v="1"/>
    <x v="2"/>
  </r>
  <r>
    <x v="829"/>
    <x v="4"/>
    <x v="3"/>
    <x v="40"/>
    <x v="0"/>
    <x v="26"/>
    <x v="7"/>
    <x v="1"/>
    <x v="1"/>
    <x v="1"/>
  </r>
  <r>
    <x v="830"/>
    <x v="2"/>
    <x v="1"/>
    <x v="29"/>
    <x v="2"/>
    <x v="21"/>
    <x v="6"/>
    <x v="1"/>
    <x v="1"/>
    <x v="3"/>
  </r>
  <r>
    <x v="831"/>
    <x v="4"/>
    <x v="3"/>
    <x v="46"/>
    <x v="0"/>
    <x v="20"/>
    <x v="7"/>
    <x v="1"/>
    <x v="1"/>
    <x v="1"/>
  </r>
  <r>
    <x v="832"/>
    <x v="2"/>
    <x v="1"/>
    <x v="11"/>
    <x v="1"/>
    <x v="30"/>
    <x v="66"/>
    <x v="2"/>
    <x v="1"/>
    <x v="3"/>
  </r>
  <r>
    <x v="833"/>
    <x v="2"/>
    <x v="1"/>
    <x v="6"/>
    <x v="1"/>
    <x v="54"/>
    <x v="110"/>
    <x v="0"/>
    <x v="1"/>
    <x v="3"/>
  </r>
  <r>
    <x v="834"/>
    <x v="4"/>
    <x v="3"/>
    <x v="37"/>
    <x v="2"/>
    <x v="29"/>
    <x v="23"/>
    <x v="1"/>
    <x v="1"/>
    <x v="2"/>
  </r>
  <r>
    <x v="835"/>
    <x v="2"/>
    <x v="1"/>
    <x v="25"/>
    <x v="2"/>
    <x v="35"/>
    <x v="0"/>
    <x v="1"/>
    <x v="1"/>
    <x v="3"/>
  </r>
  <r>
    <x v="836"/>
    <x v="3"/>
    <x v="0"/>
    <x v="26"/>
    <x v="2"/>
    <x v="41"/>
    <x v="11"/>
    <x v="1"/>
    <x v="1"/>
    <x v="2"/>
  </r>
  <r>
    <x v="837"/>
    <x v="2"/>
    <x v="1"/>
    <x v="20"/>
    <x v="2"/>
    <x v="108"/>
    <x v="22"/>
    <x v="1"/>
    <x v="0"/>
    <x v="3"/>
  </r>
  <r>
    <x v="838"/>
    <x v="3"/>
    <x v="0"/>
    <x v="54"/>
    <x v="0"/>
    <x v="43"/>
    <x v="64"/>
    <x v="2"/>
    <x v="1"/>
    <x v="2"/>
  </r>
  <r>
    <x v="839"/>
    <x v="3"/>
    <x v="0"/>
    <x v="37"/>
    <x v="2"/>
    <x v="52"/>
    <x v="5"/>
    <x v="1"/>
    <x v="1"/>
    <x v="2"/>
  </r>
  <r>
    <x v="840"/>
    <x v="4"/>
    <x v="3"/>
    <x v="38"/>
    <x v="2"/>
    <x v="21"/>
    <x v="1"/>
    <x v="1"/>
    <x v="1"/>
    <x v="2"/>
  </r>
  <r>
    <x v="841"/>
    <x v="2"/>
    <x v="1"/>
    <x v="11"/>
    <x v="1"/>
    <x v="23"/>
    <x v="64"/>
    <x v="2"/>
    <x v="1"/>
    <x v="3"/>
  </r>
  <r>
    <x v="842"/>
    <x v="2"/>
    <x v="1"/>
    <x v="11"/>
    <x v="1"/>
    <x v="27"/>
    <x v="21"/>
    <x v="1"/>
    <x v="1"/>
    <x v="3"/>
  </r>
  <r>
    <x v="843"/>
    <x v="3"/>
    <x v="0"/>
    <x v="32"/>
    <x v="2"/>
    <x v="14"/>
    <x v="15"/>
    <x v="1"/>
    <x v="1"/>
    <x v="2"/>
  </r>
  <r>
    <x v="844"/>
    <x v="2"/>
    <x v="1"/>
    <x v="11"/>
    <x v="1"/>
    <x v="21"/>
    <x v="62"/>
    <x v="2"/>
    <x v="1"/>
    <x v="3"/>
  </r>
  <r>
    <x v="845"/>
    <x v="3"/>
    <x v="0"/>
    <x v="11"/>
    <x v="1"/>
    <x v="29"/>
    <x v="41"/>
    <x v="1"/>
    <x v="1"/>
    <x v="2"/>
  </r>
  <r>
    <x v="846"/>
    <x v="2"/>
    <x v="1"/>
    <x v="11"/>
    <x v="1"/>
    <x v="22"/>
    <x v="83"/>
    <x v="2"/>
    <x v="1"/>
    <x v="3"/>
  </r>
  <r>
    <x v="847"/>
    <x v="3"/>
    <x v="0"/>
    <x v="22"/>
    <x v="2"/>
    <x v="56"/>
    <x v="35"/>
    <x v="1"/>
    <x v="1"/>
    <x v="2"/>
  </r>
  <r>
    <x v="848"/>
    <x v="4"/>
    <x v="3"/>
    <x v="53"/>
    <x v="0"/>
    <x v="68"/>
    <x v="5"/>
    <x v="1"/>
    <x v="1"/>
    <x v="1"/>
  </r>
  <r>
    <x v="849"/>
    <x v="3"/>
    <x v="0"/>
    <x v="6"/>
    <x v="1"/>
    <x v="104"/>
    <x v="4"/>
    <x v="1"/>
    <x v="0"/>
    <x v="3"/>
  </r>
  <r>
    <x v="850"/>
    <x v="3"/>
    <x v="0"/>
    <x v="54"/>
    <x v="0"/>
    <x v="74"/>
    <x v="6"/>
    <x v="1"/>
    <x v="1"/>
    <x v="2"/>
  </r>
  <r>
    <x v="851"/>
    <x v="4"/>
    <x v="3"/>
    <x v="39"/>
    <x v="0"/>
    <x v="33"/>
    <x v="6"/>
    <x v="1"/>
    <x v="1"/>
    <x v="1"/>
  </r>
  <r>
    <x v="852"/>
    <x v="4"/>
    <x v="3"/>
    <x v="28"/>
    <x v="2"/>
    <x v="22"/>
    <x v="41"/>
    <x v="1"/>
    <x v="1"/>
    <x v="2"/>
  </r>
  <r>
    <x v="853"/>
    <x v="4"/>
    <x v="3"/>
    <x v="41"/>
    <x v="0"/>
    <x v="13"/>
    <x v="21"/>
    <x v="1"/>
    <x v="1"/>
    <x v="1"/>
  </r>
  <r>
    <x v="854"/>
    <x v="4"/>
    <x v="3"/>
    <x v="53"/>
    <x v="0"/>
    <x v="23"/>
    <x v="2"/>
    <x v="1"/>
    <x v="1"/>
    <x v="1"/>
  </r>
  <r>
    <x v="855"/>
    <x v="2"/>
    <x v="1"/>
    <x v="24"/>
    <x v="2"/>
    <x v="33"/>
    <x v="39"/>
    <x v="1"/>
    <x v="1"/>
    <x v="3"/>
  </r>
  <r>
    <x v="856"/>
    <x v="4"/>
    <x v="3"/>
    <x v="41"/>
    <x v="0"/>
    <x v="15"/>
    <x v="19"/>
    <x v="1"/>
    <x v="1"/>
    <x v="1"/>
  </r>
  <r>
    <x v="857"/>
    <x v="4"/>
    <x v="3"/>
    <x v="45"/>
    <x v="0"/>
    <x v="22"/>
    <x v="18"/>
    <x v="1"/>
    <x v="1"/>
    <x v="1"/>
  </r>
  <r>
    <x v="858"/>
    <x v="2"/>
    <x v="1"/>
    <x v="32"/>
    <x v="2"/>
    <x v="41"/>
    <x v="49"/>
    <x v="2"/>
    <x v="1"/>
    <x v="3"/>
  </r>
  <r>
    <x v="859"/>
    <x v="4"/>
    <x v="3"/>
    <x v="48"/>
    <x v="0"/>
    <x v="12"/>
    <x v="6"/>
    <x v="1"/>
    <x v="1"/>
    <x v="1"/>
  </r>
  <r>
    <x v="860"/>
    <x v="3"/>
    <x v="0"/>
    <x v="25"/>
    <x v="2"/>
    <x v="19"/>
    <x v="13"/>
    <x v="1"/>
    <x v="1"/>
    <x v="2"/>
  </r>
  <r>
    <x v="861"/>
    <x v="2"/>
    <x v="1"/>
    <x v="20"/>
    <x v="2"/>
    <x v="128"/>
    <x v="26"/>
    <x v="1"/>
    <x v="0"/>
    <x v="3"/>
  </r>
  <r>
    <x v="862"/>
    <x v="3"/>
    <x v="0"/>
    <x v="20"/>
    <x v="2"/>
    <x v="78"/>
    <x v="25"/>
    <x v="1"/>
    <x v="0"/>
    <x v="3"/>
  </r>
  <r>
    <x v="863"/>
    <x v="3"/>
    <x v="0"/>
    <x v="36"/>
    <x v="2"/>
    <x v="52"/>
    <x v="1"/>
    <x v="1"/>
    <x v="1"/>
    <x v="2"/>
  </r>
  <r>
    <x v="864"/>
    <x v="3"/>
    <x v="0"/>
    <x v="38"/>
    <x v="2"/>
    <x v="27"/>
    <x v="21"/>
    <x v="1"/>
    <x v="1"/>
    <x v="2"/>
  </r>
  <r>
    <x v="865"/>
    <x v="4"/>
    <x v="3"/>
    <x v="51"/>
    <x v="0"/>
    <x v="26"/>
    <x v="22"/>
    <x v="1"/>
    <x v="1"/>
    <x v="1"/>
  </r>
  <r>
    <x v="866"/>
    <x v="3"/>
    <x v="0"/>
    <x v="52"/>
    <x v="0"/>
    <x v="2"/>
    <x v="102"/>
    <x v="0"/>
    <x v="1"/>
    <x v="2"/>
  </r>
  <r>
    <x v="867"/>
    <x v="2"/>
    <x v="1"/>
    <x v="25"/>
    <x v="2"/>
    <x v="41"/>
    <x v="17"/>
    <x v="1"/>
    <x v="1"/>
    <x v="3"/>
  </r>
  <r>
    <x v="868"/>
    <x v="3"/>
    <x v="0"/>
    <x v="43"/>
    <x v="0"/>
    <x v="23"/>
    <x v="2"/>
    <x v="1"/>
    <x v="1"/>
    <x v="2"/>
  </r>
  <r>
    <x v="869"/>
    <x v="2"/>
    <x v="1"/>
    <x v="26"/>
    <x v="2"/>
    <x v="42"/>
    <x v="3"/>
    <x v="1"/>
    <x v="1"/>
    <x v="3"/>
  </r>
  <r>
    <x v="870"/>
    <x v="3"/>
    <x v="0"/>
    <x v="48"/>
    <x v="0"/>
    <x v="19"/>
    <x v="3"/>
    <x v="1"/>
    <x v="1"/>
    <x v="2"/>
  </r>
  <r>
    <x v="871"/>
    <x v="4"/>
    <x v="3"/>
    <x v="26"/>
    <x v="2"/>
    <x v="52"/>
    <x v="12"/>
    <x v="1"/>
    <x v="1"/>
    <x v="2"/>
  </r>
  <r>
    <x v="872"/>
    <x v="3"/>
    <x v="0"/>
    <x v="25"/>
    <x v="2"/>
    <x v="102"/>
    <x v="37"/>
    <x v="1"/>
    <x v="0"/>
    <x v="3"/>
  </r>
  <r>
    <x v="873"/>
    <x v="3"/>
    <x v="0"/>
    <x v="51"/>
    <x v="0"/>
    <x v="17"/>
    <x v="30"/>
    <x v="1"/>
    <x v="1"/>
    <x v="2"/>
  </r>
  <r>
    <x v="874"/>
    <x v="2"/>
    <x v="1"/>
    <x v="40"/>
    <x v="0"/>
    <x v="95"/>
    <x v="46"/>
    <x v="2"/>
    <x v="0"/>
    <x v="3"/>
  </r>
  <r>
    <x v="875"/>
    <x v="3"/>
    <x v="0"/>
    <x v="22"/>
    <x v="2"/>
    <x v="21"/>
    <x v="62"/>
    <x v="2"/>
    <x v="1"/>
    <x v="2"/>
  </r>
  <r>
    <x v="876"/>
    <x v="4"/>
    <x v="3"/>
    <x v="39"/>
    <x v="0"/>
    <x v="54"/>
    <x v="8"/>
    <x v="1"/>
    <x v="1"/>
    <x v="1"/>
  </r>
  <r>
    <x v="877"/>
    <x v="4"/>
    <x v="3"/>
    <x v="33"/>
    <x v="2"/>
    <x v="47"/>
    <x v="9"/>
    <x v="1"/>
    <x v="1"/>
    <x v="2"/>
  </r>
  <r>
    <x v="878"/>
    <x v="2"/>
    <x v="1"/>
    <x v="15"/>
    <x v="1"/>
    <x v="100"/>
    <x v="8"/>
    <x v="1"/>
    <x v="0"/>
    <x v="3"/>
  </r>
  <r>
    <x v="879"/>
    <x v="3"/>
    <x v="0"/>
    <x v="25"/>
    <x v="2"/>
    <x v="50"/>
    <x v="21"/>
    <x v="1"/>
    <x v="1"/>
    <x v="2"/>
  </r>
  <r>
    <x v="880"/>
    <x v="3"/>
    <x v="0"/>
    <x v="16"/>
    <x v="1"/>
    <x v="85"/>
    <x v="42"/>
    <x v="1"/>
    <x v="0"/>
    <x v="3"/>
  </r>
  <r>
    <x v="881"/>
    <x v="4"/>
    <x v="3"/>
    <x v="28"/>
    <x v="2"/>
    <x v="25"/>
    <x v="11"/>
    <x v="1"/>
    <x v="1"/>
    <x v="2"/>
  </r>
  <r>
    <x v="882"/>
    <x v="4"/>
    <x v="3"/>
    <x v="50"/>
    <x v="0"/>
    <x v="17"/>
    <x v="29"/>
    <x v="1"/>
    <x v="1"/>
    <x v="1"/>
  </r>
  <r>
    <x v="883"/>
    <x v="2"/>
    <x v="1"/>
    <x v="7"/>
    <x v="1"/>
    <x v="117"/>
    <x v="50"/>
    <x v="2"/>
    <x v="0"/>
    <x v="3"/>
  </r>
  <r>
    <x v="884"/>
    <x v="4"/>
    <x v="3"/>
    <x v="51"/>
    <x v="0"/>
    <x v="30"/>
    <x v="36"/>
    <x v="1"/>
    <x v="1"/>
    <x v="1"/>
  </r>
  <r>
    <x v="885"/>
    <x v="3"/>
    <x v="0"/>
    <x v="35"/>
    <x v="2"/>
    <x v="41"/>
    <x v="33"/>
    <x v="1"/>
    <x v="1"/>
    <x v="2"/>
  </r>
  <r>
    <x v="886"/>
    <x v="2"/>
    <x v="1"/>
    <x v="23"/>
    <x v="2"/>
    <x v="124"/>
    <x v="26"/>
    <x v="1"/>
    <x v="0"/>
    <x v="3"/>
  </r>
  <r>
    <x v="887"/>
    <x v="3"/>
    <x v="0"/>
    <x v="17"/>
    <x v="1"/>
    <x v="40"/>
    <x v="20"/>
    <x v="1"/>
    <x v="1"/>
    <x v="2"/>
  </r>
  <r>
    <x v="888"/>
    <x v="4"/>
    <x v="3"/>
    <x v="32"/>
    <x v="2"/>
    <x v="27"/>
    <x v="33"/>
    <x v="1"/>
    <x v="1"/>
    <x v="2"/>
  </r>
  <r>
    <x v="889"/>
    <x v="3"/>
    <x v="0"/>
    <x v="47"/>
    <x v="0"/>
    <x v="27"/>
    <x v="47"/>
    <x v="2"/>
    <x v="1"/>
    <x v="2"/>
  </r>
  <r>
    <x v="890"/>
    <x v="3"/>
    <x v="0"/>
    <x v="38"/>
    <x v="2"/>
    <x v="34"/>
    <x v="32"/>
    <x v="1"/>
    <x v="1"/>
    <x v="2"/>
  </r>
  <r>
    <x v="891"/>
    <x v="3"/>
    <x v="0"/>
    <x v="29"/>
    <x v="2"/>
    <x v="92"/>
    <x v="39"/>
    <x v="1"/>
    <x v="0"/>
    <x v="3"/>
  </r>
  <r>
    <x v="892"/>
    <x v="2"/>
    <x v="1"/>
    <x v="25"/>
    <x v="2"/>
    <x v="33"/>
    <x v="45"/>
    <x v="2"/>
    <x v="1"/>
    <x v="3"/>
  </r>
  <r>
    <x v="893"/>
    <x v="3"/>
    <x v="0"/>
    <x v="32"/>
    <x v="2"/>
    <x v="40"/>
    <x v="8"/>
    <x v="1"/>
    <x v="1"/>
    <x v="2"/>
  </r>
  <r>
    <x v="894"/>
    <x v="3"/>
    <x v="0"/>
    <x v="31"/>
    <x v="2"/>
    <x v="41"/>
    <x v="11"/>
    <x v="1"/>
    <x v="1"/>
    <x v="2"/>
  </r>
  <r>
    <x v="895"/>
    <x v="2"/>
    <x v="1"/>
    <x v="7"/>
    <x v="1"/>
    <x v="36"/>
    <x v="39"/>
    <x v="1"/>
    <x v="1"/>
    <x v="3"/>
  </r>
  <r>
    <x v="896"/>
    <x v="2"/>
    <x v="1"/>
    <x v="54"/>
    <x v="0"/>
    <x v="57"/>
    <x v="19"/>
    <x v="1"/>
    <x v="1"/>
    <x v="3"/>
  </r>
  <r>
    <x v="897"/>
    <x v="4"/>
    <x v="3"/>
    <x v="52"/>
    <x v="0"/>
    <x v="20"/>
    <x v="14"/>
    <x v="1"/>
    <x v="1"/>
    <x v="1"/>
  </r>
  <r>
    <x v="898"/>
    <x v="3"/>
    <x v="0"/>
    <x v="6"/>
    <x v="1"/>
    <x v="64"/>
    <x v="71"/>
    <x v="2"/>
    <x v="1"/>
    <x v="2"/>
  </r>
  <r>
    <x v="899"/>
    <x v="4"/>
    <x v="3"/>
    <x v="46"/>
    <x v="0"/>
    <x v="39"/>
    <x v="4"/>
    <x v="1"/>
    <x v="1"/>
    <x v="1"/>
  </r>
  <r>
    <x v="900"/>
    <x v="2"/>
    <x v="1"/>
    <x v="6"/>
    <x v="1"/>
    <x v="32"/>
    <x v="85"/>
    <x v="2"/>
    <x v="1"/>
    <x v="3"/>
  </r>
  <r>
    <x v="901"/>
    <x v="4"/>
    <x v="3"/>
    <x v="40"/>
    <x v="0"/>
    <x v="44"/>
    <x v="46"/>
    <x v="2"/>
    <x v="1"/>
    <x v="1"/>
  </r>
  <r>
    <x v="902"/>
    <x v="3"/>
    <x v="0"/>
    <x v="18"/>
    <x v="1"/>
    <x v="7"/>
    <x v="2"/>
    <x v="1"/>
    <x v="1"/>
    <x v="2"/>
  </r>
  <r>
    <x v="903"/>
    <x v="5"/>
    <x v="2"/>
    <x v="50"/>
    <x v="0"/>
    <x v="29"/>
    <x v="10"/>
    <x v="1"/>
    <x v="1"/>
    <x v="1"/>
  </r>
  <r>
    <x v="904"/>
    <x v="3"/>
    <x v="0"/>
    <x v="38"/>
    <x v="2"/>
    <x v="26"/>
    <x v="9"/>
    <x v="1"/>
    <x v="1"/>
    <x v="2"/>
  </r>
  <r>
    <x v="905"/>
    <x v="3"/>
    <x v="0"/>
    <x v="42"/>
    <x v="0"/>
    <x v="13"/>
    <x v="11"/>
    <x v="1"/>
    <x v="1"/>
    <x v="2"/>
  </r>
  <r>
    <x v="906"/>
    <x v="3"/>
    <x v="0"/>
    <x v="42"/>
    <x v="0"/>
    <x v="84"/>
    <x v="4"/>
    <x v="1"/>
    <x v="0"/>
    <x v="3"/>
  </r>
  <r>
    <x v="907"/>
    <x v="3"/>
    <x v="0"/>
    <x v="23"/>
    <x v="2"/>
    <x v="58"/>
    <x v="14"/>
    <x v="1"/>
    <x v="1"/>
    <x v="2"/>
  </r>
  <r>
    <x v="908"/>
    <x v="4"/>
    <x v="3"/>
    <x v="50"/>
    <x v="0"/>
    <x v="43"/>
    <x v="20"/>
    <x v="1"/>
    <x v="1"/>
    <x v="1"/>
  </r>
  <r>
    <x v="909"/>
    <x v="4"/>
    <x v="3"/>
    <x v="32"/>
    <x v="2"/>
    <x v="17"/>
    <x v="4"/>
    <x v="1"/>
    <x v="1"/>
    <x v="2"/>
  </r>
  <r>
    <x v="910"/>
    <x v="2"/>
    <x v="1"/>
    <x v="31"/>
    <x v="2"/>
    <x v="60"/>
    <x v="46"/>
    <x v="2"/>
    <x v="1"/>
    <x v="3"/>
  </r>
  <r>
    <x v="911"/>
    <x v="4"/>
    <x v="3"/>
    <x v="35"/>
    <x v="2"/>
    <x v="20"/>
    <x v="31"/>
    <x v="1"/>
    <x v="1"/>
    <x v="2"/>
  </r>
  <r>
    <x v="912"/>
    <x v="2"/>
    <x v="1"/>
    <x v="7"/>
    <x v="1"/>
    <x v="90"/>
    <x v="87"/>
    <x v="2"/>
    <x v="0"/>
    <x v="3"/>
  </r>
  <r>
    <x v="913"/>
    <x v="3"/>
    <x v="0"/>
    <x v="12"/>
    <x v="1"/>
    <x v="22"/>
    <x v="69"/>
    <x v="2"/>
    <x v="1"/>
    <x v="2"/>
  </r>
  <r>
    <x v="914"/>
    <x v="3"/>
    <x v="0"/>
    <x v="29"/>
    <x v="2"/>
    <x v="60"/>
    <x v="31"/>
    <x v="1"/>
    <x v="1"/>
    <x v="2"/>
  </r>
  <r>
    <x v="915"/>
    <x v="4"/>
    <x v="3"/>
    <x v="23"/>
    <x v="2"/>
    <x v="9"/>
    <x v="61"/>
    <x v="2"/>
    <x v="1"/>
    <x v="2"/>
  </r>
  <r>
    <x v="916"/>
    <x v="3"/>
    <x v="0"/>
    <x v="38"/>
    <x v="2"/>
    <x v="19"/>
    <x v="2"/>
    <x v="1"/>
    <x v="1"/>
    <x v="2"/>
  </r>
  <r>
    <x v="917"/>
    <x v="2"/>
    <x v="1"/>
    <x v="33"/>
    <x v="2"/>
    <x v="25"/>
    <x v="2"/>
    <x v="1"/>
    <x v="1"/>
    <x v="3"/>
  </r>
  <r>
    <x v="918"/>
    <x v="4"/>
    <x v="3"/>
    <x v="48"/>
    <x v="0"/>
    <x v="15"/>
    <x v="142"/>
    <x v="0"/>
    <x v="1"/>
    <x v="1"/>
  </r>
  <r>
    <x v="919"/>
    <x v="3"/>
    <x v="0"/>
    <x v="42"/>
    <x v="0"/>
    <x v="11"/>
    <x v="2"/>
    <x v="1"/>
    <x v="1"/>
    <x v="2"/>
  </r>
  <r>
    <x v="920"/>
    <x v="4"/>
    <x v="3"/>
    <x v="48"/>
    <x v="0"/>
    <x v="15"/>
    <x v="143"/>
    <x v="0"/>
    <x v="1"/>
    <x v="1"/>
  </r>
  <r>
    <x v="921"/>
    <x v="3"/>
    <x v="0"/>
    <x v="12"/>
    <x v="1"/>
    <x v="26"/>
    <x v="64"/>
    <x v="2"/>
    <x v="1"/>
    <x v="2"/>
  </r>
  <r>
    <x v="922"/>
    <x v="3"/>
    <x v="0"/>
    <x v="45"/>
    <x v="0"/>
    <x v="32"/>
    <x v="53"/>
    <x v="2"/>
    <x v="1"/>
    <x v="2"/>
  </r>
  <r>
    <x v="923"/>
    <x v="2"/>
    <x v="1"/>
    <x v="15"/>
    <x v="1"/>
    <x v="39"/>
    <x v="58"/>
    <x v="2"/>
    <x v="1"/>
    <x v="3"/>
  </r>
  <r>
    <x v="924"/>
    <x v="4"/>
    <x v="3"/>
    <x v="40"/>
    <x v="0"/>
    <x v="21"/>
    <x v="3"/>
    <x v="1"/>
    <x v="1"/>
    <x v="1"/>
  </r>
  <r>
    <x v="925"/>
    <x v="3"/>
    <x v="0"/>
    <x v="36"/>
    <x v="2"/>
    <x v="3"/>
    <x v="24"/>
    <x v="1"/>
    <x v="1"/>
    <x v="2"/>
  </r>
  <r>
    <x v="926"/>
    <x v="4"/>
    <x v="3"/>
    <x v="18"/>
    <x v="1"/>
    <x v="30"/>
    <x v="35"/>
    <x v="1"/>
    <x v="1"/>
    <x v="2"/>
  </r>
  <r>
    <x v="927"/>
    <x v="5"/>
    <x v="2"/>
    <x v="42"/>
    <x v="0"/>
    <x v="10"/>
    <x v="68"/>
    <x v="2"/>
    <x v="1"/>
    <x v="1"/>
  </r>
  <r>
    <x v="928"/>
    <x v="3"/>
    <x v="0"/>
    <x v="38"/>
    <x v="2"/>
    <x v="21"/>
    <x v="13"/>
    <x v="1"/>
    <x v="1"/>
    <x v="2"/>
  </r>
  <r>
    <x v="929"/>
    <x v="3"/>
    <x v="0"/>
    <x v="39"/>
    <x v="0"/>
    <x v="45"/>
    <x v="10"/>
    <x v="1"/>
    <x v="1"/>
    <x v="2"/>
  </r>
  <r>
    <x v="930"/>
    <x v="4"/>
    <x v="3"/>
    <x v="45"/>
    <x v="0"/>
    <x v="17"/>
    <x v="25"/>
    <x v="1"/>
    <x v="1"/>
    <x v="1"/>
  </r>
  <r>
    <x v="931"/>
    <x v="3"/>
    <x v="0"/>
    <x v="31"/>
    <x v="2"/>
    <x v="81"/>
    <x v="11"/>
    <x v="1"/>
    <x v="0"/>
    <x v="3"/>
  </r>
  <r>
    <x v="932"/>
    <x v="2"/>
    <x v="1"/>
    <x v="26"/>
    <x v="2"/>
    <x v="29"/>
    <x v="14"/>
    <x v="1"/>
    <x v="1"/>
    <x v="3"/>
  </r>
  <r>
    <x v="933"/>
    <x v="2"/>
    <x v="1"/>
    <x v="11"/>
    <x v="1"/>
    <x v="43"/>
    <x v="12"/>
    <x v="1"/>
    <x v="1"/>
    <x v="3"/>
  </r>
  <r>
    <x v="934"/>
    <x v="4"/>
    <x v="3"/>
    <x v="50"/>
    <x v="0"/>
    <x v="17"/>
    <x v="10"/>
    <x v="1"/>
    <x v="1"/>
    <x v="1"/>
  </r>
  <r>
    <x v="935"/>
    <x v="3"/>
    <x v="0"/>
    <x v="49"/>
    <x v="0"/>
    <x v="21"/>
    <x v="30"/>
    <x v="1"/>
    <x v="1"/>
    <x v="2"/>
  </r>
  <r>
    <x v="936"/>
    <x v="3"/>
    <x v="0"/>
    <x v="45"/>
    <x v="0"/>
    <x v="40"/>
    <x v="19"/>
    <x v="1"/>
    <x v="1"/>
    <x v="2"/>
  </r>
  <r>
    <x v="937"/>
    <x v="3"/>
    <x v="0"/>
    <x v="36"/>
    <x v="2"/>
    <x v="39"/>
    <x v="24"/>
    <x v="1"/>
    <x v="1"/>
    <x v="2"/>
  </r>
  <r>
    <x v="938"/>
    <x v="3"/>
    <x v="0"/>
    <x v="49"/>
    <x v="0"/>
    <x v="39"/>
    <x v="19"/>
    <x v="1"/>
    <x v="1"/>
    <x v="2"/>
  </r>
  <r>
    <x v="939"/>
    <x v="2"/>
    <x v="1"/>
    <x v="53"/>
    <x v="0"/>
    <x v="50"/>
    <x v="43"/>
    <x v="1"/>
    <x v="1"/>
    <x v="3"/>
  </r>
  <r>
    <x v="940"/>
    <x v="3"/>
    <x v="0"/>
    <x v="48"/>
    <x v="0"/>
    <x v="7"/>
    <x v="11"/>
    <x v="1"/>
    <x v="1"/>
    <x v="2"/>
  </r>
  <r>
    <x v="941"/>
    <x v="4"/>
    <x v="3"/>
    <x v="41"/>
    <x v="0"/>
    <x v="15"/>
    <x v="18"/>
    <x v="1"/>
    <x v="1"/>
    <x v="1"/>
  </r>
  <r>
    <x v="942"/>
    <x v="2"/>
    <x v="1"/>
    <x v="12"/>
    <x v="1"/>
    <x v="92"/>
    <x v="7"/>
    <x v="1"/>
    <x v="0"/>
    <x v="3"/>
  </r>
  <r>
    <x v="943"/>
    <x v="3"/>
    <x v="0"/>
    <x v="31"/>
    <x v="2"/>
    <x v="37"/>
    <x v="60"/>
    <x v="2"/>
    <x v="1"/>
    <x v="2"/>
  </r>
  <r>
    <x v="944"/>
    <x v="3"/>
    <x v="0"/>
    <x v="20"/>
    <x v="2"/>
    <x v="44"/>
    <x v="8"/>
    <x v="1"/>
    <x v="1"/>
    <x v="2"/>
  </r>
  <r>
    <x v="945"/>
    <x v="4"/>
    <x v="3"/>
    <x v="48"/>
    <x v="0"/>
    <x v="32"/>
    <x v="49"/>
    <x v="2"/>
    <x v="1"/>
    <x v="1"/>
  </r>
  <r>
    <x v="946"/>
    <x v="3"/>
    <x v="0"/>
    <x v="33"/>
    <x v="2"/>
    <x v="20"/>
    <x v="29"/>
    <x v="1"/>
    <x v="1"/>
    <x v="2"/>
  </r>
  <r>
    <x v="947"/>
    <x v="3"/>
    <x v="0"/>
    <x v="12"/>
    <x v="1"/>
    <x v="8"/>
    <x v="4"/>
    <x v="1"/>
    <x v="1"/>
    <x v="2"/>
  </r>
  <r>
    <x v="948"/>
    <x v="3"/>
    <x v="0"/>
    <x v="62"/>
    <x v="0"/>
    <x v="29"/>
    <x v="75"/>
    <x v="2"/>
    <x v="1"/>
    <x v="2"/>
  </r>
  <r>
    <x v="949"/>
    <x v="3"/>
    <x v="0"/>
    <x v="37"/>
    <x v="2"/>
    <x v="74"/>
    <x v="15"/>
    <x v="1"/>
    <x v="1"/>
    <x v="2"/>
  </r>
  <r>
    <x v="950"/>
    <x v="3"/>
    <x v="0"/>
    <x v="58"/>
    <x v="0"/>
    <x v="27"/>
    <x v="18"/>
    <x v="1"/>
    <x v="1"/>
    <x v="2"/>
  </r>
  <r>
    <x v="951"/>
    <x v="2"/>
    <x v="1"/>
    <x v="54"/>
    <x v="0"/>
    <x v="68"/>
    <x v="9"/>
    <x v="1"/>
    <x v="1"/>
    <x v="3"/>
  </r>
  <r>
    <x v="952"/>
    <x v="5"/>
    <x v="2"/>
    <x v="56"/>
    <x v="0"/>
    <x v="45"/>
    <x v="11"/>
    <x v="1"/>
    <x v="1"/>
    <x v="1"/>
  </r>
  <r>
    <x v="953"/>
    <x v="3"/>
    <x v="0"/>
    <x v="48"/>
    <x v="0"/>
    <x v="41"/>
    <x v="22"/>
    <x v="1"/>
    <x v="1"/>
    <x v="2"/>
  </r>
  <r>
    <x v="954"/>
    <x v="3"/>
    <x v="0"/>
    <x v="48"/>
    <x v="0"/>
    <x v="37"/>
    <x v="27"/>
    <x v="1"/>
    <x v="1"/>
    <x v="2"/>
  </r>
  <r>
    <x v="955"/>
    <x v="3"/>
    <x v="0"/>
    <x v="36"/>
    <x v="2"/>
    <x v="29"/>
    <x v="23"/>
    <x v="1"/>
    <x v="1"/>
    <x v="2"/>
  </r>
  <r>
    <x v="956"/>
    <x v="1"/>
    <x v="4"/>
    <x v="39"/>
    <x v="0"/>
    <x v="52"/>
    <x v="7"/>
    <x v="1"/>
    <x v="1"/>
    <x v="0"/>
  </r>
  <r>
    <x v="957"/>
    <x v="4"/>
    <x v="3"/>
    <x v="37"/>
    <x v="2"/>
    <x v="8"/>
    <x v="21"/>
    <x v="1"/>
    <x v="1"/>
    <x v="2"/>
  </r>
  <r>
    <x v="958"/>
    <x v="3"/>
    <x v="0"/>
    <x v="60"/>
    <x v="0"/>
    <x v="13"/>
    <x v="5"/>
    <x v="1"/>
    <x v="1"/>
    <x v="2"/>
  </r>
  <r>
    <x v="959"/>
    <x v="3"/>
    <x v="0"/>
    <x v="39"/>
    <x v="0"/>
    <x v="88"/>
    <x v="46"/>
    <x v="2"/>
    <x v="0"/>
    <x v="3"/>
  </r>
  <r>
    <x v="960"/>
    <x v="2"/>
    <x v="1"/>
    <x v="20"/>
    <x v="2"/>
    <x v="33"/>
    <x v="84"/>
    <x v="2"/>
    <x v="1"/>
    <x v="3"/>
  </r>
  <r>
    <x v="961"/>
    <x v="3"/>
    <x v="0"/>
    <x v="26"/>
    <x v="2"/>
    <x v="33"/>
    <x v="64"/>
    <x v="2"/>
    <x v="1"/>
    <x v="2"/>
  </r>
  <r>
    <x v="962"/>
    <x v="3"/>
    <x v="0"/>
    <x v="25"/>
    <x v="2"/>
    <x v="56"/>
    <x v="4"/>
    <x v="1"/>
    <x v="1"/>
    <x v="2"/>
  </r>
  <r>
    <x v="963"/>
    <x v="2"/>
    <x v="1"/>
    <x v="12"/>
    <x v="1"/>
    <x v="3"/>
    <x v="124"/>
    <x v="0"/>
    <x v="1"/>
    <x v="3"/>
  </r>
  <r>
    <x v="964"/>
    <x v="4"/>
    <x v="3"/>
    <x v="62"/>
    <x v="0"/>
    <x v="23"/>
    <x v="32"/>
    <x v="1"/>
    <x v="1"/>
    <x v="1"/>
  </r>
  <r>
    <x v="965"/>
    <x v="4"/>
    <x v="3"/>
    <x v="36"/>
    <x v="2"/>
    <x v="39"/>
    <x v="12"/>
    <x v="1"/>
    <x v="1"/>
    <x v="2"/>
  </r>
  <r>
    <x v="966"/>
    <x v="4"/>
    <x v="3"/>
    <x v="42"/>
    <x v="0"/>
    <x v="12"/>
    <x v="9"/>
    <x v="1"/>
    <x v="1"/>
    <x v="1"/>
  </r>
  <r>
    <x v="967"/>
    <x v="3"/>
    <x v="0"/>
    <x v="43"/>
    <x v="0"/>
    <x v="9"/>
    <x v="44"/>
    <x v="1"/>
    <x v="1"/>
    <x v="2"/>
  </r>
  <r>
    <x v="968"/>
    <x v="3"/>
    <x v="0"/>
    <x v="38"/>
    <x v="2"/>
    <x v="43"/>
    <x v="7"/>
    <x v="1"/>
    <x v="1"/>
    <x v="2"/>
  </r>
  <r>
    <x v="969"/>
    <x v="2"/>
    <x v="1"/>
    <x v="6"/>
    <x v="1"/>
    <x v="30"/>
    <x v="89"/>
    <x v="2"/>
    <x v="1"/>
    <x v="3"/>
  </r>
  <r>
    <x v="970"/>
    <x v="3"/>
    <x v="0"/>
    <x v="12"/>
    <x v="1"/>
    <x v="42"/>
    <x v="81"/>
    <x v="2"/>
    <x v="1"/>
    <x v="2"/>
  </r>
  <r>
    <x v="971"/>
    <x v="3"/>
    <x v="0"/>
    <x v="12"/>
    <x v="1"/>
    <x v="29"/>
    <x v="74"/>
    <x v="2"/>
    <x v="1"/>
    <x v="2"/>
  </r>
  <r>
    <x v="972"/>
    <x v="3"/>
    <x v="0"/>
    <x v="33"/>
    <x v="2"/>
    <x v="26"/>
    <x v="65"/>
    <x v="2"/>
    <x v="1"/>
    <x v="2"/>
  </r>
  <r>
    <x v="973"/>
    <x v="3"/>
    <x v="0"/>
    <x v="38"/>
    <x v="2"/>
    <x v="35"/>
    <x v="6"/>
    <x v="1"/>
    <x v="1"/>
    <x v="2"/>
  </r>
  <r>
    <x v="974"/>
    <x v="3"/>
    <x v="0"/>
    <x v="20"/>
    <x v="2"/>
    <x v="6"/>
    <x v="14"/>
    <x v="1"/>
    <x v="1"/>
    <x v="2"/>
  </r>
  <r>
    <x v="975"/>
    <x v="2"/>
    <x v="1"/>
    <x v="22"/>
    <x v="2"/>
    <x v="19"/>
    <x v="64"/>
    <x v="2"/>
    <x v="1"/>
    <x v="3"/>
  </r>
  <r>
    <x v="976"/>
    <x v="3"/>
    <x v="0"/>
    <x v="25"/>
    <x v="2"/>
    <x v="4"/>
    <x v="45"/>
    <x v="2"/>
    <x v="1"/>
    <x v="2"/>
  </r>
  <r>
    <x v="977"/>
    <x v="3"/>
    <x v="0"/>
    <x v="17"/>
    <x v="1"/>
    <x v="41"/>
    <x v="15"/>
    <x v="1"/>
    <x v="1"/>
    <x v="2"/>
  </r>
  <r>
    <x v="978"/>
    <x v="4"/>
    <x v="3"/>
    <x v="42"/>
    <x v="0"/>
    <x v="30"/>
    <x v="8"/>
    <x v="1"/>
    <x v="1"/>
    <x v="1"/>
  </r>
  <r>
    <x v="979"/>
    <x v="3"/>
    <x v="0"/>
    <x v="40"/>
    <x v="0"/>
    <x v="27"/>
    <x v="15"/>
    <x v="1"/>
    <x v="1"/>
    <x v="2"/>
  </r>
  <r>
    <x v="980"/>
    <x v="3"/>
    <x v="0"/>
    <x v="45"/>
    <x v="0"/>
    <x v="22"/>
    <x v="5"/>
    <x v="1"/>
    <x v="1"/>
    <x v="2"/>
  </r>
  <r>
    <x v="981"/>
    <x v="4"/>
    <x v="3"/>
    <x v="53"/>
    <x v="0"/>
    <x v="20"/>
    <x v="6"/>
    <x v="1"/>
    <x v="1"/>
    <x v="1"/>
  </r>
  <r>
    <x v="982"/>
    <x v="3"/>
    <x v="0"/>
    <x v="50"/>
    <x v="0"/>
    <x v="52"/>
    <x v="64"/>
    <x v="2"/>
    <x v="1"/>
    <x v="2"/>
  </r>
  <r>
    <x v="983"/>
    <x v="2"/>
    <x v="1"/>
    <x v="17"/>
    <x v="1"/>
    <x v="56"/>
    <x v="32"/>
    <x v="1"/>
    <x v="1"/>
    <x v="3"/>
  </r>
  <r>
    <x v="984"/>
    <x v="3"/>
    <x v="0"/>
    <x v="35"/>
    <x v="2"/>
    <x v="32"/>
    <x v="32"/>
    <x v="1"/>
    <x v="1"/>
    <x v="2"/>
  </r>
  <r>
    <x v="985"/>
    <x v="3"/>
    <x v="0"/>
    <x v="38"/>
    <x v="2"/>
    <x v="52"/>
    <x v="57"/>
    <x v="2"/>
    <x v="1"/>
    <x v="2"/>
  </r>
  <r>
    <x v="986"/>
    <x v="4"/>
    <x v="3"/>
    <x v="42"/>
    <x v="0"/>
    <x v="2"/>
    <x v="83"/>
    <x v="2"/>
    <x v="1"/>
    <x v="1"/>
  </r>
  <r>
    <x v="987"/>
    <x v="4"/>
    <x v="3"/>
    <x v="54"/>
    <x v="0"/>
    <x v="42"/>
    <x v="95"/>
    <x v="0"/>
    <x v="1"/>
    <x v="1"/>
  </r>
  <r>
    <x v="988"/>
    <x v="3"/>
    <x v="0"/>
    <x v="28"/>
    <x v="2"/>
    <x v="30"/>
    <x v="48"/>
    <x v="2"/>
    <x v="1"/>
    <x v="2"/>
  </r>
  <r>
    <x v="989"/>
    <x v="2"/>
    <x v="1"/>
    <x v="31"/>
    <x v="2"/>
    <x v="30"/>
    <x v="31"/>
    <x v="1"/>
    <x v="1"/>
    <x v="3"/>
  </r>
  <r>
    <x v="990"/>
    <x v="4"/>
    <x v="3"/>
    <x v="35"/>
    <x v="2"/>
    <x v="23"/>
    <x v="14"/>
    <x v="1"/>
    <x v="1"/>
    <x v="2"/>
  </r>
  <r>
    <x v="991"/>
    <x v="3"/>
    <x v="0"/>
    <x v="23"/>
    <x v="2"/>
    <x v="35"/>
    <x v="15"/>
    <x v="1"/>
    <x v="1"/>
    <x v="2"/>
  </r>
  <r>
    <x v="992"/>
    <x v="4"/>
    <x v="3"/>
    <x v="42"/>
    <x v="0"/>
    <x v="19"/>
    <x v="13"/>
    <x v="1"/>
    <x v="1"/>
    <x v="1"/>
  </r>
  <r>
    <x v="993"/>
    <x v="2"/>
    <x v="1"/>
    <x v="20"/>
    <x v="2"/>
    <x v="93"/>
    <x v="15"/>
    <x v="1"/>
    <x v="0"/>
    <x v="3"/>
  </r>
  <r>
    <x v="994"/>
    <x v="2"/>
    <x v="1"/>
    <x v="11"/>
    <x v="1"/>
    <x v="34"/>
    <x v="32"/>
    <x v="1"/>
    <x v="1"/>
    <x v="3"/>
  </r>
  <r>
    <x v="995"/>
    <x v="2"/>
    <x v="1"/>
    <x v="23"/>
    <x v="2"/>
    <x v="45"/>
    <x v="54"/>
    <x v="2"/>
    <x v="1"/>
    <x v="3"/>
  </r>
  <r>
    <x v="996"/>
    <x v="4"/>
    <x v="3"/>
    <x v="49"/>
    <x v="0"/>
    <x v="20"/>
    <x v="42"/>
    <x v="1"/>
    <x v="1"/>
    <x v="1"/>
  </r>
  <r>
    <x v="997"/>
    <x v="3"/>
    <x v="0"/>
    <x v="45"/>
    <x v="0"/>
    <x v="21"/>
    <x v="38"/>
    <x v="1"/>
    <x v="1"/>
    <x v="2"/>
  </r>
  <r>
    <x v="998"/>
    <x v="3"/>
    <x v="0"/>
    <x v="39"/>
    <x v="0"/>
    <x v="41"/>
    <x v="8"/>
    <x v="1"/>
    <x v="1"/>
    <x v="2"/>
  </r>
  <r>
    <x v="999"/>
    <x v="3"/>
    <x v="0"/>
    <x v="26"/>
    <x v="2"/>
    <x v="23"/>
    <x v="6"/>
    <x v="1"/>
    <x v="1"/>
    <x v="2"/>
  </r>
  <r>
    <x v="1000"/>
    <x v="3"/>
    <x v="0"/>
    <x v="31"/>
    <x v="2"/>
    <x v="54"/>
    <x v="38"/>
    <x v="1"/>
    <x v="1"/>
    <x v="2"/>
  </r>
  <r>
    <x v="1001"/>
    <x v="3"/>
    <x v="0"/>
    <x v="48"/>
    <x v="0"/>
    <x v="32"/>
    <x v="10"/>
    <x v="1"/>
    <x v="1"/>
    <x v="2"/>
  </r>
  <r>
    <x v="1002"/>
    <x v="3"/>
    <x v="0"/>
    <x v="12"/>
    <x v="1"/>
    <x v="23"/>
    <x v="59"/>
    <x v="2"/>
    <x v="1"/>
    <x v="2"/>
  </r>
  <r>
    <x v="1003"/>
    <x v="3"/>
    <x v="0"/>
    <x v="39"/>
    <x v="0"/>
    <x v="58"/>
    <x v="53"/>
    <x v="2"/>
    <x v="1"/>
    <x v="2"/>
  </r>
  <r>
    <x v="1004"/>
    <x v="1"/>
    <x v="4"/>
    <x v="36"/>
    <x v="2"/>
    <x v="112"/>
    <x v="41"/>
    <x v="1"/>
    <x v="0"/>
    <x v="0"/>
  </r>
  <r>
    <x v="1005"/>
    <x v="4"/>
    <x v="3"/>
    <x v="52"/>
    <x v="0"/>
    <x v="68"/>
    <x v="5"/>
    <x v="1"/>
    <x v="1"/>
    <x v="1"/>
  </r>
  <r>
    <x v="1006"/>
    <x v="2"/>
    <x v="1"/>
    <x v="38"/>
    <x v="2"/>
    <x v="118"/>
    <x v="73"/>
    <x v="2"/>
    <x v="0"/>
    <x v="3"/>
  </r>
  <r>
    <x v="1007"/>
    <x v="3"/>
    <x v="0"/>
    <x v="33"/>
    <x v="2"/>
    <x v="22"/>
    <x v="41"/>
    <x v="1"/>
    <x v="1"/>
    <x v="2"/>
  </r>
  <r>
    <x v="1008"/>
    <x v="2"/>
    <x v="1"/>
    <x v="38"/>
    <x v="2"/>
    <x v="27"/>
    <x v="5"/>
    <x v="1"/>
    <x v="1"/>
    <x v="3"/>
  </r>
  <r>
    <x v="1009"/>
    <x v="3"/>
    <x v="0"/>
    <x v="26"/>
    <x v="2"/>
    <x v="29"/>
    <x v="48"/>
    <x v="2"/>
    <x v="1"/>
    <x v="2"/>
  </r>
  <r>
    <x v="1010"/>
    <x v="2"/>
    <x v="1"/>
    <x v="10"/>
    <x v="1"/>
    <x v="68"/>
    <x v="55"/>
    <x v="2"/>
    <x v="1"/>
    <x v="3"/>
  </r>
  <r>
    <x v="1011"/>
    <x v="2"/>
    <x v="1"/>
    <x v="32"/>
    <x v="2"/>
    <x v="64"/>
    <x v="110"/>
    <x v="0"/>
    <x v="1"/>
    <x v="3"/>
  </r>
  <r>
    <x v="1012"/>
    <x v="3"/>
    <x v="0"/>
    <x v="43"/>
    <x v="0"/>
    <x v="33"/>
    <x v="33"/>
    <x v="1"/>
    <x v="1"/>
    <x v="2"/>
  </r>
  <r>
    <x v="1013"/>
    <x v="2"/>
    <x v="1"/>
    <x v="47"/>
    <x v="0"/>
    <x v="96"/>
    <x v="6"/>
    <x v="1"/>
    <x v="0"/>
    <x v="3"/>
  </r>
  <r>
    <x v="1014"/>
    <x v="1"/>
    <x v="4"/>
    <x v="15"/>
    <x v="1"/>
    <x v="122"/>
    <x v="13"/>
    <x v="1"/>
    <x v="0"/>
    <x v="0"/>
  </r>
  <r>
    <x v="1015"/>
    <x v="3"/>
    <x v="0"/>
    <x v="50"/>
    <x v="0"/>
    <x v="29"/>
    <x v="14"/>
    <x v="1"/>
    <x v="1"/>
    <x v="2"/>
  </r>
  <r>
    <x v="1016"/>
    <x v="2"/>
    <x v="1"/>
    <x v="31"/>
    <x v="2"/>
    <x v="113"/>
    <x v="6"/>
    <x v="1"/>
    <x v="0"/>
    <x v="3"/>
  </r>
  <r>
    <x v="1017"/>
    <x v="4"/>
    <x v="3"/>
    <x v="49"/>
    <x v="0"/>
    <x v="9"/>
    <x v="35"/>
    <x v="1"/>
    <x v="1"/>
    <x v="1"/>
  </r>
  <r>
    <x v="1018"/>
    <x v="2"/>
    <x v="1"/>
    <x v="31"/>
    <x v="2"/>
    <x v="113"/>
    <x v="6"/>
    <x v="1"/>
    <x v="0"/>
    <x v="3"/>
  </r>
  <r>
    <x v="1019"/>
    <x v="3"/>
    <x v="0"/>
    <x v="12"/>
    <x v="1"/>
    <x v="85"/>
    <x v="58"/>
    <x v="2"/>
    <x v="0"/>
    <x v="3"/>
  </r>
  <r>
    <x v="1020"/>
    <x v="3"/>
    <x v="0"/>
    <x v="12"/>
    <x v="1"/>
    <x v="33"/>
    <x v="50"/>
    <x v="2"/>
    <x v="1"/>
    <x v="2"/>
  </r>
  <r>
    <x v="1021"/>
    <x v="3"/>
    <x v="0"/>
    <x v="12"/>
    <x v="1"/>
    <x v="52"/>
    <x v="89"/>
    <x v="2"/>
    <x v="1"/>
    <x v="2"/>
  </r>
  <r>
    <x v="1022"/>
    <x v="3"/>
    <x v="0"/>
    <x v="17"/>
    <x v="1"/>
    <x v="50"/>
    <x v="3"/>
    <x v="1"/>
    <x v="1"/>
    <x v="2"/>
  </r>
  <r>
    <x v="1023"/>
    <x v="3"/>
    <x v="0"/>
    <x v="32"/>
    <x v="2"/>
    <x v="10"/>
    <x v="71"/>
    <x v="2"/>
    <x v="1"/>
    <x v="2"/>
  </r>
  <r>
    <x v="1024"/>
    <x v="4"/>
    <x v="3"/>
    <x v="36"/>
    <x v="2"/>
    <x v="21"/>
    <x v="4"/>
    <x v="1"/>
    <x v="1"/>
    <x v="2"/>
  </r>
  <r>
    <x v="1025"/>
    <x v="5"/>
    <x v="2"/>
    <x v="41"/>
    <x v="0"/>
    <x v="32"/>
    <x v="6"/>
    <x v="1"/>
    <x v="1"/>
    <x v="1"/>
  </r>
  <r>
    <x v="1026"/>
    <x v="2"/>
    <x v="1"/>
    <x v="11"/>
    <x v="1"/>
    <x v="84"/>
    <x v="70"/>
    <x v="2"/>
    <x v="0"/>
    <x v="3"/>
  </r>
  <r>
    <x v="1027"/>
    <x v="4"/>
    <x v="3"/>
    <x v="33"/>
    <x v="2"/>
    <x v="23"/>
    <x v="38"/>
    <x v="1"/>
    <x v="1"/>
    <x v="2"/>
  </r>
  <r>
    <x v="1028"/>
    <x v="2"/>
    <x v="1"/>
    <x v="20"/>
    <x v="2"/>
    <x v="80"/>
    <x v="46"/>
    <x v="2"/>
    <x v="0"/>
    <x v="3"/>
  </r>
  <r>
    <x v="1029"/>
    <x v="4"/>
    <x v="3"/>
    <x v="36"/>
    <x v="2"/>
    <x v="27"/>
    <x v="18"/>
    <x v="1"/>
    <x v="1"/>
    <x v="2"/>
  </r>
  <r>
    <x v="1030"/>
    <x v="3"/>
    <x v="0"/>
    <x v="25"/>
    <x v="2"/>
    <x v="66"/>
    <x v="9"/>
    <x v="1"/>
    <x v="1"/>
    <x v="2"/>
  </r>
  <r>
    <x v="1031"/>
    <x v="2"/>
    <x v="1"/>
    <x v="10"/>
    <x v="1"/>
    <x v="34"/>
    <x v="47"/>
    <x v="2"/>
    <x v="1"/>
    <x v="3"/>
  </r>
  <r>
    <x v="1032"/>
    <x v="3"/>
    <x v="0"/>
    <x v="26"/>
    <x v="2"/>
    <x v="26"/>
    <x v="7"/>
    <x v="1"/>
    <x v="1"/>
    <x v="2"/>
  </r>
  <r>
    <x v="1033"/>
    <x v="3"/>
    <x v="0"/>
    <x v="25"/>
    <x v="2"/>
    <x v="20"/>
    <x v="3"/>
    <x v="1"/>
    <x v="1"/>
    <x v="2"/>
  </r>
  <r>
    <x v="1034"/>
    <x v="3"/>
    <x v="0"/>
    <x v="37"/>
    <x v="2"/>
    <x v="11"/>
    <x v="23"/>
    <x v="1"/>
    <x v="1"/>
    <x v="2"/>
  </r>
  <r>
    <x v="1035"/>
    <x v="3"/>
    <x v="0"/>
    <x v="12"/>
    <x v="1"/>
    <x v="50"/>
    <x v="74"/>
    <x v="2"/>
    <x v="1"/>
    <x v="2"/>
  </r>
  <r>
    <x v="1036"/>
    <x v="3"/>
    <x v="0"/>
    <x v="45"/>
    <x v="0"/>
    <x v="21"/>
    <x v="68"/>
    <x v="2"/>
    <x v="1"/>
    <x v="2"/>
  </r>
  <r>
    <x v="1037"/>
    <x v="3"/>
    <x v="0"/>
    <x v="28"/>
    <x v="2"/>
    <x v="29"/>
    <x v="18"/>
    <x v="1"/>
    <x v="1"/>
    <x v="2"/>
  </r>
  <r>
    <x v="1038"/>
    <x v="3"/>
    <x v="0"/>
    <x v="32"/>
    <x v="2"/>
    <x v="27"/>
    <x v="44"/>
    <x v="1"/>
    <x v="1"/>
    <x v="2"/>
  </r>
  <r>
    <x v="1039"/>
    <x v="3"/>
    <x v="0"/>
    <x v="39"/>
    <x v="0"/>
    <x v="19"/>
    <x v="38"/>
    <x v="1"/>
    <x v="1"/>
    <x v="2"/>
  </r>
  <r>
    <x v="1040"/>
    <x v="3"/>
    <x v="0"/>
    <x v="15"/>
    <x v="1"/>
    <x v="44"/>
    <x v="84"/>
    <x v="2"/>
    <x v="1"/>
    <x v="2"/>
  </r>
  <r>
    <x v="1041"/>
    <x v="3"/>
    <x v="0"/>
    <x v="45"/>
    <x v="0"/>
    <x v="23"/>
    <x v="17"/>
    <x v="1"/>
    <x v="1"/>
    <x v="2"/>
  </r>
  <r>
    <x v="1042"/>
    <x v="3"/>
    <x v="0"/>
    <x v="24"/>
    <x v="2"/>
    <x v="27"/>
    <x v="14"/>
    <x v="1"/>
    <x v="1"/>
    <x v="2"/>
  </r>
  <r>
    <x v="1043"/>
    <x v="2"/>
    <x v="1"/>
    <x v="11"/>
    <x v="1"/>
    <x v="36"/>
    <x v="71"/>
    <x v="2"/>
    <x v="1"/>
    <x v="3"/>
  </r>
  <r>
    <x v="1044"/>
    <x v="2"/>
    <x v="1"/>
    <x v="7"/>
    <x v="1"/>
    <x v="52"/>
    <x v="40"/>
    <x v="1"/>
    <x v="1"/>
    <x v="3"/>
  </r>
  <r>
    <x v="1045"/>
    <x v="2"/>
    <x v="1"/>
    <x v="15"/>
    <x v="1"/>
    <x v="52"/>
    <x v="15"/>
    <x v="1"/>
    <x v="1"/>
    <x v="3"/>
  </r>
  <r>
    <x v="1046"/>
    <x v="4"/>
    <x v="3"/>
    <x v="62"/>
    <x v="0"/>
    <x v="32"/>
    <x v="83"/>
    <x v="2"/>
    <x v="1"/>
    <x v="1"/>
  </r>
  <r>
    <x v="1047"/>
    <x v="2"/>
    <x v="1"/>
    <x v="12"/>
    <x v="1"/>
    <x v="33"/>
    <x v="60"/>
    <x v="2"/>
    <x v="1"/>
    <x v="3"/>
  </r>
  <r>
    <x v="1048"/>
    <x v="3"/>
    <x v="0"/>
    <x v="42"/>
    <x v="0"/>
    <x v="2"/>
    <x v="52"/>
    <x v="2"/>
    <x v="1"/>
    <x v="2"/>
  </r>
  <r>
    <x v="1049"/>
    <x v="2"/>
    <x v="1"/>
    <x v="31"/>
    <x v="2"/>
    <x v="99"/>
    <x v="85"/>
    <x v="2"/>
    <x v="0"/>
    <x v="3"/>
  </r>
  <r>
    <x v="1050"/>
    <x v="1"/>
    <x v="4"/>
    <x v="10"/>
    <x v="1"/>
    <x v="7"/>
    <x v="30"/>
    <x v="1"/>
    <x v="1"/>
    <x v="0"/>
  </r>
  <r>
    <x v="1051"/>
    <x v="3"/>
    <x v="0"/>
    <x v="53"/>
    <x v="0"/>
    <x v="86"/>
    <x v="12"/>
    <x v="1"/>
    <x v="0"/>
    <x v="3"/>
  </r>
  <r>
    <x v="1052"/>
    <x v="1"/>
    <x v="4"/>
    <x v="39"/>
    <x v="0"/>
    <x v="20"/>
    <x v="106"/>
    <x v="0"/>
    <x v="1"/>
    <x v="0"/>
  </r>
  <r>
    <x v="1053"/>
    <x v="3"/>
    <x v="0"/>
    <x v="11"/>
    <x v="1"/>
    <x v="47"/>
    <x v="11"/>
    <x v="1"/>
    <x v="1"/>
    <x v="2"/>
  </r>
  <r>
    <x v="1054"/>
    <x v="1"/>
    <x v="4"/>
    <x v="15"/>
    <x v="1"/>
    <x v="82"/>
    <x v="18"/>
    <x v="1"/>
    <x v="0"/>
    <x v="0"/>
  </r>
  <r>
    <x v="1055"/>
    <x v="1"/>
    <x v="4"/>
    <x v="42"/>
    <x v="0"/>
    <x v="70"/>
    <x v="14"/>
    <x v="1"/>
    <x v="1"/>
    <x v="0"/>
  </r>
  <r>
    <x v="1056"/>
    <x v="2"/>
    <x v="1"/>
    <x v="10"/>
    <x v="1"/>
    <x v="58"/>
    <x v="54"/>
    <x v="2"/>
    <x v="1"/>
    <x v="3"/>
  </r>
  <r>
    <x v="1057"/>
    <x v="2"/>
    <x v="1"/>
    <x v="17"/>
    <x v="1"/>
    <x v="25"/>
    <x v="59"/>
    <x v="2"/>
    <x v="1"/>
    <x v="3"/>
  </r>
  <r>
    <x v="1058"/>
    <x v="3"/>
    <x v="0"/>
    <x v="47"/>
    <x v="0"/>
    <x v="29"/>
    <x v="34"/>
    <x v="1"/>
    <x v="1"/>
    <x v="2"/>
  </r>
  <r>
    <x v="1059"/>
    <x v="2"/>
    <x v="1"/>
    <x v="12"/>
    <x v="1"/>
    <x v="48"/>
    <x v="81"/>
    <x v="2"/>
    <x v="1"/>
    <x v="3"/>
  </r>
  <r>
    <x v="1060"/>
    <x v="3"/>
    <x v="0"/>
    <x v="24"/>
    <x v="2"/>
    <x v="13"/>
    <x v="140"/>
    <x v="0"/>
    <x v="1"/>
    <x v="2"/>
  </r>
  <r>
    <x v="1061"/>
    <x v="2"/>
    <x v="1"/>
    <x v="26"/>
    <x v="2"/>
    <x v="47"/>
    <x v="28"/>
    <x v="1"/>
    <x v="1"/>
    <x v="3"/>
  </r>
  <r>
    <x v="1062"/>
    <x v="2"/>
    <x v="1"/>
    <x v="20"/>
    <x v="2"/>
    <x v="84"/>
    <x v="42"/>
    <x v="1"/>
    <x v="0"/>
    <x v="3"/>
  </r>
  <r>
    <x v="1063"/>
    <x v="3"/>
    <x v="0"/>
    <x v="35"/>
    <x v="2"/>
    <x v="30"/>
    <x v="30"/>
    <x v="1"/>
    <x v="1"/>
    <x v="2"/>
  </r>
  <r>
    <x v="1064"/>
    <x v="3"/>
    <x v="0"/>
    <x v="32"/>
    <x v="2"/>
    <x v="56"/>
    <x v="31"/>
    <x v="1"/>
    <x v="1"/>
    <x v="2"/>
  </r>
  <r>
    <x v="1065"/>
    <x v="2"/>
    <x v="1"/>
    <x v="17"/>
    <x v="1"/>
    <x v="52"/>
    <x v="54"/>
    <x v="2"/>
    <x v="1"/>
    <x v="3"/>
  </r>
  <r>
    <x v="1066"/>
    <x v="2"/>
    <x v="1"/>
    <x v="17"/>
    <x v="1"/>
    <x v="80"/>
    <x v="8"/>
    <x v="1"/>
    <x v="0"/>
    <x v="3"/>
  </r>
  <r>
    <x v="1067"/>
    <x v="2"/>
    <x v="1"/>
    <x v="12"/>
    <x v="1"/>
    <x v="68"/>
    <x v="7"/>
    <x v="1"/>
    <x v="1"/>
    <x v="3"/>
  </r>
  <r>
    <x v="1068"/>
    <x v="2"/>
    <x v="1"/>
    <x v="32"/>
    <x v="2"/>
    <x v="76"/>
    <x v="29"/>
    <x v="1"/>
    <x v="1"/>
    <x v="3"/>
  </r>
  <r>
    <x v="1069"/>
    <x v="2"/>
    <x v="1"/>
    <x v="33"/>
    <x v="2"/>
    <x v="64"/>
    <x v="40"/>
    <x v="1"/>
    <x v="1"/>
    <x v="3"/>
  </r>
  <r>
    <x v="1070"/>
    <x v="2"/>
    <x v="1"/>
    <x v="7"/>
    <x v="1"/>
    <x v="54"/>
    <x v="54"/>
    <x v="2"/>
    <x v="1"/>
    <x v="3"/>
  </r>
  <r>
    <x v="1071"/>
    <x v="3"/>
    <x v="0"/>
    <x v="33"/>
    <x v="2"/>
    <x v="52"/>
    <x v="63"/>
    <x v="2"/>
    <x v="1"/>
    <x v="2"/>
  </r>
  <r>
    <x v="1072"/>
    <x v="3"/>
    <x v="0"/>
    <x v="37"/>
    <x v="2"/>
    <x v="64"/>
    <x v="27"/>
    <x v="1"/>
    <x v="1"/>
    <x v="2"/>
  </r>
  <r>
    <x v="1073"/>
    <x v="2"/>
    <x v="1"/>
    <x v="10"/>
    <x v="1"/>
    <x v="63"/>
    <x v="50"/>
    <x v="2"/>
    <x v="1"/>
    <x v="3"/>
  </r>
  <r>
    <x v="1074"/>
    <x v="1"/>
    <x v="4"/>
    <x v="36"/>
    <x v="2"/>
    <x v="130"/>
    <x v="18"/>
    <x v="1"/>
    <x v="0"/>
    <x v="0"/>
  </r>
  <r>
    <x v="1075"/>
    <x v="2"/>
    <x v="1"/>
    <x v="17"/>
    <x v="1"/>
    <x v="35"/>
    <x v="60"/>
    <x v="2"/>
    <x v="1"/>
    <x v="3"/>
  </r>
  <r>
    <x v="1076"/>
    <x v="1"/>
    <x v="4"/>
    <x v="15"/>
    <x v="1"/>
    <x v="92"/>
    <x v="20"/>
    <x v="1"/>
    <x v="0"/>
    <x v="0"/>
  </r>
  <r>
    <x v="1077"/>
    <x v="3"/>
    <x v="0"/>
    <x v="42"/>
    <x v="0"/>
    <x v="25"/>
    <x v="45"/>
    <x v="2"/>
    <x v="1"/>
    <x v="2"/>
  </r>
  <r>
    <x v="1078"/>
    <x v="3"/>
    <x v="0"/>
    <x v="24"/>
    <x v="2"/>
    <x v="50"/>
    <x v="30"/>
    <x v="1"/>
    <x v="1"/>
    <x v="2"/>
  </r>
  <r>
    <x v="1079"/>
    <x v="3"/>
    <x v="0"/>
    <x v="38"/>
    <x v="2"/>
    <x v="33"/>
    <x v="13"/>
    <x v="1"/>
    <x v="1"/>
    <x v="2"/>
  </r>
  <r>
    <x v="1080"/>
    <x v="3"/>
    <x v="0"/>
    <x v="12"/>
    <x v="1"/>
    <x v="30"/>
    <x v="45"/>
    <x v="2"/>
    <x v="1"/>
    <x v="2"/>
  </r>
  <r>
    <x v="1081"/>
    <x v="5"/>
    <x v="2"/>
    <x v="63"/>
    <x v="0"/>
    <x v="40"/>
    <x v="82"/>
    <x v="2"/>
    <x v="1"/>
    <x v="1"/>
  </r>
  <r>
    <x v="1082"/>
    <x v="3"/>
    <x v="0"/>
    <x v="63"/>
    <x v="0"/>
    <x v="26"/>
    <x v="54"/>
    <x v="2"/>
    <x v="1"/>
    <x v="2"/>
  </r>
  <r>
    <x v="1083"/>
    <x v="3"/>
    <x v="0"/>
    <x v="41"/>
    <x v="0"/>
    <x v="34"/>
    <x v="58"/>
    <x v="2"/>
    <x v="1"/>
    <x v="2"/>
  </r>
  <r>
    <x v="1084"/>
    <x v="2"/>
    <x v="1"/>
    <x v="36"/>
    <x v="2"/>
    <x v="36"/>
    <x v="38"/>
    <x v="1"/>
    <x v="1"/>
    <x v="3"/>
  </r>
  <r>
    <x v="1085"/>
    <x v="2"/>
    <x v="1"/>
    <x v="10"/>
    <x v="1"/>
    <x v="52"/>
    <x v="38"/>
    <x v="1"/>
    <x v="1"/>
    <x v="3"/>
  </r>
  <r>
    <x v="1086"/>
    <x v="3"/>
    <x v="0"/>
    <x v="36"/>
    <x v="2"/>
    <x v="52"/>
    <x v="30"/>
    <x v="1"/>
    <x v="1"/>
    <x v="2"/>
  </r>
  <r>
    <x v="1087"/>
    <x v="3"/>
    <x v="0"/>
    <x v="12"/>
    <x v="1"/>
    <x v="79"/>
    <x v="76"/>
    <x v="2"/>
    <x v="0"/>
    <x v="3"/>
  </r>
  <r>
    <x v="1088"/>
    <x v="1"/>
    <x v="4"/>
    <x v="45"/>
    <x v="0"/>
    <x v="29"/>
    <x v="4"/>
    <x v="1"/>
    <x v="1"/>
    <x v="0"/>
  </r>
  <r>
    <x v="1089"/>
    <x v="3"/>
    <x v="0"/>
    <x v="16"/>
    <x v="1"/>
    <x v="74"/>
    <x v="4"/>
    <x v="1"/>
    <x v="1"/>
    <x v="2"/>
  </r>
  <r>
    <x v="1090"/>
    <x v="4"/>
    <x v="3"/>
    <x v="39"/>
    <x v="0"/>
    <x v="15"/>
    <x v="3"/>
    <x v="1"/>
    <x v="1"/>
    <x v="1"/>
  </r>
  <r>
    <x v="1091"/>
    <x v="3"/>
    <x v="0"/>
    <x v="25"/>
    <x v="2"/>
    <x v="36"/>
    <x v="48"/>
    <x v="2"/>
    <x v="1"/>
    <x v="2"/>
  </r>
  <r>
    <x v="1092"/>
    <x v="3"/>
    <x v="0"/>
    <x v="32"/>
    <x v="2"/>
    <x v="89"/>
    <x v="16"/>
    <x v="1"/>
    <x v="0"/>
    <x v="3"/>
  </r>
  <r>
    <x v="1093"/>
    <x v="3"/>
    <x v="0"/>
    <x v="23"/>
    <x v="2"/>
    <x v="62"/>
    <x v="63"/>
    <x v="2"/>
    <x v="1"/>
    <x v="2"/>
  </r>
  <r>
    <x v="1094"/>
    <x v="2"/>
    <x v="1"/>
    <x v="32"/>
    <x v="2"/>
    <x v="32"/>
    <x v="30"/>
    <x v="1"/>
    <x v="1"/>
    <x v="3"/>
  </r>
  <r>
    <x v="1095"/>
    <x v="2"/>
    <x v="1"/>
    <x v="26"/>
    <x v="2"/>
    <x v="25"/>
    <x v="41"/>
    <x v="1"/>
    <x v="1"/>
    <x v="3"/>
  </r>
  <r>
    <x v="1096"/>
    <x v="3"/>
    <x v="0"/>
    <x v="49"/>
    <x v="0"/>
    <x v="1"/>
    <x v="25"/>
    <x v="1"/>
    <x v="1"/>
    <x v="2"/>
  </r>
  <r>
    <x v="1097"/>
    <x v="2"/>
    <x v="1"/>
    <x v="55"/>
    <x v="0"/>
    <x v="56"/>
    <x v="1"/>
    <x v="1"/>
    <x v="1"/>
    <x v="3"/>
  </r>
  <r>
    <x v="1098"/>
    <x v="2"/>
    <x v="1"/>
    <x v="23"/>
    <x v="2"/>
    <x v="56"/>
    <x v="103"/>
    <x v="0"/>
    <x v="1"/>
    <x v="3"/>
  </r>
  <r>
    <x v="1099"/>
    <x v="2"/>
    <x v="1"/>
    <x v="33"/>
    <x v="2"/>
    <x v="84"/>
    <x v="6"/>
    <x v="1"/>
    <x v="0"/>
    <x v="3"/>
  </r>
  <r>
    <x v="1100"/>
    <x v="3"/>
    <x v="0"/>
    <x v="32"/>
    <x v="2"/>
    <x v="63"/>
    <x v="54"/>
    <x v="2"/>
    <x v="1"/>
    <x v="2"/>
  </r>
  <r>
    <x v="1101"/>
    <x v="3"/>
    <x v="0"/>
    <x v="49"/>
    <x v="0"/>
    <x v="28"/>
    <x v="22"/>
    <x v="1"/>
    <x v="1"/>
    <x v="2"/>
  </r>
  <r>
    <x v="1102"/>
    <x v="1"/>
    <x v="4"/>
    <x v="16"/>
    <x v="1"/>
    <x v="87"/>
    <x v="6"/>
    <x v="1"/>
    <x v="0"/>
    <x v="0"/>
  </r>
  <r>
    <x v="1103"/>
    <x v="2"/>
    <x v="1"/>
    <x v="12"/>
    <x v="1"/>
    <x v="62"/>
    <x v="72"/>
    <x v="2"/>
    <x v="1"/>
    <x v="3"/>
  </r>
  <r>
    <x v="1104"/>
    <x v="3"/>
    <x v="0"/>
    <x v="46"/>
    <x v="0"/>
    <x v="44"/>
    <x v="23"/>
    <x v="1"/>
    <x v="1"/>
    <x v="2"/>
  </r>
  <r>
    <x v="1105"/>
    <x v="3"/>
    <x v="0"/>
    <x v="47"/>
    <x v="0"/>
    <x v="56"/>
    <x v="12"/>
    <x v="1"/>
    <x v="1"/>
    <x v="2"/>
  </r>
  <r>
    <x v="1106"/>
    <x v="0"/>
    <x v="4"/>
    <x v="32"/>
    <x v="2"/>
    <x v="142"/>
    <x v="3"/>
    <x v="1"/>
    <x v="0"/>
    <x v="0"/>
  </r>
  <r>
    <x v="1107"/>
    <x v="3"/>
    <x v="0"/>
    <x v="50"/>
    <x v="0"/>
    <x v="65"/>
    <x v="22"/>
    <x v="1"/>
    <x v="1"/>
    <x v="2"/>
  </r>
  <r>
    <x v="1108"/>
    <x v="3"/>
    <x v="0"/>
    <x v="41"/>
    <x v="0"/>
    <x v="108"/>
    <x v="51"/>
    <x v="2"/>
    <x v="0"/>
    <x v="3"/>
  </r>
  <r>
    <x v="1109"/>
    <x v="3"/>
    <x v="0"/>
    <x v="36"/>
    <x v="2"/>
    <x v="25"/>
    <x v="9"/>
    <x v="1"/>
    <x v="1"/>
    <x v="2"/>
  </r>
  <r>
    <x v="1110"/>
    <x v="2"/>
    <x v="1"/>
    <x v="36"/>
    <x v="2"/>
    <x v="12"/>
    <x v="62"/>
    <x v="2"/>
    <x v="1"/>
    <x v="3"/>
  </r>
  <r>
    <x v="1111"/>
    <x v="2"/>
    <x v="1"/>
    <x v="7"/>
    <x v="1"/>
    <x v="94"/>
    <x v="62"/>
    <x v="2"/>
    <x v="0"/>
    <x v="3"/>
  </r>
  <r>
    <x v="1112"/>
    <x v="2"/>
    <x v="1"/>
    <x v="17"/>
    <x v="1"/>
    <x v="58"/>
    <x v="83"/>
    <x v="2"/>
    <x v="1"/>
    <x v="3"/>
  </r>
  <r>
    <x v="1113"/>
    <x v="2"/>
    <x v="1"/>
    <x v="22"/>
    <x v="2"/>
    <x v="74"/>
    <x v="86"/>
    <x v="2"/>
    <x v="1"/>
    <x v="3"/>
  </r>
  <r>
    <x v="1114"/>
    <x v="1"/>
    <x v="4"/>
    <x v="35"/>
    <x v="2"/>
    <x v="72"/>
    <x v="23"/>
    <x v="1"/>
    <x v="1"/>
    <x v="0"/>
  </r>
  <r>
    <x v="1115"/>
    <x v="2"/>
    <x v="1"/>
    <x v="7"/>
    <x v="1"/>
    <x v="60"/>
    <x v="57"/>
    <x v="2"/>
    <x v="1"/>
    <x v="3"/>
  </r>
  <r>
    <x v="1116"/>
    <x v="3"/>
    <x v="0"/>
    <x v="53"/>
    <x v="0"/>
    <x v="42"/>
    <x v="21"/>
    <x v="1"/>
    <x v="1"/>
    <x v="2"/>
  </r>
  <r>
    <x v="1117"/>
    <x v="2"/>
    <x v="1"/>
    <x v="26"/>
    <x v="2"/>
    <x v="138"/>
    <x v="35"/>
    <x v="1"/>
    <x v="0"/>
    <x v="3"/>
  </r>
  <r>
    <x v="1118"/>
    <x v="3"/>
    <x v="0"/>
    <x v="22"/>
    <x v="2"/>
    <x v="23"/>
    <x v="59"/>
    <x v="2"/>
    <x v="1"/>
    <x v="2"/>
  </r>
  <r>
    <x v="1119"/>
    <x v="3"/>
    <x v="0"/>
    <x v="22"/>
    <x v="2"/>
    <x v="23"/>
    <x v="63"/>
    <x v="2"/>
    <x v="1"/>
    <x v="2"/>
  </r>
  <r>
    <x v="1120"/>
    <x v="3"/>
    <x v="0"/>
    <x v="17"/>
    <x v="1"/>
    <x v="62"/>
    <x v="86"/>
    <x v="2"/>
    <x v="1"/>
    <x v="2"/>
  </r>
  <r>
    <x v="1121"/>
    <x v="3"/>
    <x v="0"/>
    <x v="50"/>
    <x v="0"/>
    <x v="84"/>
    <x v="40"/>
    <x v="1"/>
    <x v="0"/>
    <x v="3"/>
  </r>
  <r>
    <x v="1122"/>
    <x v="3"/>
    <x v="0"/>
    <x v="43"/>
    <x v="0"/>
    <x v="34"/>
    <x v="35"/>
    <x v="1"/>
    <x v="1"/>
    <x v="2"/>
  </r>
  <r>
    <x v="1123"/>
    <x v="3"/>
    <x v="0"/>
    <x v="6"/>
    <x v="1"/>
    <x v="88"/>
    <x v="58"/>
    <x v="2"/>
    <x v="0"/>
    <x v="3"/>
  </r>
  <r>
    <x v="1124"/>
    <x v="2"/>
    <x v="1"/>
    <x v="22"/>
    <x v="2"/>
    <x v="68"/>
    <x v="83"/>
    <x v="2"/>
    <x v="1"/>
    <x v="3"/>
  </r>
  <r>
    <x v="1125"/>
    <x v="3"/>
    <x v="0"/>
    <x v="50"/>
    <x v="0"/>
    <x v="84"/>
    <x v="40"/>
    <x v="1"/>
    <x v="0"/>
    <x v="3"/>
  </r>
  <r>
    <x v="1126"/>
    <x v="2"/>
    <x v="1"/>
    <x v="38"/>
    <x v="2"/>
    <x v="21"/>
    <x v="12"/>
    <x v="1"/>
    <x v="1"/>
    <x v="3"/>
  </r>
  <r>
    <x v="1127"/>
    <x v="4"/>
    <x v="3"/>
    <x v="33"/>
    <x v="2"/>
    <x v="23"/>
    <x v="49"/>
    <x v="2"/>
    <x v="1"/>
    <x v="2"/>
  </r>
  <r>
    <x v="1128"/>
    <x v="3"/>
    <x v="0"/>
    <x v="28"/>
    <x v="2"/>
    <x v="36"/>
    <x v="28"/>
    <x v="1"/>
    <x v="1"/>
    <x v="2"/>
  </r>
  <r>
    <x v="1129"/>
    <x v="2"/>
    <x v="1"/>
    <x v="10"/>
    <x v="1"/>
    <x v="43"/>
    <x v="32"/>
    <x v="1"/>
    <x v="1"/>
    <x v="3"/>
  </r>
  <r>
    <x v="1130"/>
    <x v="3"/>
    <x v="0"/>
    <x v="17"/>
    <x v="1"/>
    <x v="56"/>
    <x v="86"/>
    <x v="2"/>
    <x v="1"/>
    <x v="2"/>
  </r>
  <r>
    <x v="1131"/>
    <x v="2"/>
    <x v="1"/>
    <x v="7"/>
    <x v="1"/>
    <x v="110"/>
    <x v="61"/>
    <x v="2"/>
    <x v="0"/>
    <x v="3"/>
  </r>
  <r>
    <x v="1132"/>
    <x v="3"/>
    <x v="0"/>
    <x v="16"/>
    <x v="1"/>
    <x v="27"/>
    <x v="19"/>
    <x v="1"/>
    <x v="1"/>
    <x v="2"/>
  </r>
  <r>
    <x v="1133"/>
    <x v="2"/>
    <x v="1"/>
    <x v="15"/>
    <x v="1"/>
    <x v="91"/>
    <x v="42"/>
    <x v="1"/>
    <x v="0"/>
    <x v="3"/>
  </r>
  <r>
    <x v="1134"/>
    <x v="2"/>
    <x v="1"/>
    <x v="20"/>
    <x v="2"/>
    <x v="103"/>
    <x v="5"/>
    <x v="1"/>
    <x v="0"/>
    <x v="3"/>
  </r>
  <r>
    <x v="1135"/>
    <x v="3"/>
    <x v="0"/>
    <x v="51"/>
    <x v="0"/>
    <x v="52"/>
    <x v="34"/>
    <x v="1"/>
    <x v="1"/>
    <x v="2"/>
  </r>
  <r>
    <x v="1136"/>
    <x v="2"/>
    <x v="1"/>
    <x v="12"/>
    <x v="1"/>
    <x v="41"/>
    <x v="20"/>
    <x v="1"/>
    <x v="1"/>
    <x v="3"/>
  </r>
  <r>
    <x v="1137"/>
    <x v="3"/>
    <x v="0"/>
    <x v="26"/>
    <x v="2"/>
    <x v="42"/>
    <x v="25"/>
    <x v="1"/>
    <x v="1"/>
    <x v="2"/>
  </r>
  <r>
    <x v="1138"/>
    <x v="3"/>
    <x v="0"/>
    <x v="25"/>
    <x v="2"/>
    <x v="45"/>
    <x v="25"/>
    <x v="1"/>
    <x v="1"/>
    <x v="2"/>
  </r>
  <r>
    <x v="1139"/>
    <x v="2"/>
    <x v="1"/>
    <x v="33"/>
    <x v="2"/>
    <x v="32"/>
    <x v="14"/>
    <x v="1"/>
    <x v="1"/>
    <x v="3"/>
  </r>
  <r>
    <x v="1140"/>
    <x v="3"/>
    <x v="0"/>
    <x v="23"/>
    <x v="2"/>
    <x v="34"/>
    <x v="22"/>
    <x v="1"/>
    <x v="1"/>
    <x v="2"/>
  </r>
  <r>
    <x v="1141"/>
    <x v="2"/>
    <x v="1"/>
    <x v="38"/>
    <x v="2"/>
    <x v="54"/>
    <x v="7"/>
    <x v="1"/>
    <x v="1"/>
    <x v="3"/>
  </r>
  <r>
    <x v="1142"/>
    <x v="2"/>
    <x v="1"/>
    <x v="12"/>
    <x v="1"/>
    <x v="67"/>
    <x v="6"/>
    <x v="1"/>
    <x v="1"/>
    <x v="3"/>
  </r>
  <r>
    <x v="1143"/>
    <x v="2"/>
    <x v="1"/>
    <x v="31"/>
    <x v="2"/>
    <x v="50"/>
    <x v="35"/>
    <x v="1"/>
    <x v="1"/>
    <x v="3"/>
  </r>
  <r>
    <x v="1144"/>
    <x v="2"/>
    <x v="1"/>
    <x v="20"/>
    <x v="2"/>
    <x v="56"/>
    <x v="67"/>
    <x v="2"/>
    <x v="1"/>
    <x v="3"/>
  </r>
  <r>
    <x v="1145"/>
    <x v="3"/>
    <x v="0"/>
    <x v="42"/>
    <x v="0"/>
    <x v="60"/>
    <x v="40"/>
    <x v="1"/>
    <x v="1"/>
    <x v="2"/>
  </r>
  <r>
    <x v="1146"/>
    <x v="2"/>
    <x v="1"/>
    <x v="24"/>
    <x v="2"/>
    <x v="65"/>
    <x v="51"/>
    <x v="2"/>
    <x v="1"/>
    <x v="3"/>
  </r>
  <r>
    <x v="1147"/>
    <x v="2"/>
    <x v="1"/>
    <x v="20"/>
    <x v="2"/>
    <x v="52"/>
    <x v="22"/>
    <x v="1"/>
    <x v="1"/>
    <x v="3"/>
  </r>
  <r>
    <x v="1148"/>
    <x v="2"/>
    <x v="1"/>
    <x v="22"/>
    <x v="2"/>
    <x v="19"/>
    <x v="26"/>
    <x v="1"/>
    <x v="1"/>
    <x v="3"/>
  </r>
  <r>
    <x v="1149"/>
    <x v="2"/>
    <x v="1"/>
    <x v="22"/>
    <x v="2"/>
    <x v="21"/>
    <x v="22"/>
    <x v="1"/>
    <x v="1"/>
    <x v="3"/>
  </r>
  <r>
    <x v="1150"/>
    <x v="3"/>
    <x v="0"/>
    <x v="35"/>
    <x v="2"/>
    <x v="33"/>
    <x v="61"/>
    <x v="2"/>
    <x v="1"/>
    <x v="2"/>
  </r>
  <r>
    <x v="1151"/>
    <x v="2"/>
    <x v="1"/>
    <x v="12"/>
    <x v="1"/>
    <x v="64"/>
    <x v="92"/>
    <x v="2"/>
    <x v="1"/>
    <x v="3"/>
  </r>
  <r>
    <x v="1152"/>
    <x v="3"/>
    <x v="0"/>
    <x v="21"/>
    <x v="2"/>
    <x v="38"/>
    <x v="22"/>
    <x v="1"/>
    <x v="1"/>
    <x v="2"/>
  </r>
  <r>
    <x v="1153"/>
    <x v="2"/>
    <x v="1"/>
    <x v="32"/>
    <x v="2"/>
    <x v="45"/>
    <x v="32"/>
    <x v="1"/>
    <x v="1"/>
    <x v="3"/>
  </r>
  <r>
    <x v="1154"/>
    <x v="2"/>
    <x v="1"/>
    <x v="22"/>
    <x v="2"/>
    <x v="106"/>
    <x v="48"/>
    <x v="2"/>
    <x v="0"/>
    <x v="3"/>
  </r>
  <r>
    <x v="1155"/>
    <x v="1"/>
    <x v="4"/>
    <x v="17"/>
    <x v="1"/>
    <x v="102"/>
    <x v="57"/>
    <x v="2"/>
    <x v="0"/>
    <x v="0"/>
  </r>
  <r>
    <x v="1156"/>
    <x v="3"/>
    <x v="0"/>
    <x v="42"/>
    <x v="0"/>
    <x v="57"/>
    <x v="25"/>
    <x v="1"/>
    <x v="1"/>
    <x v="2"/>
  </r>
  <r>
    <x v="1157"/>
    <x v="2"/>
    <x v="1"/>
    <x v="12"/>
    <x v="1"/>
    <x v="41"/>
    <x v="36"/>
    <x v="1"/>
    <x v="1"/>
    <x v="3"/>
  </r>
  <r>
    <x v="1158"/>
    <x v="2"/>
    <x v="1"/>
    <x v="17"/>
    <x v="1"/>
    <x v="84"/>
    <x v="39"/>
    <x v="1"/>
    <x v="0"/>
    <x v="3"/>
  </r>
  <r>
    <x v="1159"/>
    <x v="3"/>
    <x v="0"/>
    <x v="26"/>
    <x v="2"/>
    <x v="45"/>
    <x v="99"/>
    <x v="0"/>
    <x v="1"/>
    <x v="2"/>
  </r>
  <r>
    <x v="1160"/>
    <x v="3"/>
    <x v="0"/>
    <x v="17"/>
    <x v="1"/>
    <x v="90"/>
    <x v="68"/>
    <x v="2"/>
    <x v="0"/>
    <x v="3"/>
  </r>
  <r>
    <x v="1161"/>
    <x v="1"/>
    <x v="4"/>
    <x v="25"/>
    <x v="2"/>
    <x v="58"/>
    <x v="2"/>
    <x v="1"/>
    <x v="1"/>
    <x v="0"/>
  </r>
  <r>
    <x v="1162"/>
    <x v="2"/>
    <x v="1"/>
    <x v="7"/>
    <x v="1"/>
    <x v="92"/>
    <x v="60"/>
    <x v="2"/>
    <x v="0"/>
    <x v="3"/>
  </r>
  <r>
    <x v="1163"/>
    <x v="3"/>
    <x v="0"/>
    <x v="40"/>
    <x v="0"/>
    <x v="52"/>
    <x v="8"/>
    <x v="1"/>
    <x v="1"/>
    <x v="2"/>
  </r>
  <r>
    <x v="1164"/>
    <x v="2"/>
    <x v="1"/>
    <x v="10"/>
    <x v="1"/>
    <x v="86"/>
    <x v="84"/>
    <x v="2"/>
    <x v="0"/>
    <x v="3"/>
  </r>
  <r>
    <x v="1165"/>
    <x v="0"/>
    <x v="4"/>
    <x v="17"/>
    <x v="1"/>
    <x v="99"/>
    <x v="23"/>
    <x v="1"/>
    <x v="0"/>
    <x v="0"/>
  </r>
  <r>
    <x v="1166"/>
    <x v="2"/>
    <x v="1"/>
    <x v="18"/>
    <x v="1"/>
    <x v="48"/>
    <x v="94"/>
    <x v="2"/>
    <x v="1"/>
    <x v="3"/>
  </r>
  <r>
    <x v="1167"/>
    <x v="2"/>
    <x v="1"/>
    <x v="20"/>
    <x v="2"/>
    <x v="113"/>
    <x v="25"/>
    <x v="1"/>
    <x v="0"/>
    <x v="3"/>
  </r>
  <r>
    <x v="1168"/>
    <x v="3"/>
    <x v="0"/>
    <x v="47"/>
    <x v="0"/>
    <x v="40"/>
    <x v="68"/>
    <x v="2"/>
    <x v="1"/>
    <x v="2"/>
  </r>
  <r>
    <x v="1169"/>
    <x v="3"/>
    <x v="0"/>
    <x v="18"/>
    <x v="1"/>
    <x v="35"/>
    <x v="22"/>
    <x v="1"/>
    <x v="1"/>
    <x v="2"/>
  </r>
  <r>
    <x v="1170"/>
    <x v="3"/>
    <x v="0"/>
    <x v="31"/>
    <x v="2"/>
    <x v="50"/>
    <x v="29"/>
    <x v="1"/>
    <x v="1"/>
    <x v="2"/>
  </r>
  <r>
    <x v="1171"/>
    <x v="2"/>
    <x v="1"/>
    <x v="15"/>
    <x v="1"/>
    <x v="102"/>
    <x v="19"/>
    <x v="1"/>
    <x v="0"/>
    <x v="3"/>
  </r>
  <r>
    <x v="1172"/>
    <x v="2"/>
    <x v="1"/>
    <x v="18"/>
    <x v="1"/>
    <x v="56"/>
    <x v="99"/>
    <x v="0"/>
    <x v="1"/>
    <x v="3"/>
  </r>
  <r>
    <x v="1173"/>
    <x v="2"/>
    <x v="1"/>
    <x v="12"/>
    <x v="1"/>
    <x v="87"/>
    <x v="79"/>
    <x v="2"/>
    <x v="0"/>
    <x v="3"/>
  </r>
  <r>
    <x v="1174"/>
    <x v="2"/>
    <x v="1"/>
    <x v="7"/>
    <x v="1"/>
    <x v="98"/>
    <x v="80"/>
    <x v="2"/>
    <x v="0"/>
    <x v="3"/>
  </r>
  <r>
    <x v="1175"/>
    <x v="2"/>
    <x v="1"/>
    <x v="15"/>
    <x v="1"/>
    <x v="64"/>
    <x v="17"/>
    <x v="1"/>
    <x v="1"/>
    <x v="3"/>
  </r>
  <r>
    <x v="1176"/>
    <x v="2"/>
    <x v="1"/>
    <x v="24"/>
    <x v="2"/>
    <x v="64"/>
    <x v="43"/>
    <x v="1"/>
    <x v="1"/>
    <x v="3"/>
  </r>
  <r>
    <x v="1177"/>
    <x v="2"/>
    <x v="1"/>
    <x v="16"/>
    <x v="1"/>
    <x v="39"/>
    <x v="104"/>
    <x v="0"/>
    <x v="1"/>
    <x v="3"/>
  </r>
  <r>
    <x v="1178"/>
    <x v="3"/>
    <x v="0"/>
    <x v="50"/>
    <x v="0"/>
    <x v="40"/>
    <x v="27"/>
    <x v="1"/>
    <x v="1"/>
    <x v="2"/>
  </r>
  <r>
    <x v="1179"/>
    <x v="2"/>
    <x v="1"/>
    <x v="33"/>
    <x v="2"/>
    <x v="64"/>
    <x v="27"/>
    <x v="1"/>
    <x v="1"/>
    <x v="3"/>
  </r>
  <r>
    <x v="1180"/>
    <x v="2"/>
    <x v="1"/>
    <x v="17"/>
    <x v="1"/>
    <x v="60"/>
    <x v="6"/>
    <x v="1"/>
    <x v="1"/>
    <x v="3"/>
  </r>
  <r>
    <x v="1181"/>
    <x v="2"/>
    <x v="1"/>
    <x v="23"/>
    <x v="2"/>
    <x v="43"/>
    <x v="53"/>
    <x v="2"/>
    <x v="1"/>
    <x v="3"/>
  </r>
  <r>
    <x v="1182"/>
    <x v="2"/>
    <x v="1"/>
    <x v="7"/>
    <x v="1"/>
    <x v="50"/>
    <x v="67"/>
    <x v="2"/>
    <x v="1"/>
    <x v="3"/>
  </r>
  <r>
    <x v="1183"/>
    <x v="3"/>
    <x v="0"/>
    <x v="13"/>
    <x v="1"/>
    <x v="73"/>
    <x v="6"/>
    <x v="1"/>
    <x v="1"/>
    <x v="2"/>
  </r>
  <r>
    <x v="1184"/>
    <x v="2"/>
    <x v="1"/>
    <x v="13"/>
    <x v="1"/>
    <x v="71"/>
    <x v="5"/>
    <x v="1"/>
    <x v="1"/>
    <x v="3"/>
  </r>
  <r>
    <x v="1185"/>
    <x v="2"/>
    <x v="1"/>
    <x v="18"/>
    <x v="1"/>
    <x v="54"/>
    <x v="98"/>
    <x v="0"/>
    <x v="1"/>
    <x v="3"/>
  </r>
  <r>
    <x v="1186"/>
    <x v="4"/>
    <x v="3"/>
    <x v="23"/>
    <x v="2"/>
    <x v="56"/>
    <x v="22"/>
    <x v="1"/>
    <x v="1"/>
    <x v="2"/>
  </r>
  <r>
    <x v="1187"/>
    <x v="3"/>
    <x v="0"/>
    <x v="35"/>
    <x v="2"/>
    <x v="70"/>
    <x v="18"/>
    <x v="1"/>
    <x v="1"/>
    <x v="2"/>
  </r>
  <r>
    <x v="1188"/>
    <x v="2"/>
    <x v="1"/>
    <x v="18"/>
    <x v="1"/>
    <x v="74"/>
    <x v="128"/>
    <x v="0"/>
    <x v="1"/>
    <x v="3"/>
  </r>
  <r>
    <x v="1189"/>
    <x v="3"/>
    <x v="0"/>
    <x v="43"/>
    <x v="0"/>
    <x v="15"/>
    <x v="18"/>
    <x v="1"/>
    <x v="1"/>
    <x v="2"/>
  </r>
  <r>
    <x v="1190"/>
    <x v="5"/>
    <x v="2"/>
    <x v="20"/>
    <x v="2"/>
    <x v="20"/>
    <x v="7"/>
    <x v="1"/>
    <x v="1"/>
    <x v="2"/>
  </r>
  <r>
    <x v="1191"/>
    <x v="3"/>
    <x v="0"/>
    <x v="29"/>
    <x v="2"/>
    <x v="41"/>
    <x v="40"/>
    <x v="1"/>
    <x v="1"/>
    <x v="2"/>
  </r>
  <r>
    <x v="1192"/>
    <x v="4"/>
    <x v="3"/>
    <x v="37"/>
    <x v="2"/>
    <x v="12"/>
    <x v="28"/>
    <x v="1"/>
    <x v="1"/>
    <x v="2"/>
  </r>
  <r>
    <x v="1193"/>
    <x v="3"/>
    <x v="0"/>
    <x v="32"/>
    <x v="2"/>
    <x v="8"/>
    <x v="16"/>
    <x v="1"/>
    <x v="1"/>
    <x v="2"/>
  </r>
  <r>
    <x v="1194"/>
    <x v="3"/>
    <x v="0"/>
    <x v="29"/>
    <x v="2"/>
    <x v="42"/>
    <x v="48"/>
    <x v="2"/>
    <x v="1"/>
    <x v="2"/>
  </r>
  <r>
    <x v="1195"/>
    <x v="4"/>
    <x v="3"/>
    <x v="49"/>
    <x v="0"/>
    <x v="13"/>
    <x v="47"/>
    <x v="2"/>
    <x v="1"/>
    <x v="1"/>
  </r>
  <r>
    <x v="1196"/>
    <x v="3"/>
    <x v="0"/>
    <x v="43"/>
    <x v="0"/>
    <x v="123"/>
    <x v="10"/>
    <x v="1"/>
    <x v="0"/>
    <x v="3"/>
  </r>
  <r>
    <x v="1197"/>
    <x v="3"/>
    <x v="0"/>
    <x v="28"/>
    <x v="2"/>
    <x v="37"/>
    <x v="13"/>
    <x v="1"/>
    <x v="1"/>
    <x v="2"/>
  </r>
  <r>
    <x v="1198"/>
    <x v="2"/>
    <x v="1"/>
    <x v="22"/>
    <x v="2"/>
    <x v="50"/>
    <x v="84"/>
    <x v="2"/>
    <x v="1"/>
    <x v="3"/>
  </r>
  <r>
    <x v="1199"/>
    <x v="2"/>
    <x v="1"/>
    <x v="15"/>
    <x v="1"/>
    <x v="19"/>
    <x v="9"/>
    <x v="1"/>
    <x v="1"/>
    <x v="3"/>
  </r>
  <r>
    <x v="1200"/>
    <x v="2"/>
    <x v="1"/>
    <x v="11"/>
    <x v="1"/>
    <x v="52"/>
    <x v="12"/>
    <x v="1"/>
    <x v="1"/>
    <x v="3"/>
  </r>
  <r>
    <x v="1201"/>
    <x v="4"/>
    <x v="3"/>
    <x v="46"/>
    <x v="0"/>
    <x v="21"/>
    <x v="31"/>
    <x v="1"/>
    <x v="1"/>
    <x v="1"/>
  </r>
  <r>
    <x v="1202"/>
    <x v="2"/>
    <x v="1"/>
    <x v="17"/>
    <x v="1"/>
    <x v="44"/>
    <x v="13"/>
    <x v="1"/>
    <x v="1"/>
    <x v="3"/>
  </r>
  <r>
    <x v="1203"/>
    <x v="2"/>
    <x v="1"/>
    <x v="18"/>
    <x v="1"/>
    <x v="64"/>
    <x v="122"/>
    <x v="0"/>
    <x v="1"/>
    <x v="3"/>
  </r>
  <r>
    <x v="1204"/>
    <x v="2"/>
    <x v="1"/>
    <x v="11"/>
    <x v="1"/>
    <x v="29"/>
    <x v="52"/>
    <x v="2"/>
    <x v="1"/>
    <x v="3"/>
  </r>
  <r>
    <x v="1205"/>
    <x v="3"/>
    <x v="0"/>
    <x v="38"/>
    <x v="2"/>
    <x v="45"/>
    <x v="49"/>
    <x v="2"/>
    <x v="1"/>
    <x v="2"/>
  </r>
  <r>
    <x v="1206"/>
    <x v="1"/>
    <x v="4"/>
    <x v="33"/>
    <x v="2"/>
    <x v="44"/>
    <x v="25"/>
    <x v="1"/>
    <x v="1"/>
    <x v="0"/>
  </r>
  <r>
    <x v="1207"/>
    <x v="3"/>
    <x v="0"/>
    <x v="15"/>
    <x v="1"/>
    <x v="10"/>
    <x v="17"/>
    <x v="1"/>
    <x v="1"/>
    <x v="2"/>
  </r>
  <r>
    <x v="1208"/>
    <x v="3"/>
    <x v="0"/>
    <x v="46"/>
    <x v="0"/>
    <x v="7"/>
    <x v="54"/>
    <x v="2"/>
    <x v="1"/>
    <x v="2"/>
  </r>
  <r>
    <x v="1209"/>
    <x v="2"/>
    <x v="1"/>
    <x v="36"/>
    <x v="2"/>
    <x v="30"/>
    <x v="17"/>
    <x v="1"/>
    <x v="1"/>
    <x v="3"/>
  </r>
  <r>
    <x v="1210"/>
    <x v="2"/>
    <x v="1"/>
    <x v="33"/>
    <x v="2"/>
    <x v="64"/>
    <x v="49"/>
    <x v="2"/>
    <x v="1"/>
    <x v="3"/>
  </r>
  <r>
    <x v="1211"/>
    <x v="2"/>
    <x v="1"/>
    <x v="37"/>
    <x v="2"/>
    <x v="2"/>
    <x v="61"/>
    <x v="2"/>
    <x v="1"/>
    <x v="3"/>
  </r>
  <r>
    <x v="1212"/>
    <x v="2"/>
    <x v="1"/>
    <x v="25"/>
    <x v="2"/>
    <x v="30"/>
    <x v="41"/>
    <x v="1"/>
    <x v="1"/>
    <x v="3"/>
  </r>
  <r>
    <x v="1213"/>
    <x v="3"/>
    <x v="0"/>
    <x v="18"/>
    <x v="1"/>
    <x v="33"/>
    <x v="68"/>
    <x v="2"/>
    <x v="1"/>
    <x v="2"/>
  </r>
  <r>
    <x v="1214"/>
    <x v="3"/>
    <x v="0"/>
    <x v="41"/>
    <x v="0"/>
    <x v="34"/>
    <x v="5"/>
    <x v="1"/>
    <x v="1"/>
    <x v="2"/>
  </r>
  <r>
    <x v="1215"/>
    <x v="4"/>
    <x v="3"/>
    <x v="22"/>
    <x v="2"/>
    <x v="29"/>
    <x v="19"/>
    <x v="1"/>
    <x v="1"/>
    <x v="2"/>
  </r>
  <r>
    <x v="1216"/>
    <x v="3"/>
    <x v="0"/>
    <x v="4"/>
    <x v="1"/>
    <x v="45"/>
    <x v="90"/>
    <x v="2"/>
    <x v="1"/>
    <x v="2"/>
  </r>
  <r>
    <x v="1217"/>
    <x v="2"/>
    <x v="1"/>
    <x v="1"/>
    <x v="1"/>
    <x v="26"/>
    <x v="85"/>
    <x v="2"/>
    <x v="1"/>
    <x v="3"/>
  </r>
  <r>
    <x v="1218"/>
    <x v="2"/>
    <x v="1"/>
    <x v="35"/>
    <x v="2"/>
    <x v="118"/>
    <x v="33"/>
    <x v="1"/>
    <x v="0"/>
    <x v="3"/>
  </r>
  <r>
    <x v="1219"/>
    <x v="2"/>
    <x v="1"/>
    <x v="24"/>
    <x v="2"/>
    <x v="54"/>
    <x v="2"/>
    <x v="1"/>
    <x v="1"/>
    <x v="3"/>
  </r>
  <r>
    <x v="1220"/>
    <x v="3"/>
    <x v="0"/>
    <x v="34"/>
    <x v="2"/>
    <x v="70"/>
    <x v="87"/>
    <x v="2"/>
    <x v="1"/>
    <x v="2"/>
  </r>
  <r>
    <x v="1221"/>
    <x v="4"/>
    <x v="3"/>
    <x v="37"/>
    <x v="2"/>
    <x v="25"/>
    <x v="22"/>
    <x v="1"/>
    <x v="1"/>
    <x v="2"/>
  </r>
  <r>
    <x v="1222"/>
    <x v="3"/>
    <x v="0"/>
    <x v="14"/>
    <x v="1"/>
    <x v="93"/>
    <x v="92"/>
    <x v="2"/>
    <x v="0"/>
    <x v="3"/>
  </r>
  <r>
    <x v="1223"/>
    <x v="2"/>
    <x v="1"/>
    <x v="17"/>
    <x v="1"/>
    <x v="62"/>
    <x v="24"/>
    <x v="1"/>
    <x v="1"/>
    <x v="3"/>
  </r>
  <r>
    <x v="1224"/>
    <x v="2"/>
    <x v="1"/>
    <x v="41"/>
    <x v="0"/>
    <x v="52"/>
    <x v="16"/>
    <x v="1"/>
    <x v="1"/>
    <x v="3"/>
  </r>
  <r>
    <x v="1225"/>
    <x v="3"/>
    <x v="0"/>
    <x v="35"/>
    <x v="2"/>
    <x v="70"/>
    <x v="87"/>
    <x v="2"/>
    <x v="1"/>
    <x v="2"/>
  </r>
  <r>
    <x v="1226"/>
    <x v="3"/>
    <x v="0"/>
    <x v="15"/>
    <x v="1"/>
    <x v="93"/>
    <x v="92"/>
    <x v="2"/>
    <x v="0"/>
    <x v="3"/>
  </r>
  <r>
    <x v="1227"/>
    <x v="2"/>
    <x v="1"/>
    <x v="16"/>
    <x v="1"/>
    <x v="70"/>
    <x v="33"/>
    <x v="1"/>
    <x v="1"/>
    <x v="3"/>
  </r>
  <r>
    <x v="1228"/>
    <x v="2"/>
    <x v="1"/>
    <x v="16"/>
    <x v="1"/>
    <x v="52"/>
    <x v="48"/>
    <x v="2"/>
    <x v="1"/>
    <x v="3"/>
  </r>
  <r>
    <x v="1229"/>
    <x v="5"/>
    <x v="2"/>
    <x v="37"/>
    <x v="2"/>
    <x v="26"/>
    <x v="23"/>
    <x v="1"/>
    <x v="1"/>
    <x v="2"/>
  </r>
  <r>
    <x v="1230"/>
    <x v="4"/>
    <x v="3"/>
    <x v="33"/>
    <x v="2"/>
    <x v="19"/>
    <x v="11"/>
    <x v="1"/>
    <x v="1"/>
    <x v="2"/>
  </r>
  <r>
    <x v="1231"/>
    <x v="4"/>
    <x v="3"/>
    <x v="40"/>
    <x v="0"/>
    <x v="52"/>
    <x v="47"/>
    <x v="2"/>
    <x v="1"/>
    <x v="1"/>
  </r>
  <r>
    <x v="1232"/>
    <x v="2"/>
    <x v="1"/>
    <x v="4"/>
    <x v="1"/>
    <x v="40"/>
    <x v="80"/>
    <x v="2"/>
    <x v="1"/>
    <x v="3"/>
  </r>
  <r>
    <x v="1233"/>
    <x v="3"/>
    <x v="0"/>
    <x v="32"/>
    <x v="2"/>
    <x v="35"/>
    <x v="17"/>
    <x v="1"/>
    <x v="1"/>
    <x v="2"/>
  </r>
  <r>
    <x v="1234"/>
    <x v="3"/>
    <x v="0"/>
    <x v="32"/>
    <x v="2"/>
    <x v="116"/>
    <x v="11"/>
    <x v="1"/>
    <x v="0"/>
    <x v="3"/>
  </r>
  <r>
    <x v="1235"/>
    <x v="3"/>
    <x v="0"/>
    <x v="27"/>
    <x v="2"/>
    <x v="45"/>
    <x v="84"/>
    <x v="2"/>
    <x v="1"/>
    <x v="2"/>
  </r>
  <r>
    <x v="1236"/>
    <x v="2"/>
    <x v="1"/>
    <x v="26"/>
    <x v="2"/>
    <x v="13"/>
    <x v="14"/>
    <x v="1"/>
    <x v="1"/>
    <x v="3"/>
  </r>
  <r>
    <x v="1237"/>
    <x v="4"/>
    <x v="3"/>
    <x v="43"/>
    <x v="0"/>
    <x v="4"/>
    <x v="9"/>
    <x v="1"/>
    <x v="1"/>
    <x v="1"/>
  </r>
  <r>
    <x v="1238"/>
    <x v="3"/>
    <x v="0"/>
    <x v="25"/>
    <x v="2"/>
    <x v="32"/>
    <x v="58"/>
    <x v="2"/>
    <x v="1"/>
    <x v="2"/>
  </r>
  <r>
    <x v="1239"/>
    <x v="1"/>
    <x v="4"/>
    <x v="20"/>
    <x v="2"/>
    <x v="93"/>
    <x v="7"/>
    <x v="1"/>
    <x v="0"/>
    <x v="0"/>
  </r>
  <r>
    <x v="1240"/>
    <x v="3"/>
    <x v="0"/>
    <x v="25"/>
    <x v="2"/>
    <x v="64"/>
    <x v="25"/>
    <x v="1"/>
    <x v="1"/>
    <x v="2"/>
  </r>
  <r>
    <x v="1241"/>
    <x v="3"/>
    <x v="0"/>
    <x v="31"/>
    <x v="2"/>
    <x v="62"/>
    <x v="33"/>
    <x v="1"/>
    <x v="1"/>
    <x v="2"/>
  </r>
  <r>
    <x v="1242"/>
    <x v="2"/>
    <x v="1"/>
    <x v="16"/>
    <x v="1"/>
    <x v="54"/>
    <x v="47"/>
    <x v="2"/>
    <x v="1"/>
    <x v="3"/>
  </r>
  <r>
    <x v="1243"/>
    <x v="4"/>
    <x v="3"/>
    <x v="20"/>
    <x v="2"/>
    <x v="39"/>
    <x v="48"/>
    <x v="2"/>
    <x v="1"/>
    <x v="2"/>
  </r>
  <r>
    <x v="1244"/>
    <x v="1"/>
    <x v="4"/>
    <x v="33"/>
    <x v="2"/>
    <x v="133"/>
    <x v="26"/>
    <x v="1"/>
    <x v="0"/>
    <x v="0"/>
  </r>
  <r>
    <x v="1245"/>
    <x v="0"/>
    <x v="4"/>
    <x v="16"/>
    <x v="1"/>
    <x v="126"/>
    <x v="43"/>
    <x v="1"/>
    <x v="0"/>
    <x v="0"/>
  </r>
  <r>
    <x v="1246"/>
    <x v="2"/>
    <x v="1"/>
    <x v="16"/>
    <x v="1"/>
    <x v="74"/>
    <x v="18"/>
    <x v="1"/>
    <x v="1"/>
    <x v="3"/>
  </r>
  <r>
    <x v="1247"/>
    <x v="2"/>
    <x v="1"/>
    <x v="51"/>
    <x v="0"/>
    <x v="76"/>
    <x v="10"/>
    <x v="1"/>
    <x v="1"/>
    <x v="3"/>
  </r>
  <r>
    <x v="1248"/>
    <x v="3"/>
    <x v="0"/>
    <x v="35"/>
    <x v="2"/>
    <x v="22"/>
    <x v="38"/>
    <x v="1"/>
    <x v="1"/>
    <x v="2"/>
  </r>
  <r>
    <x v="1249"/>
    <x v="2"/>
    <x v="1"/>
    <x v="33"/>
    <x v="2"/>
    <x v="56"/>
    <x v="39"/>
    <x v="1"/>
    <x v="1"/>
    <x v="3"/>
  </r>
  <r>
    <x v="1250"/>
    <x v="2"/>
    <x v="1"/>
    <x v="3"/>
    <x v="1"/>
    <x v="41"/>
    <x v="77"/>
    <x v="2"/>
    <x v="1"/>
    <x v="3"/>
  </r>
  <r>
    <x v="1251"/>
    <x v="4"/>
    <x v="3"/>
    <x v="61"/>
    <x v="0"/>
    <x v="37"/>
    <x v="84"/>
    <x v="2"/>
    <x v="1"/>
    <x v="1"/>
  </r>
  <r>
    <x v="1252"/>
    <x v="4"/>
    <x v="3"/>
    <x v="62"/>
    <x v="0"/>
    <x v="37"/>
    <x v="84"/>
    <x v="2"/>
    <x v="1"/>
    <x v="1"/>
  </r>
  <r>
    <x v="1253"/>
    <x v="0"/>
    <x v="4"/>
    <x v="23"/>
    <x v="2"/>
    <x v="111"/>
    <x v="8"/>
    <x v="1"/>
    <x v="0"/>
    <x v="0"/>
  </r>
  <r>
    <x v="1254"/>
    <x v="2"/>
    <x v="1"/>
    <x v="28"/>
    <x v="2"/>
    <x v="12"/>
    <x v="16"/>
    <x v="1"/>
    <x v="1"/>
    <x v="3"/>
  </r>
  <r>
    <x v="1255"/>
    <x v="1"/>
    <x v="4"/>
    <x v="22"/>
    <x v="2"/>
    <x v="60"/>
    <x v="7"/>
    <x v="1"/>
    <x v="1"/>
    <x v="0"/>
  </r>
  <r>
    <x v="1256"/>
    <x v="1"/>
    <x v="4"/>
    <x v="24"/>
    <x v="2"/>
    <x v="52"/>
    <x v="3"/>
    <x v="1"/>
    <x v="1"/>
    <x v="0"/>
  </r>
  <r>
    <x v="1257"/>
    <x v="2"/>
    <x v="1"/>
    <x v="29"/>
    <x v="2"/>
    <x v="20"/>
    <x v="6"/>
    <x v="1"/>
    <x v="1"/>
    <x v="3"/>
  </r>
  <r>
    <x v="1258"/>
    <x v="1"/>
    <x v="4"/>
    <x v="32"/>
    <x v="2"/>
    <x v="117"/>
    <x v="5"/>
    <x v="1"/>
    <x v="0"/>
    <x v="0"/>
  </r>
  <r>
    <x v="1259"/>
    <x v="2"/>
    <x v="1"/>
    <x v="16"/>
    <x v="1"/>
    <x v="67"/>
    <x v="19"/>
    <x v="1"/>
    <x v="1"/>
    <x v="3"/>
  </r>
  <r>
    <x v="1260"/>
    <x v="2"/>
    <x v="1"/>
    <x v="24"/>
    <x v="2"/>
    <x v="72"/>
    <x v="17"/>
    <x v="1"/>
    <x v="1"/>
    <x v="3"/>
  </r>
  <r>
    <x v="1261"/>
    <x v="2"/>
    <x v="1"/>
    <x v="28"/>
    <x v="2"/>
    <x v="64"/>
    <x v="11"/>
    <x v="1"/>
    <x v="1"/>
    <x v="3"/>
  </r>
  <r>
    <x v="1262"/>
    <x v="2"/>
    <x v="1"/>
    <x v="38"/>
    <x v="2"/>
    <x v="45"/>
    <x v="7"/>
    <x v="1"/>
    <x v="1"/>
    <x v="3"/>
  </r>
  <r>
    <x v="1263"/>
    <x v="3"/>
    <x v="0"/>
    <x v="31"/>
    <x v="2"/>
    <x v="50"/>
    <x v="5"/>
    <x v="1"/>
    <x v="1"/>
    <x v="2"/>
  </r>
  <r>
    <x v="1264"/>
    <x v="3"/>
    <x v="0"/>
    <x v="49"/>
    <x v="0"/>
    <x v="6"/>
    <x v="12"/>
    <x v="1"/>
    <x v="1"/>
    <x v="2"/>
  </r>
  <r>
    <x v="1265"/>
    <x v="2"/>
    <x v="1"/>
    <x v="44"/>
    <x v="0"/>
    <x v="66"/>
    <x v="12"/>
    <x v="1"/>
    <x v="1"/>
    <x v="3"/>
  </r>
  <r>
    <x v="1266"/>
    <x v="2"/>
    <x v="1"/>
    <x v="16"/>
    <x v="1"/>
    <x v="45"/>
    <x v="133"/>
    <x v="0"/>
    <x v="1"/>
    <x v="3"/>
  </r>
  <r>
    <x v="1267"/>
    <x v="4"/>
    <x v="3"/>
    <x v="20"/>
    <x v="2"/>
    <x v="17"/>
    <x v="22"/>
    <x v="1"/>
    <x v="1"/>
    <x v="2"/>
  </r>
  <r>
    <x v="1268"/>
    <x v="3"/>
    <x v="0"/>
    <x v="28"/>
    <x v="2"/>
    <x v="33"/>
    <x v="22"/>
    <x v="1"/>
    <x v="1"/>
    <x v="2"/>
  </r>
  <r>
    <x v="1269"/>
    <x v="3"/>
    <x v="0"/>
    <x v="39"/>
    <x v="0"/>
    <x v="84"/>
    <x v="10"/>
    <x v="1"/>
    <x v="0"/>
    <x v="3"/>
  </r>
  <r>
    <x v="1270"/>
    <x v="3"/>
    <x v="0"/>
    <x v="31"/>
    <x v="2"/>
    <x v="115"/>
    <x v="7"/>
    <x v="1"/>
    <x v="0"/>
    <x v="3"/>
  </r>
  <r>
    <x v="1271"/>
    <x v="2"/>
    <x v="1"/>
    <x v="15"/>
    <x v="1"/>
    <x v="81"/>
    <x v="9"/>
    <x v="1"/>
    <x v="0"/>
    <x v="3"/>
  </r>
  <r>
    <x v="1272"/>
    <x v="2"/>
    <x v="1"/>
    <x v="11"/>
    <x v="1"/>
    <x v="100"/>
    <x v="58"/>
    <x v="2"/>
    <x v="0"/>
    <x v="3"/>
  </r>
  <r>
    <x v="1273"/>
    <x v="2"/>
    <x v="1"/>
    <x v="17"/>
    <x v="1"/>
    <x v="53"/>
    <x v="54"/>
    <x v="2"/>
    <x v="1"/>
    <x v="3"/>
  </r>
  <r>
    <x v="1274"/>
    <x v="3"/>
    <x v="0"/>
    <x v="33"/>
    <x v="2"/>
    <x v="34"/>
    <x v="8"/>
    <x v="1"/>
    <x v="1"/>
    <x v="2"/>
  </r>
  <r>
    <x v="1275"/>
    <x v="3"/>
    <x v="0"/>
    <x v="38"/>
    <x v="2"/>
    <x v="26"/>
    <x v="6"/>
    <x v="1"/>
    <x v="1"/>
    <x v="2"/>
  </r>
  <r>
    <x v="1276"/>
    <x v="0"/>
    <x v="4"/>
    <x v="19"/>
    <x v="1"/>
    <x v="88"/>
    <x v="6"/>
    <x v="1"/>
    <x v="0"/>
    <x v="0"/>
  </r>
  <r>
    <x v="1277"/>
    <x v="3"/>
    <x v="0"/>
    <x v="31"/>
    <x v="2"/>
    <x v="98"/>
    <x v="8"/>
    <x v="1"/>
    <x v="0"/>
    <x v="3"/>
  </r>
  <r>
    <x v="1278"/>
    <x v="3"/>
    <x v="0"/>
    <x v="28"/>
    <x v="2"/>
    <x v="11"/>
    <x v="19"/>
    <x v="1"/>
    <x v="1"/>
    <x v="2"/>
  </r>
  <r>
    <x v="1279"/>
    <x v="2"/>
    <x v="1"/>
    <x v="35"/>
    <x v="2"/>
    <x v="2"/>
    <x v="14"/>
    <x v="1"/>
    <x v="1"/>
    <x v="3"/>
  </r>
  <r>
    <x v="1280"/>
    <x v="3"/>
    <x v="0"/>
    <x v="16"/>
    <x v="1"/>
    <x v="23"/>
    <x v="42"/>
    <x v="1"/>
    <x v="1"/>
    <x v="2"/>
  </r>
  <r>
    <x v="1281"/>
    <x v="2"/>
    <x v="1"/>
    <x v="17"/>
    <x v="1"/>
    <x v="74"/>
    <x v="21"/>
    <x v="1"/>
    <x v="1"/>
    <x v="3"/>
  </r>
  <r>
    <x v="1282"/>
    <x v="3"/>
    <x v="0"/>
    <x v="25"/>
    <x v="2"/>
    <x v="94"/>
    <x v="11"/>
    <x v="1"/>
    <x v="0"/>
    <x v="3"/>
  </r>
  <r>
    <x v="1283"/>
    <x v="3"/>
    <x v="0"/>
    <x v="26"/>
    <x v="2"/>
    <x v="48"/>
    <x v="59"/>
    <x v="2"/>
    <x v="1"/>
    <x v="2"/>
  </r>
  <r>
    <x v="1284"/>
    <x v="3"/>
    <x v="0"/>
    <x v="8"/>
    <x v="1"/>
    <x v="104"/>
    <x v="59"/>
    <x v="2"/>
    <x v="0"/>
    <x v="3"/>
  </r>
  <r>
    <x v="1285"/>
    <x v="3"/>
    <x v="0"/>
    <x v="9"/>
    <x v="1"/>
    <x v="104"/>
    <x v="59"/>
    <x v="2"/>
    <x v="0"/>
    <x v="3"/>
  </r>
  <r>
    <x v="1286"/>
    <x v="2"/>
    <x v="1"/>
    <x v="28"/>
    <x v="2"/>
    <x v="19"/>
    <x v="52"/>
    <x v="2"/>
    <x v="1"/>
    <x v="3"/>
  </r>
  <r>
    <x v="1287"/>
    <x v="3"/>
    <x v="0"/>
    <x v="24"/>
    <x v="2"/>
    <x v="44"/>
    <x v="38"/>
    <x v="1"/>
    <x v="1"/>
    <x v="2"/>
  </r>
  <r>
    <x v="1288"/>
    <x v="2"/>
    <x v="1"/>
    <x v="26"/>
    <x v="2"/>
    <x v="37"/>
    <x v="14"/>
    <x v="1"/>
    <x v="1"/>
    <x v="3"/>
  </r>
  <r>
    <x v="1289"/>
    <x v="2"/>
    <x v="1"/>
    <x v="23"/>
    <x v="2"/>
    <x v="76"/>
    <x v="21"/>
    <x v="1"/>
    <x v="1"/>
    <x v="3"/>
  </r>
  <r>
    <x v="1290"/>
    <x v="1"/>
    <x v="4"/>
    <x v="5"/>
    <x v="1"/>
    <x v="39"/>
    <x v="17"/>
    <x v="1"/>
    <x v="1"/>
    <x v="0"/>
  </r>
  <r>
    <x v="1291"/>
    <x v="2"/>
    <x v="1"/>
    <x v="25"/>
    <x v="2"/>
    <x v="39"/>
    <x v="55"/>
    <x v="2"/>
    <x v="1"/>
    <x v="3"/>
  </r>
  <r>
    <x v="1292"/>
    <x v="3"/>
    <x v="0"/>
    <x v="20"/>
    <x v="2"/>
    <x v="32"/>
    <x v="41"/>
    <x v="1"/>
    <x v="1"/>
    <x v="2"/>
  </r>
  <r>
    <x v="1293"/>
    <x v="2"/>
    <x v="1"/>
    <x v="16"/>
    <x v="1"/>
    <x v="39"/>
    <x v="28"/>
    <x v="1"/>
    <x v="1"/>
    <x v="3"/>
  </r>
  <r>
    <x v="1294"/>
    <x v="3"/>
    <x v="0"/>
    <x v="15"/>
    <x v="1"/>
    <x v="37"/>
    <x v="32"/>
    <x v="1"/>
    <x v="1"/>
    <x v="2"/>
  </r>
  <r>
    <x v="1295"/>
    <x v="3"/>
    <x v="0"/>
    <x v="31"/>
    <x v="2"/>
    <x v="44"/>
    <x v="18"/>
    <x v="1"/>
    <x v="1"/>
    <x v="2"/>
  </r>
  <r>
    <x v="1296"/>
    <x v="3"/>
    <x v="0"/>
    <x v="22"/>
    <x v="2"/>
    <x v="13"/>
    <x v="53"/>
    <x v="2"/>
    <x v="1"/>
    <x v="2"/>
  </r>
  <r>
    <x v="1297"/>
    <x v="3"/>
    <x v="0"/>
    <x v="23"/>
    <x v="2"/>
    <x v="74"/>
    <x v="46"/>
    <x v="2"/>
    <x v="1"/>
    <x v="2"/>
  </r>
  <r>
    <x v="1298"/>
    <x v="3"/>
    <x v="0"/>
    <x v="37"/>
    <x v="2"/>
    <x v="34"/>
    <x v="12"/>
    <x v="1"/>
    <x v="1"/>
    <x v="2"/>
  </r>
  <r>
    <x v="1299"/>
    <x v="2"/>
    <x v="1"/>
    <x v="23"/>
    <x v="2"/>
    <x v="77"/>
    <x v="22"/>
    <x v="1"/>
    <x v="0"/>
    <x v="3"/>
  </r>
  <r>
    <x v="1300"/>
    <x v="3"/>
    <x v="0"/>
    <x v="18"/>
    <x v="1"/>
    <x v="44"/>
    <x v="16"/>
    <x v="1"/>
    <x v="1"/>
    <x v="2"/>
  </r>
  <r>
    <x v="1301"/>
    <x v="2"/>
    <x v="1"/>
    <x v="4"/>
    <x v="1"/>
    <x v="27"/>
    <x v="79"/>
    <x v="2"/>
    <x v="1"/>
    <x v="3"/>
  </r>
  <r>
    <x v="1302"/>
    <x v="4"/>
    <x v="3"/>
    <x v="41"/>
    <x v="0"/>
    <x v="48"/>
    <x v="23"/>
    <x v="1"/>
    <x v="1"/>
    <x v="1"/>
  </r>
  <r>
    <x v="1303"/>
    <x v="3"/>
    <x v="0"/>
    <x v="16"/>
    <x v="1"/>
    <x v="47"/>
    <x v="29"/>
    <x v="1"/>
    <x v="1"/>
    <x v="2"/>
  </r>
  <r>
    <x v="1304"/>
    <x v="3"/>
    <x v="0"/>
    <x v="24"/>
    <x v="2"/>
    <x v="44"/>
    <x v="39"/>
    <x v="1"/>
    <x v="1"/>
    <x v="2"/>
  </r>
  <r>
    <x v="1305"/>
    <x v="3"/>
    <x v="0"/>
    <x v="23"/>
    <x v="2"/>
    <x v="52"/>
    <x v="25"/>
    <x v="1"/>
    <x v="1"/>
    <x v="2"/>
  </r>
  <r>
    <x v="1306"/>
    <x v="2"/>
    <x v="1"/>
    <x v="45"/>
    <x v="0"/>
    <x v="64"/>
    <x v="20"/>
    <x v="1"/>
    <x v="1"/>
    <x v="3"/>
  </r>
  <r>
    <x v="1307"/>
    <x v="2"/>
    <x v="1"/>
    <x v="18"/>
    <x v="1"/>
    <x v="27"/>
    <x v="54"/>
    <x v="2"/>
    <x v="1"/>
    <x v="3"/>
  </r>
  <r>
    <x v="1308"/>
    <x v="3"/>
    <x v="0"/>
    <x v="40"/>
    <x v="0"/>
    <x v="43"/>
    <x v="26"/>
    <x v="1"/>
    <x v="1"/>
    <x v="2"/>
  </r>
  <r>
    <x v="1309"/>
    <x v="4"/>
    <x v="3"/>
    <x v="32"/>
    <x v="2"/>
    <x v="9"/>
    <x v="43"/>
    <x v="1"/>
    <x v="1"/>
    <x v="2"/>
  </r>
  <r>
    <x v="1310"/>
    <x v="3"/>
    <x v="0"/>
    <x v="30"/>
    <x v="2"/>
    <x v="107"/>
    <x v="32"/>
    <x v="1"/>
    <x v="0"/>
    <x v="3"/>
  </r>
  <r>
    <x v="1311"/>
    <x v="3"/>
    <x v="0"/>
    <x v="25"/>
    <x v="2"/>
    <x v="34"/>
    <x v="13"/>
    <x v="1"/>
    <x v="1"/>
    <x v="2"/>
  </r>
  <r>
    <x v="1312"/>
    <x v="4"/>
    <x v="3"/>
    <x v="36"/>
    <x v="2"/>
    <x v="25"/>
    <x v="13"/>
    <x v="1"/>
    <x v="1"/>
    <x v="2"/>
  </r>
  <r>
    <x v="1313"/>
    <x v="3"/>
    <x v="0"/>
    <x v="22"/>
    <x v="2"/>
    <x v="62"/>
    <x v="22"/>
    <x v="1"/>
    <x v="1"/>
    <x v="2"/>
  </r>
  <r>
    <x v="1314"/>
    <x v="2"/>
    <x v="1"/>
    <x v="23"/>
    <x v="2"/>
    <x v="50"/>
    <x v="20"/>
    <x v="1"/>
    <x v="1"/>
    <x v="3"/>
  </r>
  <r>
    <x v="1315"/>
    <x v="2"/>
    <x v="1"/>
    <x v="46"/>
    <x v="0"/>
    <x v="56"/>
    <x v="20"/>
    <x v="1"/>
    <x v="1"/>
    <x v="3"/>
  </r>
  <r>
    <x v="1316"/>
    <x v="2"/>
    <x v="1"/>
    <x v="25"/>
    <x v="2"/>
    <x v="29"/>
    <x v="44"/>
    <x v="1"/>
    <x v="1"/>
    <x v="3"/>
  </r>
  <r>
    <x v="1317"/>
    <x v="5"/>
    <x v="2"/>
    <x v="38"/>
    <x v="2"/>
    <x v="23"/>
    <x v="18"/>
    <x v="1"/>
    <x v="1"/>
    <x v="2"/>
  </r>
  <r>
    <x v="1318"/>
    <x v="2"/>
    <x v="1"/>
    <x v="12"/>
    <x v="1"/>
    <x v="72"/>
    <x v="20"/>
    <x v="1"/>
    <x v="1"/>
    <x v="3"/>
  </r>
  <r>
    <x v="1319"/>
    <x v="2"/>
    <x v="1"/>
    <x v="11"/>
    <x v="1"/>
    <x v="70"/>
    <x v="21"/>
    <x v="1"/>
    <x v="1"/>
    <x v="3"/>
  </r>
  <r>
    <x v="1320"/>
    <x v="3"/>
    <x v="0"/>
    <x v="37"/>
    <x v="2"/>
    <x v="72"/>
    <x v="48"/>
    <x v="2"/>
    <x v="1"/>
    <x v="2"/>
  </r>
  <r>
    <x v="1321"/>
    <x v="2"/>
    <x v="1"/>
    <x v="11"/>
    <x v="1"/>
    <x v="83"/>
    <x v="22"/>
    <x v="1"/>
    <x v="0"/>
    <x v="3"/>
  </r>
  <r>
    <x v="1322"/>
    <x v="3"/>
    <x v="0"/>
    <x v="33"/>
    <x v="2"/>
    <x v="107"/>
    <x v="17"/>
    <x v="1"/>
    <x v="0"/>
    <x v="3"/>
  </r>
  <r>
    <x v="1323"/>
    <x v="4"/>
    <x v="3"/>
    <x v="27"/>
    <x v="2"/>
    <x v="48"/>
    <x v="18"/>
    <x v="1"/>
    <x v="1"/>
    <x v="2"/>
  </r>
  <r>
    <x v="1324"/>
    <x v="2"/>
    <x v="1"/>
    <x v="18"/>
    <x v="1"/>
    <x v="112"/>
    <x v="14"/>
    <x v="1"/>
    <x v="0"/>
    <x v="3"/>
  </r>
  <r>
    <x v="1325"/>
    <x v="2"/>
    <x v="1"/>
    <x v="12"/>
    <x v="1"/>
    <x v="62"/>
    <x v="108"/>
    <x v="0"/>
    <x v="1"/>
    <x v="3"/>
  </r>
  <r>
    <x v="1326"/>
    <x v="2"/>
    <x v="1"/>
    <x v="18"/>
    <x v="1"/>
    <x v="56"/>
    <x v="121"/>
    <x v="0"/>
    <x v="1"/>
    <x v="3"/>
  </r>
  <r>
    <x v="1327"/>
    <x v="2"/>
    <x v="1"/>
    <x v="22"/>
    <x v="2"/>
    <x v="75"/>
    <x v="14"/>
    <x v="1"/>
    <x v="1"/>
    <x v="3"/>
  </r>
  <r>
    <x v="1328"/>
    <x v="3"/>
    <x v="0"/>
    <x v="32"/>
    <x v="2"/>
    <x v="70"/>
    <x v="36"/>
    <x v="1"/>
    <x v="1"/>
    <x v="2"/>
  </r>
  <r>
    <x v="1329"/>
    <x v="3"/>
    <x v="0"/>
    <x v="36"/>
    <x v="2"/>
    <x v="1"/>
    <x v="46"/>
    <x v="2"/>
    <x v="1"/>
    <x v="2"/>
  </r>
  <r>
    <x v="1330"/>
    <x v="2"/>
    <x v="1"/>
    <x v="7"/>
    <x v="1"/>
    <x v="48"/>
    <x v="36"/>
    <x v="1"/>
    <x v="1"/>
    <x v="3"/>
  </r>
  <r>
    <x v="1331"/>
    <x v="3"/>
    <x v="0"/>
    <x v="39"/>
    <x v="0"/>
    <x v="42"/>
    <x v="28"/>
    <x v="1"/>
    <x v="1"/>
    <x v="2"/>
  </r>
  <r>
    <x v="1332"/>
    <x v="3"/>
    <x v="0"/>
    <x v="49"/>
    <x v="0"/>
    <x v="23"/>
    <x v="29"/>
    <x v="1"/>
    <x v="1"/>
    <x v="2"/>
  </r>
  <r>
    <x v="1333"/>
    <x v="3"/>
    <x v="0"/>
    <x v="35"/>
    <x v="2"/>
    <x v="26"/>
    <x v="19"/>
    <x v="1"/>
    <x v="1"/>
    <x v="2"/>
  </r>
  <r>
    <x v="1334"/>
    <x v="2"/>
    <x v="1"/>
    <x v="12"/>
    <x v="1"/>
    <x v="74"/>
    <x v="98"/>
    <x v="0"/>
    <x v="1"/>
    <x v="3"/>
  </r>
  <r>
    <x v="1335"/>
    <x v="3"/>
    <x v="0"/>
    <x v="50"/>
    <x v="0"/>
    <x v="52"/>
    <x v="44"/>
    <x v="1"/>
    <x v="1"/>
    <x v="2"/>
  </r>
  <r>
    <x v="1336"/>
    <x v="3"/>
    <x v="0"/>
    <x v="26"/>
    <x v="2"/>
    <x v="17"/>
    <x v="87"/>
    <x v="2"/>
    <x v="1"/>
    <x v="2"/>
  </r>
  <r>
    <x v="1337"/>
    <x v="3"/>
    <x v="0"/>
    <x v="42"/>
    <x v="0"/>
    <x v="43"/>
    <x v="14"/>
    <x v="1"/>
    <x v="1"/>
    <x v="2"/>
  </r>
  <r>
    <x v="1338"/>
    <x v="3"/>
    <x v="0"/>
    <x v="31"/>
    <x v="2"/>
    <x v="15"/>
    <x v="23"/>
    <x v="1"/>
    <x v="1"/>
    <x v="2"/>
  </r>
  <r>
    <x v="1339"/>
    <x v="3"/>
    <x v="0"/>
    <x v="43"/>
    <x v="0"/>
    <x v="76"/>
    <x v="21"/>
    <x v="1"/>
    <x v="1"/>
    <x v="2"/>
  </r>
  <r>
    <x v="1340"/>
    <x v="3"/>
    <x v="0"/>
    <x v="37"/>
    <x v="2"/>
    <x v="70"/>
    <x v="14"/>
    <x v="1"/>
    <x v="1"/>
    <x v="2"/>
  </r>
  <r>
    <x v="1341"/>
    <x v="2"/>
    <x v="1"/>
    <x v="37"/>
    <x v="2"/>
    <x v="48"/>
    <x v="26"/>
    <x v="1"/>
    <x v="1"/>
    <x v="3"/>
  </r>
  <r>
    <x v="1342"/>
    <x v="3"/>
    <x v="0"/>
    <x v="43"/>
    <x v="0"/>
    <x v="22"/>
    <x v="20"/>
    <x v="1"/>
    <x v="1"/>
    <x v="2"/>
  </r>
  <r>
    <x v="1343"/>
    <x v="2"/>
    <x v="1"/>
    <x v="43"/>
    <x v="0"/>
    <x v="79"/>
    <x v="21"/>
    <x v="1"/>
    <x v="0"/>
    <x v="3"/>
  </r>
  <r>
    <x v="1344"/>
    <x v="2"/>
    <x v="1"/>
    <x v="17"/>
    <x v="1"/>
    <x v="36"/>
    <x v="92"/>
    <x v="2"/>
    <x v="1"/>
    <x v="3"/>
  </r>
  <r>
    <x v="1345"/>
    <x v="4"/>
    <x v="3"/>
    <x v="40"/>
    <x v="0"/>
    <x v="19"/>
    <x v="28"/>
    <x v="1"/>
    <x v="1"/>
    <x v="1"/>
  </r>
  <r>
    <x v="1346"/>
    <x v="3"/>
    <x v="0"/>
    <x v="39"/>
    <x v="0"/>
    <x v="27"/>
    <x v="42"/>
    <x v="1"/>
    <x v="1"/>
    <x v="2"/>
  </r>
  <r>
    <x v="1347"/>
    <x v="3"/>
    <x v="0"/>
    <x v="38"/>
    <x v="2"/>
    <x v="17"/>
    <x v="54"/>
    <x v="2"/>
    <x v="1"/>
    <x v="2"/>
  </r>
  <r>
    <x v="1348"/>
    <x v="3"/>
    <x v="0"/>
    <x v="32"/>
    <x v="2"/>
    <x v="58"/>
    <x v="22"/>
    <x v="1"/>
    <x v="1"/>
    <x v="2"/>
  </r>
  <r>
    <x v="1349"/>
    <x v="3"/>
    <x v="0"/>
    <x v="53"/>
    <x v="0"/>
    <x v="68"/>
    <x v="96"/>
    <x v="0"/>
    <x v="1"/>
    <x v="2"/>
  </r>
  <r>
    <x v="1350"/>
    <x v="2"/>
    <x v="1"/>
    <x v="7"/>
    <x v="1"/>
    <x v="81"/>
    <x v="74"/>
    <x v="2"/>
    <x v="0"/>
    <x v="3"/>
  </r>
  <r>
    <x v="1351"/>
    <x v="3"/>
    <x v="0"/>
    <x v="40"/>
    <x v="0"/>
    <x v="47"/>
    <x v="29"/>
    <x v="1"/>
    <x v="1"/>
    <x v="2"/>
  </r>
  <r>
    <x v="1352"/>
    <x v="3"/>
    <x v="0"/>
    <x v="40"/>
    <x v="0"/>
    <x v="84"/>
    <x v="20"/>
    <x v="1"/>
    <x v="0"/>
    <x v="3"/>
  </r>
  <r>
    <x v="1353"/>
    <x v="3"/>
    <x v="0"/>
    <x v="33"/>
    <x v="2"/>
    <x v="42"/>
    <x v="34"/>
    <x v="1"/>
    <x v="1"/>
    <x v="2"/>
  </r>
  <r>
    <x v="1354"/>
    <x v="3"/>
    <x v="0"/>
    <x v="12"/>
    <x v="1"/>
    <x v="60"/>
    <x v="32"/>
    <x v="1"/>
    <x v="1"/>
    <x v="2"/>
  </r>
  <r>
    <x v="1355"/>
    <x v="2"/>
    <x v="1"/>
    <x v="26"/>
    <x v="2"/>
    <x v="56"/>
    <x v="38"/>
    <x v="1"/>
    <x v="1"/>
    <x v="3"/>
  </r>
  <r>
    <x v="1356"/>
    <x v="3"/>
    <x v="0"/>
    <x v="36"/>
    <x v="2"/>
    <x v="47"/>
    <x v="45"/>
    <x v="2"/>
    <x v="1"/>
    <x v="2"/>
  </r>
  <r>
    <x v="1357"/>
    <x v="2"/>
    <x v="1"/>
    <x v="23"/>
    <x v="2"/>
    <x v="65"/>
    <x v="38"/>
    <x v="1"/>
    <x v="1"/>
    <x v="3"/>
  </r>
  <r>
    <x v="1358"/>
    <x v="3"/>
    <x v="0"/>
    <x v="33"/>
    <x v="2"/>
    <x v="17"/>
    <x v="36"/>
    <x v="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T_Grade_by_Acidity" cacheId="1" applyNumberFormats="0" applyBorderFormats="0" applyFontFormats="0" applyPatternFormats="0" applyAlignmentFormats="0" applyWidthHeightFormats="0" dataCaption="Values" showDrill="0" itemPrintTitles="1" indent="0" outline="1" outlineData="1">
  <location ref="A47:D54" firstHeaderRow="1" firstDataRow="2" firstDataCol="1"/>
  <pivotFields count="10">
    <pivotField dataField="1" compact="0" showAll="0"/>
    <pivotField compact="0" showAll="0"/>
    <pivotField axis="axisRow" compact="0" showAll="0" defaultSubtotal="0">
      <items count="5">
        <item x="0"/>
        <item x="1"/>
        <item x="2"/>
        <item x="3"/>
        <item x="4"/>
      </items>
    </pivotField>
    <pivotField compact="0" showAll="0"/>
    <pivotField compact="0" showAll="0"/>
    <pivotField compact="0" showAll="0"/>
    <pivotField compact="0" showAll="0"/>
    <pivotField compact="0" showAll="0"/>
    <pivotField axis="axisCol" compact="0" showAll="0" defaultSubtotal="0">
      <items count="2">
        <item x="0"/>
        <item x="1"/>
      </items>
    </pivotField>
    <pivotField compact="0" showAll="0"/>
  </pivotFields>
  <rowFields count="1">
    <field x="2"/>
  </rowFields>
  <colFields count="1">
    <field x="8"/>
  </colFields>
  <dataFields count="1">
    <dataField name="Count - Wine_ID" fld="0"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T_Quality_Summary" cacheId="0" applyNumberFormats="0" applyBorderFormats="0" applyFontFormats="0" applyPatternFormats="0" applyAlignmentFormats="0" applyWidthHeightFormats="0" dataCaption="Values" showDrill="0" itemPrintTitles="1" indent="0" outline="1" outlineData="1">
  <location ref="A8:F16" firstHeaderRow="1" firstDataRow="2" firstDataCol="1"/>
  <pivotFields count="13">
    <pivotField dataField="1" compact="0" showAll="0"/>
    <pivotField compact="0" showAll="0"/>
    <pivotField dataField="1" compact="0" showAll="0"/>
    <pivotField compact="0" showAll="0"/>
    <pivotField compact="0" showAll="0"/>
    <pivotField compact="0" showAll="0"/>
    <pivotField compact="0" showAll="0"/>
    <pivotField compact="0" showAll="0"/>
    <pivotField compact="0" showAll="0"/>
    <pivotField dataField="1" compact="0" showAll="0"/>
    <pivotField dataField="1" compact="0" showAll="0"/>
    <pivotField dataField="1" compact="0" showAll="0"/>
    <pivotField axis="axisRow" compact="0" showAll="0" defaultSubtotal="0">
      <items count="6">
        <item x="0"/>
        <item x="1"/>
        <item x="2"/>
        <item x="3"/>
        <item x="4"/>
        <item x="5"/>
      </items>
    </pivotField>
  </pivotFields>
  <rowFields count="1">
    <field x="12"/>
  </rowFields>
  <colFields count="1">
    <field x="-2"/>
  </colFields>
  <dataFields count="5">
    <dataField name="Count - Wine_ID" fld="0" subtotal="count" baseField="0" baseItem="0"/>
    <dataField name="Average - Alcohol" fld="11" subtotal="average" baseField="0" baseItem="0" numFmtId="2"/>
    <dataField name="Average - Volatile_Acidity" fld="2" subtotal="average" baseField="0" baseItem="0" numFmtId="165"/>
    <dataField name="Average - pH" fld="9" subtotal="average" baseField="0" baseItem="0" numFmtId="2"/>
    <dataField name="Average - Sulphates" fld="10" subtotal="average" baseField="0" baseItem="0" numFmtId="2"/>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T_Band_by_Quality" cacheId="1" applyNumberFormats="0" applyBorderFormats="0" applyFontFormats="0" applyPatternFormats="0" applyAlignmentFormats="0" applyWidthHeightFormats="0" dataCaption="Values" showDrill="0" itemPrintTitles="1" indent="0" outline="1" outlineData="1">
  <location ref="A23:H28" firstHeaderRow="1" firstDataRow="2" firstDataCol="1"/>
  <pivotFields count="10">
    <pivotField dataField="1" compact="0" showAll="0"/>
    <pivotField axis="axisCol" compact="0" showAll="0" defaultSubtotal="0">
      <items count="6">
        <item x="0"/>
        <item x="1"/>
        <item x="2"/>
        <item x="3"/>
        <item x="4"/>
        <item x="5"/>
      </items>
    </pivotField>
    <pivotField compact="0" showAll="0"/>
    <pivotField compact="0" showAll="0"/>
    <pivotField axis="axisRow" compact="0" showAll="0" defaultSubtotal="0">
      <items count="3">
        <item x="0"/>
        <item x="1"/>
        <item x="2"/>
      </items>
    </pivotField>
    <pivotField compact="0" showAll="0"/>
    <pivotField compact="0" showAll="0"/>
    <pivotField compact="0" showAll="0"/>
    <pivotField compact="0" showAll="0"/>
    <pivotField compact="0" showAll="0"/>
  </pivotFields>
  <rowFields count="1">
    <field x="4"/>
  </rowFields>
  <colFields count="1">
    <field x="1"/>
  </colFields>
  <dataFields count="1">
    <dataField name="Count - Wine_ID" fld="0"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T_Profile_Summary" cacheId="1" applyNumberFormats="0" applyBorderFormats="0" applyFontFormats="0" applyPatternFormats="0" applyAlignmentFormats="0" applyWidthHeightFormats="0" dataCaption="Values" showDrill="0" itemPrintTitles="1" indent="0" outline="1" outlineData="1">
  <location ref="A35:D41" firstHeaderRow="1" firstDataRow="2" firstDataCol="1"/>
  <pivotFields count="10">
    <pivotField dataField="1" compact="0" showAll="0"/>
    <pivotField dataField="1" compact="0" showAll="0"/>
    <pivotField compact="0" showAll="0"/>
    <pivotField dataField="1" compact="0" showAll="0"/>
    <pivotField compact="0" showAll="0"/>
    <pivotField compact="0" showAll="0"/>
    <pivotField compact="0" showAll="0"/>
    <pivotField compact="0" showAll="0"/>
    <pivotField compact="0" showAll="0"/>
    <pivotField axis="axisRow" compact="0" showAll="0" defaultSubtotal="0">
      <items count="4">
        <item x="0"/>
        <item x="1"/>
        <item x="2"/>
        <item x="3"/>
      </items>
    </pivotField>
  </pivotFields>
  <rowFields count="1">
    <field x="9"/>
  </rowFields>
  <colFields count="1">
    <field x="-2"/>
  </colFields>
  <dataFields count="3">
    <dataField name="Count - Wine_ID" fld="0" subtotal="count" baseField="0" baseItem="0"/>
    <dataField name="Average - Alcohol" fld="3" subtotal="average" baseField="0" baseItem="0" numFmtId="2"/>
    <dataField name="Average - Quality" fld="1" subtotal="average" baseField="0" baseItem="0" numFmtId="2"/>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F7F7F"/>
  </sheetPr>
  <dimension ref="A1:L1600"/>
  <sheetViews>
    <sheetView showGridLines="0" zoomScaleNormal="100" workbookViewId="0">
      <pane ySplit="1" topLeftCell="A2" activePane="bottomLeft" state="frozen"/>
      <selection pane="bottomLeft"/>
    </sheetView>
  </sheetViews>
  <sheetFormatPr defaultColWidth="8.6640625" defaultRowHeight="14.4" x14ac:dyDescent="0.3"/>
  <cols>
    <col min="1" max="12" width="19" customWidth="1"/>
  </cols>
  <sheetData>
    <row r="1" spans="1:12" ht="30" customHeight="1" x14ac:dyDescent="0.3">
      <c r="A1" s="8" t="s">
        <v>0</v>
      </c>
      <c r="B1" s="8" t="s">
        <v>1</v>
      </c>
      <c r="C1" s="8" t="s">
        <v>2</v>
      </c>
      <c r="D1" s="8" t="s">
        <v>3</v>
      </c>
      <c r="E1" s="8" t="s">
        <v>4</v>
      </c>
      <c r="F1" s="8" t="s">
        <v>5</v>
      </c>
      <c r="G1" s="8" t="s">
        <v>6</v>
      </c>
      <c r="H1" s="8" t="s">
        <v>7</v>
      </c>
      <c r="I1" s="8" t="s">
        <v>8</v>
      </c>
      <c r="J1" s="8" t="s">
        <v>9</v>
      </c>
      <c r="K1" s="8" t="s">
        <v>10</v>
      </c>
      <c r="L1" s="8" t="s">
        <v>11</v>
      </c>
    </row>
    <row r="2" spans="1:12" x14ac:dyDescent="0.3">
      <c r="A2" s="9">
        <v>7.4</v>
      </c>
      <c r="B2" s="9">
        <v>0.7</v>
      </c>
      <c r="C2" s="9">
        <v>0</v>
      </c>
      <c r="D2" s="9">
        <v>1.9</v>
      </c>
      <c r="E2" s="9">
        <v>7.5999999999999998E-2</v>
      </c>
      <c r="F2" s="9">
        <v>11</v>
      </c>
      <c r="G2" s="9">
        <v>34</v>
      </c>
      <c r="H2" s="9">
        <v>0.99780000000000002</v>
      </c>
      <c r="I2" s="9">
        <v>3.51</v>
      </c>
      <c r="J2" s="9">
        <v>0.56000000000000005</v>
      </c>
      <c r="K2" s="9">
        <v>9.4</v>
      </c>
      <c r="L2" s="9">
        <v>5</v>
      </c>
    </row>
    <row r="3" spans="1:12" x14ac:dyDescent="0.3">
      <c r="A3" s="9">
        <v>7.8</v>
      </c>
      <c r="B3" s="9">
        <v>0.88</v>
      </c>
      <c r="C3" s="9">
        <v>0</v>
      </c>
      <c r="D3" s="9">
        <v>2.6</v>
      </c>
      <c r="E3" s="9">
        <v>9.8000000000000004E-2</v>
      </c>
      <c r="F3" s="9">
        <v>25</v>
      </c>
      <c r="G3" s="9">
        <v>67</v>
      </c>
      <c r="H3" s="9">
        <v>0.99680000000000002</v>
      </c>
      <c r="I3" s="9">
        <v>3.2</v>
      </c>
      <c r="J3" s="9">
        <v>0.68</v>
      </c>
      <c r="K3" s="9">
        <v>9.8000000000000007</v>
      </c>
      <c r="L3" s="9">
        <v>5</v>
      </c>
    </row>
    <row r="4" spans="1:12" x14ac:dyDescent="0.3">
      <c r="A4" s="9">
        <v>7.8</v>
      </c>
      <c r="B4" s="9">
        <v>0.76</v>
      </c>
      <c r="C4" s="9">
        <v>0.04</v>
      </c>
      <c r="D4" s="9">
        <v>2.2999999999999998</v>
      </c>
      <c r="E4" s="9">
        <v>9.1999999999999998E-2</v>
      </c>
      <c r="F4" s="9">
        <v>15</v>
      </c>
      <c r="G4" s="9">
        <v>54</v>
      </c>
      <c r="H4" s="9">
        <v>0.997</v>
      </c>
      <c r="I4" s="9">
        <v>3.26</v>
      </c>
      <c r="J4" s="9">
        <v>0.65</v>
      </c>
      <c r="K4" s="9">
        <v>9.8000000000000007</v>
      </c>
      <c r="L4" s="9">
        <v>5</v>
      </c>
    </row>
    <row r="5" spans="1:12" x14ac:dyDescent="0.3">
      <c r="A5" s="9">
        <v>11.2</v>
      </c>
      <c r="B5" s="9">
        <v>0.28000000000000003</v>
      </c>
      <c r="C5" s="9">
        <v>0.56000000000000005</v>
      </c>
      <c r="D5" s="9">
        <v>1.9</v>
      </c>
      <c r="E5" s="9">
        <v>7.4999999999999997E-2</v>
      </c>
      <c r="F5" s="9">
        <v>17</v>
      </c>
      <c r="G5" s="9">
        <v>60</v>
      </c>
      <c r="H5" s="9">
        <v>0.998</v>
      </c>
      <c r="I5" s="9">
        <v>3.16</v>
      </c>
      <c r="J5" s="9">
        <v>0.57999999999999996</v>
      </c>
      <c r="K5" s="9">
        <v>9.8000000000000007</v>
      </c>
      <c r="L5" s="9">
        <v>6</v>
      </c>
    </row>
    <row r="6" spans="1:12" x14ac:dyDescent="0.3">
      <c r="A6" s="9">
        <v>7.4</v>
      </c>
      <c r="B6" s="9">
        <v>0.7</v>
      </c>
      <c r="C6" s="9">
        <v>0</v>
      </c>
      <c r="D6" s="9">
        <v>1.9</v>
      </c>
      <c r="E6" s="9">
        <v>7.5999999999999998E-2</v>
      </c>
      <c r="F6" s="9">
        <v>11</v>
      </c>
      <c r="G6" s="9">
        <v>34</v>
      </c>
      <c r="H6" s="9">
        <v>0.99780000000000002</v>
      </c>
      <c r="I6" s="9">
        <v>3.51</v>
      </c>
      <c r="J6" s="9">
        <v>0.56000000000000005</v>
      </c>
      <c r="K6" s="9">
        <v>9.4</v>
      </c>
      <c r="L6" s="9">
        <v>5</v>
      </c>
    </row>
    <row r="7" spans="1:12" x14ac:dyDescent="0.3">
      <c r="A7" s="9">
        <v>7.4</v>
      </c>
      <c r="B7" s="9">
        <v>0.66</v>
      </c>
      <c r="C7" s="9">
        <v>0</v>
      </c>
      <c r="D7" s="9">
        <v>1.8</v>
      </c>
      <c r="E7" s="9">
        <v>7.4999999999999997E-2</v>
      </c>
      <c r="F7" s="9">
        <v>13</v>
      </c>
      <c r="G7" s="9">
        <v>40</v>
      </c>
      <c r="H7" s="9">
        <v>0.99780000000000002</v>
      </c>
      <c r="I7" s="9">
        <v>3.51</v>
      </c>
      <c r="J7" s="9">
        <v>0.56000000000000005</v>
      </c>
      <c r="K7" s="9">
        <v>9.4</v>
      </c>
      <c r="L7" s="9">
        <v>5</v>
      </c>
    </row>
    <row r="8" spans="1:12" x14ac:dyDescent="0.3">
      <c r="A8" s="9">
        <v>7.9</v>
      </c>
      <c r="B8" s="9">
        <v>0.6</v>
      </c>
      <c r="C8" s="9">
        <v>0.06</v>
      </c>
      <c r="D8" s="9">
        <v>1.6</v>
      </c>
      <c r="E8" s="9">
        <v>6.9000000000000006E-2</v>
      </c>
      <c r="F8" s="9">
        <v>15</v>
      </c>
      <c r="G8" s="9">
        <v>59</v>
      </c>
      <c r="H8" s="9">
        <v>0.99639999999999995</v>
      </c>
      <c r="I8" s="9">
        <v>3.3</v>
      </c>
      <c r="J8" s="9">
        <v>0.46</v>
      </c>
      <c r="K8" s="9">
        <v>9.4</v>
      </c>
      <c r="L8" s="9">
        <v>5</v>
      </c>
    </row>
    <row r="9" spans="1:12" x14ac:dyDescent="0.3">
      <c r="A9" s="9">
        <v>7.3</v>
      </c>
      <c r="B9" s="9">
        <v>0.65</v>
      </c>
      <c r="C9" s="9">
        <v>0</v>
      </c>
      <c r="D9" s="9">
        <v>1.2</v>
      </c>
      <c r="E9" s="9">
        <v>6.5000000000000002E-2</v>
      </c>
      <c r="F9" s="9">
        <v>15</v>
      </c>
      <c r="G9" s="9">
        <v>21</v>
      </c>
      <c r="H9" s="9">
        <v>0.99460000000000004</v>
      </c>
      <c r="I9" s="9">
        <v>3.39</v>
      </c>
      <c r="J9" s="9">
        <v>0.47</v>
      </c>
      <c r="K9" s="9">
        <v>10</v>
      </c>
      <c r="L9" s="9">
        <v>7</v>
      </c>
    </row>
    <row r="10" spans="1:12" x14ac:dyDescent="0.3">
      <c r="A10" s="9">
        <v>7.8</v>
      </c>
      <c r="B10" s="9">
        <v>0.57999999999999996</v>
      </c>
      <c r="C10" s="9">
        <v>0.02</v>
      </c>
      <c r="D10" s="9">
        <v>2</v>
      </c>
      <c r="E10" s="9">
        <v>7.2999999999999995E-2</v>
      </c>
      <c r="F10" s="9">
        <v>9</v>
      </c>
      <c r="G10" s="9">
        <v>18</v>
      </c>
      <c r="H10" s="9">
        <v>0.99680000000000002</v>
      </c>
      <c r="I10" s="9">
        <v>3.36</v>
      </c>
      <c r="J10" s="9">
        <v>0.56999999999999995</v>
      </c>
      <c r="K10" s="9">
        <v>9.5</v>
      </c>
      <c r="L10" s="9">
        <v>7</v>
      </c>
    </row>
    <row r="11" spans="1:12" x14ac:dyDescent="0.3">
      <c r="A11" s="9">
        <v>7.5</v>
      </c>
      <c r="B11" s="9">
        <v>0.5</v>
      </c>
      <c r="C11" s="9">
        <v>0.36</v>
      </c>
      <c r="D11" s="9">
        <v>6.1</v>
      </c>
      <c r="E11" s="9">
        <v>7.0999999999999994E-2</v>
      </c>
      <c r="F11" s="9">
        <v>17</v>
      </c>
      <c r="G11" s="9">
        <v>102</v>
      </c>
      <c r="H11" s="9">
        <v>0.99780000000000002</v>
      </c>
      <c r="I11" s="9">
        <v>3.35</v>
      </c>
      <c r="J11" s="9">
        <v>0.8</v>
      </c>
      <c r="K11" s="9">
        <v>10.5</v>
      </c>
      <c r="L11" s="9">
        <v>5</v>
      </c>
    </row>
    <row r="12" spans="1:12" x14ac:dyDescent="0.3">
      <c r="A12" s="9">
        <v>6.7</v>
      </c>
      <c r="B12" s="9">
        <v>0.57999999999999996</v>
      </c>
      <c r="C12" s="9">
        <v>0.08</v>
      </c>
      <c r="D12" s="9">
        <v>1.8</v>
      </c>
      <c r="E12" s="9">
        <v>9.7000000000000003E-2</v>
      </c>
      <c r="F12" s="9">
        <v>15</v>
      </c>
      <c r="G12" s="9">
        <v>65</v>
      </c>
      <c r="H12" s="9">
        <v>0.99590000000000001</v>
      </c>
      <c r="I12" s="9">
        <v>3.28</v>
      </c>
      <c r="J12" s="9">
        <v>0.54</v>
      </c>
      <c r="K12" s="9">
        <v>9.1999999999999993</v>
      </c>
      <c r="L12" s="9">
        <v>5</v>
      </c>
    </row>
    <row r="13" spans="1:12" x14ac:dyDescent="0.3">
      <c r="A13" s="9">
        <v>7.5</v>
      </c>
      <c r="B13" s="9">
        <v>0.5</v>
      </c>
      <c r="C13" s="9">
        <v>0.36</v>
      </c>
      <c r="D13" s="9">
        <v>6.1</v>
      </c>
      <c r="E13" s="9">
        <v>7.0999999999999994E-2</v>
      </c>
      <c r="F13" s="9">
        <v>17</v>
      </c>
      <c r="G13" s="9">
        <v>102</v>
      </c>
      <c r="H13" s="9">
        <v>0.99780000000000002</v>
      </c>
      <c r="I13" s="9">
        <v>3.35</v>
      </c>
      <c r="J13" s="9">
        <v>0.8</v>
      </c>
      <c r="K13" s="9">
        <v>10.5</v>
      </c>
      <c r="L13" s="9">
        <v>5</v>
      </c>
    </row>
    <row r="14" spans="1:12" x14ac:dyDescent="0.3">
      <c r="A14" s="9">
        <v>5.6</v>
      </c>
      <c r="B14" s="9">
        <v>0.61499999999999999</v>
      </c>
      <c r="C14" s="9">
        <v>0</v>
      </c>
      <c r="D14" s="9">
        <v>1.6</v>
      </c>
      <c r="E14" s="9">
        <v>8.8999999999999996E-2</v>
      </c>
      <c r="F14" s="9">
        <v>16</v>
      </c>
      <c r="G14" s="9">
        <v>59</v>
      </c>
      <c r="H14" s="9">
        <v>0.99429999999999996</v>
      </c>
      <c r="I14" s="9">
        <v>3.58</v>
      </c>
      <c r="J14" s="9">
        <v>0.52</v>
      </c>
      <c r="K14" s="9">
        <v>9.9</v>
      </c>
      <c r="L14" s="9">
        <v>5</v>
      </c>
    </row>
    <row r="15" spans="1:12" x14ac:dyDescent="0.3">
      <c r="A15" s="9">
        <v>7.8</v>
      </c>
      <c r="B15" s="9">
        <v>0.61</v>
      </c>
      <c r="C15" s="9">
        <v>0.28999999999999998</v>
      </c>
      <c r="D15" s="9">
        <v>1.6</v>
      </c>
      <c r="E15" s="9">
        <v>0.114</v>
      </c>
      <c r="F15" s="9">
        <v>9</v>
      </c>
      <c r="G15" s="9">
        <v>29</v>
      </c>
      <c r="H15" s="9">
        <v>0.99739999999999995</v>
      </c>
      <c r="I15" s="9">
        <v>3.26</v>
      </c>
      <c r="J15" s="9">
        <v>1.56</v>
      </c>
      <c r="K15" s="9">
        <v>9.1</v>
      </c>
      <c r="L15" s="9">
        <v>5</v>
      </c>
    </row>
    <row r="16" spans="1:12" x14ac:dyDescent="0.3">
      <c r="A16" s="9">
        <v>8.9</v>
      </c>
      <c r="B16" s="9">
        <v>0.62</v>
      </c>
      <c r="C16" s="9">
        <v>0.18</v>
      </c>
      <c r="D16" s="9">
        <v>3.8</v>
      </c>
      <c r="E16" s="9">
        <v>0.17599999999999999</v>
      </c>
      <c r="F16" s="9">
        <v>52</v>
      </c>
      <c r="G16" s="9">
        <v>145</v>
      </c>
      <c r="H16" s="9">
        <v>0.99860000000000004</v>
      </c>
      <c r="I16" s="9">
        <v>3.16</v>
      </c>
      <c r="J16" s="9">
        <v>0.88</v>
      </c>
      <c r="K16" s="9">
        <v>9.1999999999999993</v>
      </c>
      <c r="L16" s="9">
        <v>5</v>
      </c>
    </row>
    <row r="17" spans="1:12" x14ac:dyDescent="0.3">
      <c r="A17" s="9">
        <v>8.9</v>
      </c>
      <c r="B17" s="9">
        <v>0.62</v>
      </c>
      <c r="C17" s="9">
        <v>0.19</v>
      </c>
      <c r="D17" s="9">
        <v>3.9</v>
      </c>
      <c r="E17" s="9">
        <v>0.17</v>
      </c>
      <c r="F17" s="9">
        <v>51</v>
      </c>
      <c r="G17" s="9">
        <v>148</v>
      </c>
      <c r="H17" s="9">
        <v>0.99860000000000004</v>
      </c>
      <c r="I17" s="9">
        <v>3.17</v>
      </c>
      <c r="J17" s="9">
        <v>0.93</v>
      </c>
      <c r="K17" s="9">
        <v>9.1999999999999993</v>
      </c>
      <c r="L17" s="9">
        <v>5</v>
      </c>
    </row>
    <row r="18" spans="1:12" x14ac:dyDescent="0.3">
      <c r="A18" s="9">
        <v>8.5</v>
      </c>
      <c r="B18" s="9">
        <v>0.28000000000000003</v>
      </c>
      <c r="C18" s="9">
        <v>0.56000000000000005</v>
      </c>
      <c r="D18" s="9">
        <v>1.8</v>
      </c>
      <c r="E18" s="9">
        <v>9.1999999999999998E-2</v>
      </c>
      <c r="F18" s="9">
        <v>35</v>
      </c>
      <c r="G18" s="9">
        <v>103</v>
      </c>
      <c r="H18" s="9">
        <v>0.99690000000000001</v>
      </c>
      <c r="I18" s="9">
        <v>3.3</v>
      </c>
      <c r="J18" s="9">
        <v>0.75</v>
      </c>
      <c r="K18" s="9">
        <v>10.5</v>
      </c>
      <c r="L18" s="9">
        <v>7</v>
      </c>
    </row>
    <row r="19" spans="1:12" x14ac:dyDescent="0.3">
      <c r="A19" s="9">
        <v>8.1</v>
      </c>
      <c r="B19" s="9">
        <v>0.56000000000000005</v>
      </c>
      <c r="C19" s="9">
        <v>0.28000000000000003</v>
      </c>
      <c r="D19" s="9">
        <v>1.7</v>
      </c>
      <c r="E19" s="9">
        <v>0.36799999999999999</v>
      </c>
      <c r="F19" s="9">
        <v>16</v>
      </c>
      <c r="G19" s="9">
        <v>56</v>
      </c>
      <c r="H19" s="9">
        <v>0.99680000000000002</v>
      </c>
      <c r="I19" s="9">
        <v>3.11</v>
      </c>
      <c r="J19" s="9">
        <v>1.28</v>
      </c>
      <c r="K19" s="9">
        <v>9.3000000000000007</v>
      </c>
      <c r="L19" s="9">
        <v>5</v>
      </c>
    </row>
    <row r="20" spans="1:12" x14ac:dyDescent="0.3">
      <c r="A20" s="9">
        <v>7.4</v>
      </c>
      <c r="B20" s="9">
        <v>0.59</v>
      </c>
      <c r="C20" s="9">
        <v>0.08</v>
      </c>
      <c r="D20" s="9">
        <v>4.4000000000000004</v>
      </c>
      <c r="E20" s="9">
        <v>8.5999999999999993E-2</v>
      </c>
      <c r="F20" s="9">
        <v>6</v>
      </c>
      <c r="G20" s="9">
        <v>29</v>
      </c>
      <c r="H20" s="9">
        <v>0.99739999999999995</v>
      </c>
      <c r="I20" s="9">
        <v>3.38</v>
      </c>
      <c r="J20" s="9">
        <v>0.5</v>
      </c>
      <c r="K20" s="9">
        <v>9</v>
      </c>
      <c r="L20" s="9">
        <v>4</v>
      </c>
    </row>
    <row r="21" spans="1:12" x14ac:dyDescent="0.3">
      <c r="A21" s="9">
        <v>7.9</v>
      </c>
      <c r="B21" s="9">
        <v>0.32</v>
      </c>
      <c r="C21" s="9">
        <v>0.51</v>
      </c>
      <c r="D21" s="9">
        <v>1.8</v>
      </c>
      <c r="E21" s="9">
        <v>0.34100000000000003</v>
      </c>
      <c r="F21" s="9">
        <v>17</v>
      </c>
      <c r="G21" s="9">
        <v>56</v>
      </c>
      <c r="H21" s="9">
        <v>0.99690000000000001</v>
      </c>
      <c r="I21" s="9">
        <v>3.04</v>
      </c>
      <c r="J21" s="9">
        <v>1.08</v>
      </c>
      <c r="K21" s="9">
        <v>9.1999999999999993</v>
      </c>
      <c r="L21" s="9">
        <v>6</v>
      </c>
    </row>
    <row r="22" spans="1:12" x14ac:dyDescent="0.3">
      <c r="A22" s="9">
        <v>8.9</v>
      </c>
      <c r="B22" s="9">
        <v>0.22</v>
      </c>
      <c r="C22" s="9">
        <v>0.48</v>
      </c>
      <c r="D22" s="9">
        <v>1.8</v>
      </c>
      <c r="E22" s="9">
        <v>7.6999999999999999E-2</v>
      </c>
      <c r="F22" s="9">
        <v>29</v>
      </c>
      <c r="G22" s="9">
        <v>60</v>
      </c>
      <c r="H22" s="9">
        <v>0.99680000000000002</v>
      </c>
      <c r="I22" s="9">
        <v>3.39</v>
      </c>
      <c r="J22" s="9">
        <v>0.53</v>
      </c>
      <c r="K22" s="9">
        <v>9.4</v>
      </c>
      <c r="L22" s="9">
        <v>6</v>
      </c>
    </row>
    <row r="23" spans="1:12" x14ac:dyDescent="0.3">
      <c r="A23" s="9">
        <v>7.6</v>
      </c>
      <c r="B23" s="9">
        <v>0.39</v>
      </c>
      <c r="C23" s="9">
        <v>0.31</v>
      </c>
      <c r="D23" s="9">
        <v>2.2999999999999998</v>
      </c>
      <c r="E23" s="9">
        <v>8.2000000000000003E-2</v>
      </c>
      <c r="F23" s="9">
        <v>23</v>
      </c>
      <c r="G23" s="9">
        <v>71</v>
      </c>
      <c r="H23" s="9">
        <v>0.99819999999999998</v>
      </c>
      <c r="I23" s="9">
        <v>3.52</v>
      </c>
      <c r="J23" s="9">
        <v>0.65</v>
      </c>
      <c r="K23" s="9">
        <v>9.6999999999999993</v>
      </c>
      <c r="L23" s="9">
        <v>5</v>
      </c>
    </row>
    <row r="24" spans="1:12" x14ac:dyDescent="0.3">
      <c r="A24" s="9">
        <v>7.9</v>
      </c>
      <c r="B24" s="9">
        <v>0.43</v>
      </c>
      <c r="C24" s="9">
        <v>0.21</v>
      </c>
      <c r="D24" s="9">
        <v>1.6</v>
      </c>
      <c r="E24" s="9">
        <v>0.106</v>
      </c>
      <c r="F24" s="9">
        <v>10</v>
      </c>
      <c r="G24" s="9">
        <v>37</v>
      </c>
      <c r="H24" s="9">
        <v>0.99660000000000004</v>
      </c>
      <c r="I24" s="9">
        <v>3.17</v>
      </c>
      <c r="J24" s="9">
        <v>0.91</v>
      </c>
      <c r="K24" s="9">
        <v>9.5</v>
      </c>
      <c r="L24" s="9">
        <v>5</v>
      </c>
    </row>
    <row r="25" spans="1:12" x14ac:dyDescent="0.3">
      <c r="A25" s="9">
        <v>8.5</v>
      </c>
      <c r="B25" s="9">
        <v>0.49</v>
      </c>
      <c r="C25" s="9">
        <v>0.11</v>
      </c>
      <c r="D25" s="9">
        <v>2.2999999999999998</v>
      </c>
      <c r="E25" s="9">
        <v>8.4000000000000005E-2</v>
      </c>
      <c r="F25" s="9">
        <v>9</v>
      </c>
      <c r="G25" s="9">
        <v>67</v>
      </c>
      <c r="H25" s="9">
        <v>0.99680000000000002</v>
      </c>
      <c r="I25" s="9">
        <v>3.17</v>
      </c>
      <c r="J25" s="9">
        <v>0.53</v>
      </c>
      <c r="K25" s="9">
        <v>9.4</v>
      </c>
      <c r="L25" s="9">
        <v>5</v>
      </c>
    </row>
    <row r="26" spans="1:12" x14ac:dyDescent="0.3">
      <c r="A26" s="9">
        <v>6.9</v>
      </c>
      <c r="B26" s="9">
        <v>0.4</v>
      </c>
      <c r="C26" s="9">
        <v>0.14000000000000001</v>
      </c>
      <c r="D26" s="9">
        <v>2.4</v>
      </c>
      <c r="E26" s="9">
        <v>8.5000000000000006E-2</v>
      </c>
      <c r="F26" s="9">
        <v>21</v>
      </c>
      <c r="G26" s="9">
        <v>40</v>
      </c>
      <c r="H26" s="9">
        <v>0.99680000000000002</v>
      </c>
      <c r="I26" s="9">
        <v>3.43</v>
      </c>
      <c r="J26" s="9">
        <v>0.63</v>
      </c>
      <c r="K26" s="9">
        <v>9.6999999999999993</v>
      </c>
      <c r="L26" s="9">
        <v>6</v>
      </c>
    </row>
    <row r="27" spans="1:12" x14ac:dyDescent="0.3">
      <c r="A27" s="9">
        <v>6.3</v>
      </c>
      <c r="B27" s="9">
        <v>0.39</v>
      </c>
      <c r="C27" s="9">
        <v>0.16</v>
      </c>
      <c r="D27" s="9">
        <v>1.4</v>
      </c>
      <c r="E27" s="9">
        <v>0.08</v>
      </c>
      <c r="F27" s="9">
        <v>11</v>
      </c>
      <c r="G27" s="9">
        <v>23</v>
      </c>
      <c r="H27" s="9">
        <v>0.99550000000000005</v>
      </c>
      <c r="I27" s="9">
        <v>3.34</v>
      </c>
      <c r="J27" s="9">
        <v>0.56000000000000005</v>
      </c>
      <c r="K27" s="9">
        <v>9.3000000000000007</v>
      </c>
      <c r="L27" s="9">
        <v>5</v>
      </c>
    </row>
    <row r="28" spans="1:12" x14ac:dyDescent="0.3">
      <c r="A28" s="9">
        <v>7.6</v>
      </c>
      <c r="B28" s="9">
        <v>0.41</v>
      </c>
      <c r="C28" s="9">
        <v>0.24</v>
      </c>
      <c r="D28" s="9">
        <v>1.8</v>
      </c>
      <c r="E28" s="9">
        <v>0.08</v>
      </c>
      <c r="F28" s="9">
        <v>4</v>
      </c>
      <c r="G28" s="9">
        <v>11</v>
      </c>
      <c r="H28" s="9">
        <v>0.99619999999999997</v>
      </c>
      <c r="I28" s="9">
        <v>3.28</v>
      </c>
      <c r="J28" s="9">
        <v>0.59</v>
      </c>
      <c r="K28" s="9">
        <v>9.5</v>
      </c>
      <c r="L28" s="9">
        <v>5</v>
      </c>
    </row>
    <row r="29" spans="1:12" x14ac:dyDescent="0.3">
      <c r="A29" s="9">
        <v>7.9</v>
      </c>
      <c r="B29" s="9">
        <v>0.43</v>
      </c>
      <c r="C29" s="9">
        <v>0.21</v>
      </c>
      <c r="D29" s="9">
        <v>1.6</v>
      </c>
      <c r="E29" s="9">
        <v>0.106</v>
      </c>
      <c r="F29" s="9">
        <v>10</v>
      </c>
      <c r="G29" s="9">
        <v>37</v>
      </c>
      <c r="H29" s="9">
        <v>0.99660000000000004</v>
      </c>
      <c r="I29" s="9">
        <v>3.17</v>
      </c>
      <c r="J29" s="9">
        <v>0.91</v>
      </c>
      <c r="K29" s="9">
        <v>9.5</v>
      </c>
      <c r="L29" s="9">
        <v>5</v>
      </c>
    </row>
    <row r="30" spans="1:12" x14ac:dyDescent="0.3">
      <c r="A30" s="9">
        <v>7.1</v>
      </c>
      <c r="B30" s="9">
        <v>0.71</v>
      </c>
      <c r="C30" s="9">
        <v>0</v>
      </c>
      <c r="D30" s="9">
        <v>1.9</v>
      </c>
      <c r="E30" s="9">
        <v>0.08</v>
      </c>
      <c r="F30" s="9">
        <v>14</v>
      </c>
      <c r="G30" s="9">
        <v>35</v>
      </c>
      <c r="H30" s="9">
        <v>0.99719999999999998</v>
      </c>
      <c r="I30" s="9">
        <v>3.47</v>
      </c>
      <c r="J30" s="9">
        <v>0.55000000000000004</v>
      </c>
      <c r="K30" s="9">
        <v>9.4</v>
      </c>
      <c r="L30" s="9">
        <v>5</v>
      </c>
    </row>
    <row r="31" spans="1:12" x14ac:dyDescent="0.3">
      <c r="A31" s="9">
        <v>7.8</v>
      </c>
      <c r="B31" s="9">
        <v>0.64500000000000002</v>
      </c>
      <c r="C31" s="9">
        <v>0</v>
      </c>
      <c r="D31" s="9">
        <v>2</v>
      </c>
      <c r="E31" s="9">
        <v>8.2000000000000003E-2</v>
      </c>
      <c r="F31" s="9">
        <v>8</v>
      </c>
      <c r="G31" s="9">
        <v>16</v>
      </c>
      <c r="H31" s="9">
        <v>0.99639999999999995</v>
      </c>
      <c r="I31" s="9">
        <v>3.38</v>
      </c>
      <c r="J31" s="9">
        <v>0.59</v>
      </c>
      <c r="K31" s="9">
        <v>9.8000000000000007</v>
      </c>
      <c r="L31" s="9">
        <v>6</v>
      </c>
    </row>
    <row r="32" spans="1:12" x14ac:dyDescent="0.3">
      <c r="A32" s="9">
        <v>6.7</v>
      </c>
      <c r="B32" s="9">
        <v>0.67500000000000004</v>
      </c>
      <c r="C32" s="9">
        <v>7.0000000000000007E-2</v>
      </c>
      <c r="D32" s="9">
        <v>2.4</v>
      </c>
      <c r="E32" s="9">
        <v>8.8999999999999996E-2</v>
      </c>
      <c r="F32" s="9">
        <v>17</v>
      </c>
      <c r="G32" s="9">
        <v>82</v>
      </c>
      <c r="H32" s="9">
        <v>0.99580000000000002</v>
      </c>
      <c r="I32" s="9">
        <v>3.35</v>
      </c>
      <c r="J32" s="9">
        <v>0.54</v>
      </c>
      <c r="K32" s="9">
        <v>10.1</v>
      </c>
      <c r="L32" s="9">
        <v>5</v>
      </c>
    </row>
    <row r="33" spans="1:12" x14ac:dyDescent="0.3">
      <c r="A33" s="9">
        <v>6.9</v>
      </c>
      <c r="B33" s="9">
        <v>0.68500000000000005</v>
      </c>
      <c r="C33" s="9">
        <v>0</v>
      </c>
      <c r="D33" s="9">
        <v>2.5</v>
      </c>
      <c r="E33" s="9">
        <v>0.105</v>
      </c>
      <c r="F33" s="9">
        <v>22</v>
      </c>
      <c r="G33" s="9">
        <v>37</v>
      </c>
      <c r="H33" s="9">
        <v>0.99660000000000004</v>
      </c>
      <c r="I33" s="9">
        <v>3.46</v>
      </c>
      <c r="J33" s="9">
        <v>0.56999999999999995</v>
      </c>
      <c r="K33" s="9">
        <v>10.6</v>
      </c>
      <c r="L33" s="9">
        <v>6</v>
      </c>
    </row>
    <row r="34" spans="1:12" x14ac:dyDescent="0.3">
      <c r="A34" s="9">
        <v>8.3000000000000007</v>
      </c>
      <c r="B34" s="9">
        <v>0.65500000000000003</v>
      </c>
      <c r="C34" s="9">
        <v>0.12</v>
      </c>
      <c r="D34" s="9">
        <v>2.2999999999999998</v>
      </c>
      <c r="E34" s="9">
        <v>8.3000000000000004E-2</v>
      </c>
      <c r="F34" s="9">
        <v>15</v>
      </c>
      <c r="G34" s="9">
        <v>113</v>
      </c>
      <c r="H34" s="9">
        <v>0.99660000000000004</v>
      </c>
      <c r="I34" s="9">
        <v>3.17</v>
      </c>
      <c r="J34" s="9">
        <v>0.66</v>
      </c>
      <c r="K34" s="9">
        <v>9.8000000000000007</v>
      </c>
      <c r="L34" s="9">
        <v>5</v>
      </c>
    </row>
    <row r="35" spans="1:12" x14ac:dyDescent="0.3">
      <c r="A35" s="9">
        <v>6.9</v>
      </c>
      <c r="B35" s="9">
        <v>0.60499999999999998</v>
      </c>
      <c r="C35" s="9">
        <v>0.12</v>
      </c>
      <c r="D35" s="9">
        <v>10.7</v>
      </c>
      <c r="E35" s="9">
        <v>7.2999999999999995E-2</v>
      </c>
      <c r="F35" s="9">
        <v>40</v>
      </c>
      <c r="G35" s="9">
        <v>83</v>
      </c>
      <c r="H35" s="9">
        <v>0.99929999999999997</v>
      </c>
      <c r="I35" s="9">
        <v>3.45</v>
      </c>
      <c r="J35" s="9">
        <v>0.52</v>
      </c>
      <c r="K35" s="9">
        <v>9.4</v>
      </c>
      <c r="L35" s="9">
        <v>6</v>
      </c>
    </row>
    <row r="36" spans="1:12" x14ac:dyDescent="0.3">
      <c r="A36" s="9">
        <v>5.2</v>
      </c>
      <c r="B36" s="9">
        <v>0.32</v>
      </c>
      <c r="C36" s="9">
        <v>0.25</v>
      </c>
      <c r="D36" s="9">
        <v>1.8</v>
      </c>
      <c r="E36" s="9">
        <v>0.10299999999999999</v>
      </c>
      <c r="F36" s="9">
        <v>13</v>
      </c>
      <c r="G36" s="9">
        <v>50</v>
      </c>
      <c r="H36" s="9">
        <v>0.99570000000000003</v>
      </c>
      <c r="I36" s="9">
        <v>3.38</v>
      </c>
      <c r="J36" s="9">
        <v>0.55000000000000004</v>
      </c>
      <c r="K36" s="9">
        <v>9.1999999999999993</v>
      </c>
      <c r="L36" s="9">
        <v>5</v>
      </c>
    </row>
    <row r="37" spans="1:12" x14ac:dyDescent="0.3">
      <c r="A37" s="9">
        <v>7.8</v>
      </c>
      <c r="B37" s="9">
        <v>0.64500000000000002</v>
      </c>
      <c r="C37" s="9">
        <v>0</v>
      </c>
      <c r="D37" s="9">
        <v>5.5</v>
      </c>
      <c r="E37" s="9">
        <v>8.5999999999999993E-2</v>
      </c>
      <c r="F37" s="9">
        <v>5</v>
      </c>
      <c r="G37" s="9">
        <v>18</v>
      </c>
      <c r="H37" s="9">
        <v>0.99860000000000004</v>
      </c>
      <c r="I37" s="9">
        <v>3.4</v>
      </c>
      <c r="J37" s="9">
        <v>0.55000000000000004</v>
      </c>
      <c r="K37" s="9">
        <v>9.6</v>
      </c>
      <c r="L37" s="9">
        <v>6</v>
      </c>
    </row>
    <row r="38" spans="1:12" x14ac:dyDescent="0.3">
      <c r="A38" s="9">
        <v>7.8</v>
      </c>
      <c r="B38" s="9">
        <v>0.6</v>
      </c>
      <c r="C38" s="9">
        <v>0.14000000000000001</v>
      </c>
      <c r="D38" s="9">
        <v>2.4</v>
      </c>
      <c r="E38" s="9">
        <v>8.5999999999999993E-2</v>
      </c>
      <c r="F38" s="9">
        <v>3</v>
      </c>
      <c r="G38" s="9">
        <v>15</v>
      </c>
      <c r="H38" s="9">
        <v>0.99750000000000005</v>
      </c>
      <c r="I38" s="9">
        <v>3.42</v>
      </c>
      <c r="J38" s="9">
        <v>0.6</v>
      </c>
      <c r="K38" s="9">
        <v>10.8</v>
      </c>
      <c r="L38" s="9">
        <v>6</v>
      </c>
    </row>
    <row r="39" spans="1:12" x14ac:dyDescent="0.3">
      <c r="A39" s="9">
        <v>8.1</v>
      </c>
      <c r="B39" s="9">
        <v>0.38</v>
      </c>
      <c r="C39" s="9">
        <v>0.28000000000000003</v>
      </c>
      <c r="D39" s="9">
        <v>2.1</v>
      </c>
      <c r="E39" s="9">
        <v>6.6000000000000003E-2</v>
      </c>
      <c r="F39" s="9">
        <v>13</v>
      </c>
      <c r="G39" s="9">
        <v>30</v>
      </c>
      <c r="H39" s="9">
        <v>0.99680000000000002</v>
      </c>
      <c r="I39" s="9">
        <v>3.23</v>
      </c>
      <c r="J39" s="9">
        <v>0.73</v>
      </c>
      <c r="K39" s="9">
        <v>9.6999999999999993</v>
      </c>
      <c r="L39" s="9">
        <v>7</v>
      </c>
    </row>
    <row r="40" spans="1:12" x14ac:dyDescent="0.3">
      <c r="A40" s="9">
        <v>5.7</v>
      </c>
      <c r="B40" s="9">
        <v>1.1299999999999999</v>
      </c>
      <c r="C40" s="9">
        <v>0.09</v>
      </c>
      <c r="D40" s="9">
        <v>1.5</v>
      </c>
      <c r="E40" s="9">
        <v>0.17199999999999999</v>
      </c>
      <c r="F40" s="9">
        <v>7</v>
      </c>
      <c r="G40" s="9">
        <v>19</v>
      </c>
      <c r="H40" s="9">
        <v>0.99399999999999999</v>
      </c>
      <c r="I40" s="9">
        <v>3.5</v>
      </c>
      <c r="J40" s="9">
        <v>0.48</v>
      </c>
      <c r="K40" s="9">
        <v>9.8000000000000007</v>
      </c>
      <c r="L40" s="9">
        <v>4</v>
      </c>
    </row>
    <row r="41" spans="1:12" x14ac:dyDescent="0.3">
      <c r="A41" s="9">
        <v>7.3</v>
      </c>
      <c r="B41" s="9">
        <v>0.45</v>
      </c>
      <c r="C41" s="9">
        <v>0.36</v>
      </c>
      <c r="D41" s="9">
        <v>5.9</v>
      </c>
      <c r="E41" s="9">
        <v>7.3999999999999996E-2</v>
      </c>
      <c r="F41" s="9">
        <v>12</v>
      </c>
      <c r="G41" s="9">
        <v>87</v>
      </c>
      <c r="H41" s="9">
        <v>0.99780000000000002</v>
      </c>
      <c r="I41" s="9">
        <v>3.33</v>
      </c>
      <c r="J41" s="9">
        <v>0.83</v>
      </c>
      <c r="K41" s="9">
        <v>10.5</v>
      </c>
      <c r="L41" s="9">
        <v>5</v>
      </c>
    </row>
    <row r="42" spans="1:12" x14ac:dyDescent="0.3">
      <c r="A42" s="9">
        <v>7.3</v>
      </c>
      <c r="B42" s="9">
        <v>0.45</v>
      </c>
      <c r="C42" s="9">
        <v>0.36</v>
      </c>
      <c r="D42" s="9">
        <v>5.9</v>
      </c>
      <c r="E42" s="9">
        <v>7.3999999999999996E-2</v>
      </c>
      <c r="F42" s="9">
        <v>12</v>
      </c>
      <c r="G42" s="9">
        <v>87</v>
      </c>
      <c r="H42" s="9">
        <v>0.99780000000000002</v>
      </c>
      <c r="I42" s="9">
        <v>3.33</v>
      </c>
      <c r="J42" s="9">
        <v>0.83</v>
      </c>
      <c r="K42" s="9">
        <v>10.5</v>
      </c>
      <c r="L42" s="9">
        <v>5</v>
      </c>
    </row>
    <row r="43" spans="1:12" x14ac:dyDescent="0.3">
      <c r="A43" s="9">
        <v>8.8000000000000007</v>
      </c>
      <c r="B43" s="9">
        <v>0.61</v>
      </c>
      <c r="C43" s="9">
        <v>0.3</v>
      </c>
      <c r="D43" s="9">
        <v>2.8</v>
      </c>
      <c r="E43" s="9">
        <v>8.7999999999999995E-2</v>
      </c>
      <c r="F43" s="9">
        <v>17</v>
      </c>
      <c r="G43" s="9">
        <v>46</v>
      </c>
      <c r="H43" s="9">
        <v>0.99760000000000004</v>
      </c>
      <c r="I43" s="9">
        <v>3.26</v>
      </c>
      <c r="J43" s="9">
        <v>0.51</v>
      </c>
      <c r="K43" s="9">
        <v>9.3000000000000007</v>
      </c>
      <c r="L43" s="9">
        <v>4</v>
      </c>
    </row>
    <row r="44" spans="1:12" x14ac:dyDescent="0.3">
      <c r="A44" s="9">
        <v>7.5</v>
      </c>
      <c r="B44" s="9">
        <v>0.49</v>
      </c>
      <c r="C44" s="9">
        <v>0.2</v>
      </c>
      <c r="D44" s="9">
        <v>2.6</v>
      </c>
      <c r="E44" s="9">
        <v>0.33200000000000002</v>
      </c>
      <c r="F44" s="9">
        <v>8</v>
      </c>
      <c r="G44" s="9">
        <v>14</v>
      </c>
      <c r="H44" s="9">
        <v>0.99680000000000002</v>
      </c>
      <c r="I44" s="9">
        <v>3.21</v>
      </c>
      <c r="J44" s="9">
        <v>0.9</v>
      </c>
      <c r="K44" s="9">
        <v>10.5</v>
      </c>
      <c r="L44" s="9">
        <v>6</v>
      </c>
    </row>
    <row r="45" spans="1:12" x14ac:dyDescent="0.3">
      <c r="A45" s="9">
        <v>8.1</v>
      </c>
      <c r="B45" s="9">
        <v>0.66</v>
      </c>
      <c r="C45" s="9">
        <v>0.22</v>
      </c>
      <c r="D45" s="9">
        <v>2.2000000000000002</v>
      </c>
      <c r="E45" s="9">
        <v>6.9000000000000006E-2</v>
      </c>
      <c r="F45" s="9">
        <v>9</v>
      </c>
      <c r="G45" s="9">
        <v>23</v>
      </c>
      <c r="H45" s="9">
        <v>0.99680000000000002</v>
      </c>
      <c r="I45" s="9">
        <v>3.3</v>
      </c>
      <c r="J45" s="9">
        <v>1.2</v>
      </c>
      <c r="K45" s="9">
        <v>10.3</v>
      </c>
      <c r="L45" s="9">
        <v>5</v>
      </c>
    </row>
    <row r="46" spans="1:12" x14ac:dyDescent="0.3">
      <c r="A46" s="9">
        <v>6.8</v>
      </c>
      <c r="B46" s="9">
        <v>0.67</v>
      </c>
      <c r="C46" s="9">
        <v>0.02</v>
      </c>
      <c r="D46" s="9">
        <v>1.8</v>
      </c>
      <c r="E46" s="9">
        <v>0.05</v>
      </c>
      <c r="F46" s="9">
        <v>5</v>
      </c>
      <c r="G46" s="9">
        <v>11</v>
      </c>
      <c r="H46" s="9">
        <v>0.99619999999999997</v>
      </c>
      <c r="I46" s="9">
        <v>3.48</v>
      </c>
      <c r="J46" s="9">
        <v>0.52</v>
      </c>
      <c r="K46" s="9">
        <v>9.5</v>
      </c>
      <c r="L46" s="9">
        <v>5</v>
      </c>
    </row>
    <row r="47" spans="1:12" x14ac:dyDescent="0.3">
      <c r="A47" s="9">
        <v>4.5999999999999996</v>
      </c>
      <c r="B47" s="9">
        <v>0.52</v>
      </c>
      <c r="C47" s="9">
        <v>0.15</v>
      </c>
      <c r="D47" s="9">
        <v>2.1</v>
      </c>
      <c r="E47" s="9">
        <v>5.3999999999999999E-2</v>
      </c>
      <c r="F47" s="9">
        <v>8</v>
      </c>
      <c r="G47" s="9">
        <v>65</v>
      </c>
      <c r="H47" s="9">
        <v>0.99339999999999995</v>
      </c>
      <c r="I47" s="9">
        <v>3.9</v>
      </c>
      <c r="J47" s="9">
        <v>0.56000000000000005</v>
      </c>
      <c r="K47" s="9">
        <v>13.1</v>
      </c>
      <c r="L47" s="9">
        <v>4</v>
      </c>
    </row>
    <row r="48" spans="1:12" x14ac:dyDescent="0.3">
      <c r="A48" s="9">
        <v>7.7</v>
      </c>
      <c r="B48" s="9">
        <v>0.93500000000000005</v>
      </c>
      <c r="C48" s="9">
        <v>0.43</v>
      </c>
      <c r="D48" s="9">
        <v>2.2000000000000002</v>
      </c>
      <c r="E48" s="9">
        <v>0.114</v>
      </c>
      <c r="F48" s="9">
        <v>22</v>
      </c>
      <c r="G48" s="9">
        <v>114</v>
      </c>
      <c r="H48" s="9">
        <v>0.997</v>
      </c>
      <c r="I48" s="9">
        <v>3.25</v>
      </c>
      <c r="J48" s="9">
        <v>0.73</v>
      </c>
      <c r="K48" s="9">
        <v>9.1999999999999993</v>
      </c>
      <c r="L48" s="9">
        <v>5</v>
      </c>
    </row>
    <row r="49" spans="1:12" x14ac:dyDescent="0.3">
      <c r="A49" s="9">
        <v>8.6999999999999993</v>
      </c>
      <c r="B49" s="9">
        <v>0.28999999999999998</v>
      </c>
      <c r="C49" s="9">
        <v>0.52</v>
      </c>
      <c r="D49" s="9">
        <v>1.6</v>
      </c>
      <c r="E49" s="9">
        <v>0.113</v>
      </c>
      <c r="F49" s="9">
        <v>12</v>
      </c>
      <c r="G49" s="9">
        <v>37</v>
      </c>
      <c r="H49" s="9">
        <v>0.99690000000000001</v>
      </c>
      <c r="I49" s="9">
        <v>3.25</v>
      </c>
      <c r="J49" s="9">
        <v>0.57999999999999996</v>
      </c>
      <c r="K49" s="9">
        <v>9.5</v>
      </c>
      <c r="L49" s="9">
        <v>5</v>
      </c>
    </row>
    <row r="50" spans="1:12" x14ac:dyDescent="0.3">
      <c r="A50" s="9">
        <v>6.4</v>
      </c>
      <c r="B50" s="9">
        <v>0.4</v>
      </c>
      <c r="C50" s="9">
        <v>0.23</v>
      </c>
      <c r="D50" s="9">
        <v>1.6</v>
      </c>
      <c r="E50" s="9">
        <v>6.6000000000000003E-2</v>
      </c>
      <c r="F50" s="9">
        <v>5</v>
      </c>
      <c r="G50" s="9">
        <v>12</v>
      </c>
      <c r="H50" s="9">
        <v>0.99580000000000002</v>
      </c>
      <c r="I50" s="9">
        <v>3.34</v>
      </c>
      <c r="J50" s="9">
        <v>0.56000000000000005</v>
      </c>
      <c r="K50" s="9">
        <v>9.1999999999999993</v>
      </c>
      <c r="L50" s="9">
        <v>5</v>
      </c>
    </row>
    <row r="51" spans="1:12" x14ac:dyDescent="0.3">
      <c r="A51" s="9">
        <v>5.6</v>
      </c>
      <c r="B51" s="9">
        <v>0.31</v>
      </c>
      <c r="C51" s="9">
        <v>0.37</v>
      </c>
      <c r="D51" s="9">
        <v>1.4</v>
      </c>
      <c r="E51" s="9">
        <v>7.3999999999999996E-2</v>
      </c>
      <c r="F51" s="9">
        <v>12</v>
      </c>
      <c r="G51" s="9">
        <v>96</v>
      </c>
      <c r="H51" s="9">
        <v>0.99539999999999995</v>
      </c>
      <c r="I51" s="9">
        <v>3.32</v>
      </c>
      <c r="J51" s="9">
        <v>0.57999999999999996</v>
      </c>
      <c r="K51" s="9">
        <v>9.1999999999999993</v>
      </c>
      <c r="L51" s="9">
        <v>5</v>
      </c>
    </row>
    <row r="52" spans="1:12" x14ac:dyDescent="0.3">
      <c r="A52" s="9">
        <v>8.8000000000000007</v>
      </c>
      <c r="B52" s="9">
        <v>0.66</v>
      </c>
      <c r="C52" s="9">
        <v>0.26</v>
      </c>
      <c r="D52" s="9">
        <v>1.7</v>
      </c>
      <c r="E52" s="9">
        <v>7.3999999999999996E-2</v>
      </c>
      <c r="F52" s="9">
        <v>4</v>
      </c>
      <c r="G52" s="9">
        <v>23</v>
      </c>
      <c r="H52" s="9">
        <v>0.99709999999999999</v>
      </c>
      <c r="I52" s="9">
        <v>3.15</v>
      </c>
      <c r="J52" s="9">
        <v>0.74</v>
      </c>
      <c r="K52" s="9">
        <v>9.1999999999999993</v>
      </c>
      <c r="L52" s="9">
        <v>5</v>
      </c>
    </row>
    <row r="53" spans="1:12" x14ac:dyDescent="0.3">
      <c r="A53" s="9">
        <v>6.6</v>
      </c>
      <c r="B53" s="9">
        <v>0.52</v>
      </c>
      <c r="C53" s="9">
        <v>0.04</v>
      </c>
      <c r="D53" s="9">
        <v>2.2000000000000002</v>
      </c>
      <c r="E53" s="9">
        <v>6.9000000000000006E-2</v>
      </c>
      <c r="F53" s="9">
        <v>8</v>
      </c>
      <c r="G53" s="9">
        <v>15</v>
      </c>
      <c r="H53" s="9">
        <v>0.99560000000000004</v>
      </c>
      <c r="I53" s="9">
        <v>3.4</v>
      </c>
      <c r="J53" s="9">
        <v>0.63</v>
      </c>
      <c r="K53" s="9">
        <v>9.4</v>
      </c>
      <c r="L53" s="9">
        <v>6</v>
      </c>
    </row>
    <row r="54" spans="1:12" x14ac:dyDescent="0.3">
      <c r="A54" s="9">
        <v>6.6</v>
      </c>
      <c r="B54" s="9">
        <v>0.5</v>
      </c>
      <c r="C54" s="9">
        <v>0.04</v>
      </c>
      <c r="D54" s="9">
        <v>2.1</v>
      </c>
      <c r="E54" s="9">
        <v>6.8000000000000005E-2</v>
      </c>
      <c r="F54" s="9">
        <v>6</v>
      </c>
      <c r="G54" s="9">
        <v>14</v>
      </c>
      <c r="H54" s="9">
        <v>0.99550000000000005</v>
      </c>
      <c r="I54" s="9">
        <v>3.39</v>
      </c>
      <c r="J54" s="9">
        <v>0.64</v>
      </c>
      <c r="K54" s="9">
        <v>9.4</v>
      </c>
      <c r="L54" s="9">
        <v>6</v>
      </c>
    </row>
    <row r="55" spans="1:12" x14ac:dyDescent="0.3">
      <c r="A55" s="9">
        <v>8.6</v>
      </c>
      <c r="B55" s="9">
        <v>0.38</v>
      </c>
      <c r="C55" s="9">
        <v>0.36</v>
      </c>
      <c r="D55" s="9">
        <v>3</v>
      </c>
      <c r="E55" s="9">
        <v>8.1000000000000003E-2</v>
      </c>
      <c r="F55" s="9">
        <v>30</v>
      </c>
      <c r="G55" s="9">
        <v>119</v>
      </c>
      <c r="H55" s="9">
        <v>0.997</v>
      </c>
      <c r="I55" s="9">
        <v>3.2</v>
      </c>
      <c r="J55" s="9">
        <v>0.56000000000000005</v>
      </c>
      <c r="K55" s="9">
        <v>9.4</v>
      </c>
      <c r="L55" s="9">
        <v>5</v>
      </c>
    </row>
    <row r="56" spans="1:12" x14ac:dyDescent="0.3">
      <c r="A56" s="9">
        <v>7.6</v>
      </c>
      <c r="B56" s="9">
        <v>0.51</v>
      </c>
      <c r="C56" s="9">
        <v>0.15</v>
      </c>
      <c r="D56" s="9">
        <v>2.8</v>
      </c>
      <c r="E56" s="9">
        <v>0.11</v>
      </c>
      <c r="F56" s="9">
        <v>33</v>
      </c>
      <c r="G56" s="9">
        <v>73</v>
      </c>
      <c r="H56" s="9">
        <v>0.99550000000000005</v>
      </c>
      <c r="I56" s="9">
        <v>3.17</v>
      </c>
      <c r="J56" s="9">
        <v>0.63</v>
      </c>
      <c r="K56" s="9">
        <v>10.199999999999999</v>
      </c>
      <c r="L56" s="9">
        <v>6</v>
      </c>
    </row>
    <row r="57" spans="1:12" x14ac:dyDescent="0.3">
      <c r="A57" s="9">
        <v>7.7</v>
      </c>
      <c r="B57" s="9">
        <v>0.62</v>
      </c>
      <c r="C57" s="9">
        <v>0.04</v>
      </c>
      <c r="D57" s="9">
        <v>3.8</v>
      </c>
      <c r="E57" s="9">
        <v>8.4000000000000005E-2</v>
      </c>
      <c r="F57" s="9">
        <v>25</v>
      </c>
      <c r="G57" s="9">
        <v>45</v>
      </c>
      <c r="H57" s="9">
        <v>0.99780000000000002</v>
      </c>
      <c r="I57" s="9">
        <v>3.34</v>
      </c>
      <c r="J57" s="9">
        <v>0.53</v>
      </c>
      <c r="K57" s="9">
        <v>9.5</v>
      </c>
      <c r="L57" s="9">
        <v>5</v>
      </c>
    </row>
    <row r="58" spans="1:12" x14ac:dyDescent="0.3">
      <c r="A58" s="9">
        <v>10.199999999999999</v>
      </c>
      <c r="B58" s="9">
        <v>0.42</v>
      </c>
      <c r="C58" s="9">
        <v>0.56999999999999995</v>
      </c>
      <c r="D58" s="9">
        <v>3.4</v>
      </c>
      <c r="E58" s="9">
        <v>7.0000000000000007E-2</v>
      </c>
      <c r="F58" s="9">
        <v>4</v>
      </c>
      <c r="G58" s="9">
        <v>10</v>
      </c>
      <c r="H58" s="9">
        <v>0.99709999999999999</v>
      </c>
      <c r="I58" s="9">
        <v>3.04</v>
      </c>
      <c r="J58" s="9">
        <v>0.63</v>
      </c>
      <c r="K58" s="9">
        <v>9.6</v>
      </c>
      <c r="L58" s="9">
        <v>5</v>
      </c>
    </row>
    <row r="59" spans="1:12" x14ac:dyDescent="0.3">
      <c r="A59" s="9">
        <v>7.5</v>
      </c>
      <c r="B59" s="9">
        <v>0.63</v>
      </c>
      <c r="C59" s="9">
        <v>0.12</v>
      </c>
      <c r="D59" s="9">
        <v>5.0999999999999996</v>
      </c>
      <c r="E59" s="9">
        <v>0.111</v>
      </c>
      <c r="F59" s="9">
        <v>50</v>
      </c>
      <c r="G59" s="9">
        <v>110</v>
      </c>
      <c r="H59" s="9">
        <v>0.99829999999999997</v>
      </c>
      <c r="I59" s="9">
        <v>3.26</v>
      </c>
      <c r="J59" s="9">
        <v>0.77</v>
      </c>
      <c r="K59" s="9">
        <v>9.4</v>
      </c>
      <c r="L59" s="9">
        <v>5</v>
      </c>
    </row>
    <row r="60" spans="1:12" x14ac:dyDescent="0.3">
      <c r="A60" s="9">
        <v>7.8</v>
      </c>
      <c r="B60" s="9">
        <v>0.59</v>
      </c>
      <c r="C60" s="9">
        <v>0.18</v>
      </c>
      <c r="D60" s="9">
        <v>2.2999999999999998</v>
      </c>
      <c r="E60" s="9">
        <v>7.5999999999999998E-2</v>
      </c>
      <c r="F60" s="9">
        <v>17</v>
      </c>
      <c r="G60" s="9">
        <v>54</v>
      </c>
      <c r="H60" s="9">
        <v>0.99750000000000005</v>
      </c>
      <c r="I60" s="9">
        <v>3.43</v>
      </c>
      <c r="J60" s="9">
        <v>0.59</v>
      </c>
      <c r="K60" s="9">
        <v>10</v>
      </c>
      <c r="L60" s="9">
        <v>5</v>
      </c>
    </row>
    <row r="61" spans="1:12" x14ac:dyDescent="0.3">
      <c r="A61" s="9">
        <v>7.3</v>
      </c>
      <c r="B61" s="9">
        <v>0.39</v>
      </c>
      <c r="C61" s="9">
        <v>0.31</v>
      </c>
      <c r="D61" s="9">
        <v>2.4</v>
      </c>
      <c r="E61" s="9">
        <v>7.3999999999999996E-2</v>
      </c>
      <c r="F61" s="9">
        <v>9</v>
      </c>
      <c r="G61" s="9">
        <v>46</v>
      </c>
      <c r="H61" s="9">
        <v>0.99619999999999997</v>
      </c>
      <c r="I61" s="9">
        <v>3.41</v>
      </c>
      <c r="J61" s="9">
        <v>0.54</v>
      </c>
      <c r="K61" s="9">
        <v>9.4</v>
      </c>
      <c r="L61" s="9">
        <v>6</v>
      </c>
    </row>
    <row r="62" spans="1:12" x14ac:dyDescent="0.3">
      <c r="A62" s="9">
        <v>8.8000000000000007</v>
      </c>
      <c r="B62" s="9">
        <v>0.4</v>
      </c>
      <c r="C62" s="9">
        <v>0.4</v>
      </c>
      <c r="D62" s="9">
        <v>2.2000000000000002</v>
      </c>
      <c r="E62" s="9">
        <v>7.9000000000000001E-2</v>
      </c>
      <c r="F62" s="9">
        <v>19</v>
      </c>
      <c r="G62" s="9">
        <v>52</v>
      </c>
      <c r="H62" s="9">
        <v>0.998</v>
      </c>
      <c r="I62" s="9">
        <v>3.44</v>
      </c>
      <c r="J62" s="9">
        <v>0.64</v>
      </c>
      <c r="K62" s="9">
        <v>9.1999999999999993</v>
      </c>
      <c r="L62" s="9">
        <v>5</v>
      </c>
    </row>
    <row r="63" spans="1:12" x14ac:dyDescent="0.3">
      <c r="A63" s="9">
        <v>7.7</v>
      </c>
      <c r="B63" s="9">
        <v>0.69</v>
      </c>
      <c r="C63" s="9">
        <v>0.49</v>
      </c>
      <c r="D63" s="9">
        <v>1.8</v>
      </c>
      <c r="E63" s="9">
        <v>0.115</v>
      </c>
      <c r="F63" s="9">
        <v>20</v>
      </c>
      <c r="G63" s="9">
        <v>112</v>
      </c>
      <c r="H63" s="9">
        <v>0.99680000000000002</v>
      </c>
      <c r="I63" s="9">
        <v>3.21</v>
      </c>
      <c r="J63" s="9">
        <v>0.71</v>
      </c>
      <c r="K63" s="9">
        <v>9.3000000000000007</v>
      </c>
      <c r="L63" s="9">
        <v>5</v>
      </c>
    </row>
    <row r="64" spans="1:12" x14ac:dyDescent="0.3">
      <c r="A64" s="9">
        <v>7.5</v>
      </c>
      <c r="B64" s="9">
        <v>0.52</v>
      </c>
      <c r="C64" s="9">
        <v>0.16</v>
      </c>
      <c r="D64" s="9">
        <v>1.9</v>
      </c>
      <c r="E64" s="9">
        <v>8.5000000000000006E-2</v>
      </c>
      <c r="F64" s="9">
        <v>12</v>
      </c>
      <c r="G64" s="9">
        <v>35</v>
      </c>
      <c r="H64" s="9">
        <v>0.99680000000000002</v>
      </c>
      <c r="I64" s="9">
        <v>3.38</v>
      </c>
      <c r="J64" s="9">
        <v>0.62</v>
      </c>
      <c r="K64" s="9">
        <v>9.5</v>
      </c>
      <c r="L64" s="9">
        <v>7</v>
      </c>
    </row>
    <row r="65" spans="1:12" x14ac:dyDescent="0.3">
      <c r="A65" s="9">
        <v>7</v>
      </c>
      <c r="B65" s="9">
        <v>0.73499999999999999</v>
      </c>
      <c r="C65" s="9">
        <v>0.05</v>
      </c>
      <c r="D65" s="9">
        <v>2</v>
      </c>
      <c r="E65" s="9">
        <v>8.1000000000000003E-2</v>
      </c>
      <c r="F65" s="9">
        <v>13</v>
      </c>
      <c r="G65" s="9">
        <v>54</v>
      </c>
      <c r="H65" s="9">
        <v>0.99660000000000004</v>
      </c>
      <c r="I65" s="9">
        <v>3.39</v>
      </c>
      <c r="J65" s="9">
        <v>0.56999999999999995</v>
      </c>
      <c r="K65" s="9">
        <v>9.8000000000000007</v>
      </c>
      <c r="L65" s="9">
        <v>5</v>
      </c>
    </row>
    <row r="66" spans="1:12" x14ac:dyDescent="0.3">
      <c r="A66" s="9">
        <v>7.2</v>
      </c>
      <c r="B66" s="9">
        <v>0.72499999999999998</v>
      </c>
      <c r="C66" s="9">
        <v>0.05</v>
      </c>
      <c r="D66" s="9">
        <v>4.6500000000000004</v>
      </c>
      <c r="E66" s="9">
        <v>8.5999999999999993E-2</v>
      </c>
      <c r="F66" s="9">
        <v>4</v>
      </c>
      <c r="G66" s="9">
        <v>11</v>
      </c>
      <c r="H66" s="9">
        <v>0.99619999999999997</v>
      </c>
      <c r="I66" s="9">
        <v>3.41</v>
      </c>
      <c r="J66" s="9">
        <v>0.39</v>
      </c>
      <c r="K66" s="9">
        <v>10.9</v>
      </c>
      <c r="L66" s="9">
        <v>5</v>
      </c>
    </row>
    <row r="67" spans="1:12" x14ac:dyDescent="0.3">
      <c r="A67" s="9">
        <v>7.2</v>
      </c>
      <c r="B67" s="9">
        <v>0.72499999999999998</v>
      </c>
      <c r="C67" s="9">
        <v>0.05</v>
      </c>
      <c r="D67" s="9">
        <v>4.6500000000000004</v>
      </c>
      <c r="E67" s="9">
        <v>8.5999999999999993E-2</v>
      </c>
      <c r="F67" s="9">
        <v>4</v>
      </c>
      <c r="G67" s="9">
        <v>11</v>
      </c>
      <c r="H67" s="9">
        <v>0.99619999999999997</v>
      </c>
      <c r="I67" s="9">
        <v>3.41</v>
      </c>
      <c r="J67" s="9">
        <v>0.39</v>
      </c>
      <c r="K67" s="9">
        <v>10.9</v>
      </c>
      <c r="L67" s="9">
        <v>5</v>
      </c>
    </row>
    <row r="68" spans="1:12" x14ac:dyDescent="0.3">
      <c r="A68" s="9">
        <v>7.5</v>
      </c>
      <c r="B68" s="9">
        <v>0.52</v>
      </c>
      <c r="C68" s="9">
        <v>0.11</v>
      </c>
      <c r="D68" s="9">
        <v>1.5</v>
      </c>
      <c r="E68" s="9">
        <v>7.9000000000000001E-2</v>
      </c>
      <c r="F68" s="9">
        <v>11</v>
      </c>
      <c r="G68" s="9">
        <v>39</v>
      </c>
      <c r="H68" s="9">
        <v>0.99680000000000002</v>
      </c>
      <c r="I68" s="9">
        <v>3.42</v>
      </c>
      <c r="J68" s="9">
        <v>0.57999999999999996</v>
      </c>
      <c r="K68" s="9">
        <v>9.6</v>
      </c>
      <c r="L68" s="9">
        <v>5</v>
      </c>
    </row>
    <row r="69" spans="1:12" x14ac:dyDescent="0.3">
      <c r="A69" s="9">
        <v>6.6</v>
      </c>
      <c r="B69" s="9">
        <v>0.70499999999999996</v>
      </c>
      <c r="C69" s="9">
        <v>7.0000000000000007E-2</v>
      </c>
      <c r="D69" s="9">
        <v>1.6</v>
      </c>
      <c r="E69" s="9">
        <v>7.5999999999999998E-2</v>
      </c>
      <c r="F69" s="9">
        <v>6</v>
      </c>
      <c r="G69" s="9">
        <v>15</v>
      </c>
      <c r="H69" s="9">
        <v>0.99619999999999997</v>
      </c>
      <c r="I69" s="9">
        <v>3.44</v>
      </c>
      <c r="J69" s="9">
        <v>0.57999999999999996</v>
      </c>
      <c r="K69" s="9">
        <v>10.7</v>
      </c>
      <c r="L69" s="9">
        <v>5</v>
      </c>
    </row>
    <row r="70" spans="1:12" x14ac:dyDescent="0.3">
      <c r="A70" s="9">
        <v>9.3000000000000007</v>
      </c>
      <c r="B70" s="9">
        <v>0.32</v>
      </c>
      <c r="C70" s="9">
        <v>0.56999999999999995</v>
      </c>
      <c r="D70" s="9">
        <v>2</v>
      </c>
      <c r="E70" s="9">
        <v>7.3999999999999996E-2</v>
      </c>
      <c r="F70" s="9">
        <v>27</v>
      </c>
      <c r="G70" s="9">
        <v>65</v>
      </c>
      <c r="H70" s="9">
        <v>0.99690000000000001</v>
      </c>
      <c r="I70" s="9">
        <v>3.28</v>
      </c>
      <c r="J70" s="9">
        <v>0.79</v>
      </c>
      <c r="K70" s="9">
        <v>10.7</v>
      </c>
      <c r="L70" s="9">
        <v>5</v>
      </c>
    </row>
    <row r="71" spans="1:12" x14ac:dyDescent="0.3">
      <c r="A71" s="9">
        <v>8</v>
      </c>
      <c r="B71" s="9">
        <v>0.70499999999999996</v>
      </c>
      <c r="C71" s="9">
        <v>0.05</v>
      </c>
      <c r="D71" s="9">
        <v>1.9</v>
      </c>
      <c r="E71" s="9">
        <v>7.3999999999999996E-2</v>
      </c>
      <c r="F71" s="9">
        <v>8</v>
      </c>
      <c r="G71" s="9">
        <v>19</v>
      </c>
      <c r="H71" s="9">
        <v>0.99619999999999997</v>
      </c>
      <c r="I71" s="9">
        <v>3.34</v>
      </c>
      <c r="J71" s="9">
        <v>0.95</v>
      </c>
      <c r="K71" s="9">
        <v>10.5</v>
      </c>
      <c r="L71" s="9">
        <v>6</v>
      </c>
    </row>
    <row r="72" spans="1:12" x14ac:dyDescent="0.3">
      <c r="A72" s="9">
        <v>7.7</v>
      </c>
      <c r="B72" s="9">
        <v>0.63</v>
      </c>
      <c r="C72" s="9">
        <v>0.08</v>
      </c>
      <c r="D72" s="9">
        <v>1.9</v>
      </c>
      <c r="E72" s="9">
        <v>7.5999999999999998E-2</v>
      </c>
      <c r="F72" s="9">
        <v>15</v>
      </c>
      <c r="G72" s="9">
        <v>27</v>
      </c>
      <c r="H72" s="9">
        <v>0.99670000000000003</v>
      </c>
      <c r="I72" s="9">
        <v>3.32</v>
      </c>
      <c r="J72" s="9">
        <v>0.54</v>
      </c>
      <c r="K72" s="9">
        <v>9.5</v>
      </c>
      <c r="L72" s="9">
        <v>6</v>
      </c>
    </row>
    <row r="73" spans="1:12" x14ac:dyDescent="0.3">
      <c r="A73" s="9">
        <v>7.7</v>
      </c>
      <c r="B73" s="9">
        <v>0.67</v>
      </c>
      <c r="C73" s="9">
        <v>0.23</v>
      </c>
      <c r="D73" s="9">
        <v>2.1</v>
      </c>
      <c r="E73" s="9">
        <v>8.7999999999999995E-2</v>
      </c>
      <c r="F73" s="9">
        <v>17</v>
      </c>
      <c r="G73" s="9">
        <v>96</v>
      </c>
      <c r="H73" s="9">
        <v>0.99619999999999997</v>
      </c>
      <c r="I73" s="9">
        <v>3.32</v>
      </c>
      <c r="J73" s="9">
        <v>0.48</v>
      </c>
      <c r="K73" s="9">
        <v>9.5</v>
      </c>
      <c r="L73" s="9">
        <v>5</v>
      </c>
    </row>
    <row r="74" spans="1:12" x14ac:dyDescent="0.3">
      <c r="A74" s="9">
        <v>7.7</v>
      </c>
      <c r="B74" s="9">
        <v>0.69</v>
      </c>
      <c r="C74" s="9">
        <v>0.22</v>
      </c>
      <c r="D74" s="9">
        <v>1.9</v>
      </c>
      <c r="E74" s="9">
        <v>8.4000000000000005E-2</v>
      </c>
      <c r="F74" s="9">
        <v>18</v>
      </c>
      <c r="G74" s="9">
        <v>94</v>
      </c>
      <c r="H74" s="9">
        <v>0.99609999999999999</v>
      </c>
      <c r="I74" s="9">
        <v>3.31</v>
      </c>
      <c r="J74" s="9">
        <v>0.48</v>
      </c>
      <c r="K74" s="9">
        <v>9.5</v>
      </c>
      <c r="L74" s="9">
        <v>5</v>
      </c>
    </row>
    <row r="75" spans="1:12" x14ac:dyDescent="0.3">
      <c r="A75" s="9">
        <v>8.3000000000000007</v>
      </c>
      <c r="B75" s="9">
        <v>0.67500000000000004</v>
      </c>
      <c r="C75" s="9">
        <v>0.26</v>
      </c>
      <c r="D75" s="9">
        <v>2.1</v>
      </c>
      <c r="E75" s="9">
        <v>8.4000000000000005E-2</v>
      </c>
      <c r="F75" s="9">
        <v>11</v>
      </c>
      <c r="G75" s="9">
        <v>43</v>
      </c>
      <c r="H75" s="9">
        <v>0.99760000000000004</v>
      </c>
      <c r="I75" s="9">
        <v>3.31</v>
      </c>
      <c r="J75" s="9">
        <v>0.53</v>
      </c>
      <c r="K75" s="9">
        <v>9.1999999999999993</v>
      </c>
      <c r="L75" s="9">
        <v>4</v>
      </c>
    </row>
    <row r="76" spans="1:12" x14ac:dyDescent="0.3">
      <c r="A76" s="9">
        <v>9.6999999999999993</v>
      </c>
      <c r="B76" s="9">
        <v>0.32</v>
      </c>
      <c r="C76" s="9">
        <v>0.54</v>
      </c>
      <c r="D76" s="9">
        <v>2.5</v>
      </c>
      <c r="E76" s="9">
        <v>9.4E-2</v>
      </c>
      <c r="F76" s="9">
        <v>28</v>
      </c>
      <c r="G76" s="9">
        <v>83</v>
      </c>
      <c r="H76" s="9">
        <v>0.99839999999999995</v>
      </c>
      <c r="I76" s="9">
        <v>3.28</v>
      </c>
      <c r="J76" s="9">
        <v>0.82</v>
      </c>
      <c r="K76" s="9">
        <v>9.6</v>
      </c>
      <c r="L76" s="9">
        <v>5</v>
      </c>
    </row>
    <row r="77" spans="1:12" x14ac:dyDescent="0.3">
      <c r="A77" s="9">
        <v>8.8000000000000007</v>
      </c>
      <c r="B77" s="9">
        <v>0.41</v>
      </c>
      <c r="C77" s="9">
        <v>0.64</v>
      </c>
      <c r="D77" s="9">
        <v>2.2000000000000002</v>
      </c>
      <c r="E77" s="9">
        <v>9.2999999999999999E-2</v>
      </c>
      <c r="F77" s="9">
        <v>9</v>
      </c>
      <c r="G77" s="9">
        <v>42</v>
      </c>
      <c r="H77" s="9">
        <v>0.99860000000000004</v>
      </c>
      <c r="I77" s="9">
        <v>3.54</v>
      </c>
      <c r="J77" s="9">
        <v>0.66</v>
      </c>
      <c r="K77" s="9">
        <v>10.5</v>
      </c>
      <c r="L77" s="9">
        <v>5</v>
      </c>
    </row>
    <row r="78" spans="1:12" x14ac:dyDescent="0.3">
      <c r="A78" s="9">
        <v>8.8000000000000007</v>
      </c>
      <c r="B78" s="9">
        <v>0.41</v>
      </c>
      <c r="C78" s="9">
        <v>0.64</v>
      </c>
      <c r="D78" s="9">
        <v>2.2000000000000002</v>
      </c>
      <c r="E78" s="9">
        <v>9.2999999999999999E-2</v>
      </c>
      <c r="F78" s="9">
        <v>9</v>
      </c>
      <c r="G78" s="9">
        <v>42</v>
      </c>
      <c r="H78" s="9">
        <v>0.99860000000000004</v>
      </c>
      <c r="I78" s="9">
        <v>3.54</v>
      </c>
      <c r="J78" s="9">
        <v>0.66</v>
      </c>
      <c r="K78" s="9">
        <v>10.5</v>
      </c>
      <c r="L78" s="9">
        <v>5</v>
      </c>
    </row>
    <row r="79" spans="1:12" x14ac:dyDescent="0.3">
      <c r="A79" s="9">
        <v>6.8</v>
      </c>
      <c r="B79" s="9">
        <v>0.78500000000000003</v>
      </c>
      <c r="C79" s="9">
        <v>0</v>
      </c>
      <c r="D79" s="9">
        <v>2.4</v>
      </c>
      <c r="E79" s="9">
        <v>0.104</v>
      </c>
      <c r="F79" s="9">
        <v>14</v>
      </c>
      <c r="G79" s="9">
        <v>30</v>
      </c>
      <c r="H79" s="9">
        <v>0.99660000000000004</v>
      </c>
      <c r="I79" s="9">
        <v>3.52</v>
      </c>
      <c r="J79" s="9">
        <v>0.55000000000000004</v>
      </c>
      <c r="K79" s="9">
        <v>10.7</v>
      </c>
      <c r="L79" s="9">
        <v>6</v>
      </c>
    </row>
    <row r="80" spans="1:12" x14ac:dyDescent="0.3">
      <c r="A80" s="9">
        <v>6.7</v>
      </c>
      <c r="B80" s="9">
        <v>0.75</v>
      </c>
      <c r="C80" s="9">
        <v>0.12</v>
      </c>
      <c r="D80" s="9">
        <v>2</v>
      </c>
      <c r="E80" s="9">
        <v>8.5999999999999993E-2</v>
      </c>
      <c r="F80" s="9">
        <v>12</v>
      </c>
      <c r="G80" s="9">
        <v>80</v>
      </c>
      <c r="H80" s="9">
        <v>0.99580000000000002</v>
      </c>
      <c r="I80" s="9">
        <v>3.38</v>
      </c>
      <c r="J80" s="9">
        <v>0.52</v>
      </c>
      <c r="K80" s="9">
        <v>10.1</v>
      </c>
      <c r="L80" s="9">
        <v>5</v>
      </c>
    </row>
    <row r="81" spans="1:12" x14ac:dyDescent="0.3">
      <c r="A81" s="9">
        <v>8.3000000000000007</v>
      </c>
      <c r="B81" s="9">
        <v>0.625</v>
      </c>
      <c r="C81" s="9">
        <v>0.2</v>
      </c>
      <c r="D81" s="9">
        <v>1.5</v>
      </c>
      <c r="E81" s="9">
        <v>0.08</v>
      </c>
      <c r="F81" s="9">
        <v>27</v>
      </c>
      <c r="G81" s="9">
        <v>119</v>
      </c>
      <c r="H81" s="9">
        <v>0.99719999999999998</v>
      </c>
      <c r="I81" s="9">
        <v>3.16</v>
      </c>
      <c r="J81" s="9">
        <v>1.1200000000000001</v>
      </c>
      <c r="K81" s="9">
        <v>9.1</v>
      </c>
      <c r="L81" s="9">
        <v>4</v>
      </c>
    </row>
    <row r="82" spans="1:12" x14ac:dyDescent="0.3">
      <c r="A82" s="9">
        <v>6.2</v>
      </c>
      <c r="B82" s="9">
        <v>0.45</v>
      </c>
      <c r="C82" s="9">
        <v>0.2</v>
      </c>
      <c r="D82" s="9">
        <v>1.6</v>
      </c>
      <c r="E82" s="9">
        <v>6.9000000000000006E-2</v>
      </c>
      <c r="F82" s="9">
        <v>3</v>
      </c>
      <c r="G82" s="9">
        <v>15</v>
      </c>
      <c r="H82" s="9">
        <v>0.99580000000000002</v>
      </c>
      <c r="I82" s="9">
        <v>3.41</v>
      </c>
      <c r="J82" s="9">
        <v>0.56000000000000005</v>
      </c>
      <c r="K82" s="9">
        <v>9.1999999999999993</v>
      </c>
      <c r="L82" s="9">
        <v>5</v>
      </c>
    </row>
    <row r="83" spans="1:12" x14ac:dyDescent="0.3">
      <c r="A83" s="9">
        <v>7.8</v>
      </c>
      <c r="B83" s="9">
        <v>0.43</v>
      </c>
      <c r="C83" s="9">
        <v>0.7</v>
      </c>
      <c r="D83" s="9">
        <v>1.9</v>
      </c>
      <c r="E83" s="9">
        <v>0.46400000000000002</v>
      </c>
      <c r="F83" s="9">
        <v>22</v>
      </c>
      <c r="G83" s="9">
        <v>67</v>
      </c>
      <c r="H83" s="9">
        <v>0.99739999999999995</v>
      </c>
      <c r="I83" s="9">
        <v>3.13</v>
      </c>
      <c r="J83" s="9">
        <v>1.28</v>
      </c>
      <c r="K83" s="9">
        <v>9.4</v>
      </c>
      <c r="L83" s="9">
        <v>5</v>
      </c>
    </row>
    <row r="84" spans="1:12" x14ac:dyDescent="0.3">
      <c r="A84" s="9">
        <v>7.4</v>
      </c>
      <c r="B84" s="9">
        <v>0.5</v>
      </c>
      <c r="C84" s="9">
        <v>0.47</v>
      </c>
      <c r="D84" s="9">
        <v>2</v>
      </c>
      <c r="E84" s="9">
        <v>8.5999999999999993E-2</v>
      </c>
      <c r="F84" s="9">
        <v>21</v>
      </c>
      <c r="G84" s="9">
        <v>73</v>
      </c>
      <c r="H84" s="9">
        <v>0.997</v>
      </c>
      <c r="I84" s="9">
        <v>3.36</v>
      </c>
      <c r="J84" s="9">
        <v>0.56999999999999995</v>
      </c>
      <c r="K84" s="9">
        <v>9.1</v>
      </c>
      <c r="L84" s="9">
        <v>5</v>
      </c>
    </row>
    <row r="85" spans="1:12" x14ac:dyDescent="0.3">
      <c r="A85" s="9">
        <v>7.3</v>
      </c>
      <c r="B85" s="9">
        <v>0.67</v>
      </c>
      <c r="C85" s="9">
        <v>0.26</v>
      </c>
      <c r="D85" s="9">
        <v>1.8</v>
      </c>
      <c r="E85" s="9">
        <v>0.40100000000000002</v>
      </c>
      <c r="F85" s="9">
        <v>16</v>
      </c>
      <c r="G85" s="9">
        <v>51</v>
      </c>
      <c r="H85" s="9">
        <v>0.99690000000000001</v>
      </c>
      <c r="I85" s="9">
        <v>3.16</v>
      </c>
      <c r="J85" s="9">
        <v>1.1399999999999999</v>
      </c>
      <c r="K85" s="9">
        <v>9.4</v>
      </c>
      <c r="L85" s="9">
        <v>5</v>
      </c>
    </row>
    <row r="86" spans="1:12" x14ac:dyDescent="0.3">
      <c r="A86" s="9">
        <v>6.3</v>
      </c>
      <c r="B86" s="9">
        <v>0.3</v>
      </c>
      <c r="C86" s="9">
        <v>0.48</v>
      </c>
      <c r="D86" s="9">
        <v>1.8</v>
      </c>
      <c r="E86" s="9">
        <v>6.9000000000000006E-2</v>
      </c>
      <c r="F86" s="9">
        <v>18</v>
      </c>
      <c r="G86" s="9">
        <v>61</v>
      </c>
      <c r="H86" s="9">
        <v>0.99590000000000001</v>
      </c>
      <c r="I86" s="9">
        <v>3.44</v>
      </c>
      <c r="J86" s="9">
        <v>0.78</v>
      </c>
      <c r="K86" s="9">
        <v>10.3</v>
      </c>
      <c r="L86" s="9">
        <v>6</v>
      </c>
    </row>
    <row r="87" spans="1:12" x14ac:dyDescent="0.3">
      <c r="A87" s="9">
        <v>6.9</v>
      </c>
      <c r="B87" s="9">
        <v>0.55000000000000004</v>
      </c>
      <c r="C87" s="9">
        <v>0.15</v>
      </c>
      <c r="D87" s="9">
        <v>2.2000000000000002</v>
      </c>
      <c r="E87" s="9">
        <v>7.5999999999999998E-2</v>
      </c>
      <c r="F87" s="9">
        <v>19</v>
      </c>
      <c r="G87" s="9">
        <v>40</v>
      </c>
      <c r="H87" s="9">
        <v>0.99609999999999999</v>
      </c>
      <c r="I87" s="9">
        <v>3.41</v>
      </c>
      <c r="J87" s="9">
        <v>0.59</v>
      </c>
      <c r="K87" s="9">
        <v>10.1</v>
      </c>
      <c r="L87" s="9">
        <v>5</v>
      </c>
    </row>
    <row r="88" spans="1:12" x14ac:dyDescent="0.3">
      <c r="A88" s="9">
        <v>8.6</v>
      </c>
      <c r="B88" s="9">
        <v>0.49</v>
      </c>
      <c r="C88" s="9">
        <v>0.28000000000000003</v>
      </c>
      <c r="D88" s="9">
        <v>1.9</v>
      </c>
      <c r="E88" s="9">
        <v>0.11</v>
      </c>
      <c r="F88" s="9">
        <v>20</v>
      </c>
      <c r="G88" s="9">
        <v>136</v>
      </c>
      <c r="H88" s="9">
        <v>0.99719999999999998</v>
      </c>
      <c r="I88" s="9">
        <v>2.93</v>
      </c>
      <c r="J88" s="9">
        <v>1.95</v>
      </c>
      <c r="K88" s="9">
        <v>9.9</v>
      </c>
      <c r="L88" s="9">
        <v>6</v>
      </c>
    </row>
    <row r="89" spans="1:12" x14ac:dyDescent="0.3">
      <c r="A89" s="9">
        <v>7.7</v>
      </c>
      <c r="B89" s="9">
        <v>0.49</v>
      </c>
      <c r="C89" s="9">
        <v>0.26</v>
      </c>
      <c r="D89" s="9">
        <v>1.9</v>
      </c>
      <c r="E89" s="9">
        <v>6.2E-2</v>
      </c>
      <c r="F89" s="9">
        <v>9</v>
      </c>
      <c r="G89" s="9">
        <v>31</v>
      </c>
      <c r="H89" s="9">
        <v>0.99660000000000004</v>
      </c>
      <c r="I89" s="9">
        <v>3.39</v>
      </c>
      <c r="J89" s="9">
        <v>0.64</v>
      </c>
      <c r="K89" s="9">
        <v>9.6</v>
      </c>
      <c r="L89" s="9">
        <v>5</v>
      </c>
    </row>
    <row r="90" spans="1:12" x14ac:dyDescent="0.3">
      <c r="A90" s="9">
        <v>9.3000000000000007</v>
      </c>
      <c r="B90" s="9">
        <v>0.39</v>
      </c>
      <c r="C90" s="9">
        <v>0.44</v>
      </c>
      <c r="D90" s="9">
        <v>2.1</v>
      </c>
      <c r="E90" s="9">
        <v>0.107</v>
      </c>
      <c r="F90" s="9">
        <v>34</v>
      </c>
      <c r="G90" s="9">
        <v>125</v>
      </c>
      <c r="H90" s="9">
        <v>0.99780000000000002</v>
      </c>
      <c r="I90" s="9">
        <v>3.14</v>
      </c>
      <c r="J90" s="9">
        <v>1.22</v>
      </c>
      <c r="K90" s="9">
        <v>9.5</v>
      </c>
      <c r="L90" s="9">
        <v>5</v>
      </c>
    </row>
    <row r="91" spans="1:12" x14ac:dyDescent="0.3">
      <c r="A91" s="9">
        <v>7</v>
      </c>
      <c r="B91" s="9">
        <v>0.62</v>
      </c>
      <c r="C91" s="9">
        <v>0.08</v>
      </c>
      <c r="D91" s="9">
        <v>1.8</v>
      </c>
      <c r="E91" s="9">
        <v>7.5999999999999998E-2</v>
      </c>
      <c r="F91" s="9">
        <v>8</v>
      </c>
      <c r="G91" s="9">
        <v>24</v>
      </c>
      <c r="H91" s="9">
        <v>0.99780000000000002</v>
      </c>
      <c r="I91" s="9">
        <v>3.48</v>
      </c>
      <c r="J91" s="9">
        <v>0.53</v>
      </c>
      <c r="K91" s="9">
        <v>9</v>
      </c>
      <c r="L91" s="9">
        <v>5</v>
      </c>
    </row>
    <row r="92" spans="1:12" x14ac:dyDescent="0.3">
      <c r="A92" s="9">
        <v>7.9</v>
      </c>
      <c r="B92" s="9">
        <v>0.52</v>
      </c>
      <c r="C92" s="9">
        <v>0.26</v>
      </c>
      <c r="D92" s="9">
        <v>1.9</v>
      </c>
      <c r="E92" s="9">
        <v>7.9000000000000001E-2</v>
      </c>
      <c r="F92" s="9">
        <v>42</v>
      </c>
      <c r="G92" s="9">
        <v>140</v>
      </c>
      <c r="H92" s="9">
        <v>0.99639999999999995</v>
      </c>
      <c r="I92" s="9">
        <v>3.23</v>
      </c>
      <c r="J92" s="9">
        <v>0.54</v>
      </c>
      <c r="K92" s="9">
        <v>9.5</v>
      </c>
      <c r="L92" s="9">
        <v>5</v>
      </c>
    </row>
    <row r="93" spans="1:12" x14ac:dyDescent="0.3">
      <c r="A93" s="9">
        <v>8.6</v>
      </c>
      <c r="B93" s="9">
        <v>0.49</v>
      </c>
      <c r="C93" s="9">
        <v>0.28000000000000003</v>
      </c>
      <c r="D93" s="9">
        <v>1.9</v>
      </c>
      <c r="E93" s="9">
        <v>0.11</v>
      </c>
      <c r="F93" s="9">
        <v>20</v>
      </c>
      <c r="G93" s="9">
        <v>136</v>
      </c>
      <c r="H93" s="9">
        <v>0.99719999999999998</v>
      </c>
      <c r="I93" s="9">
        <v>2.93</v>
      </c>
      <c r="J93" s="9">
        <v>1.95</v>
      </c>
      <c r="K93" s="9">
        <v>9.9</v>
      </c>
      <c r="L93" s="9">
        <v>6</v>
      </c>
    </row>
    <row r="94" spans="1:12" x14ac:dyDescent="0.3">
      <c r="A94" s="9">
        <v>8.6</v>
      </c>
      <c r="B94" s="9">
        <v>0.49</v>
      </c>
      <c r="C94" s="9">
        <v>0.28999999999999998</v>
      </c>
      <c r="D94" s="9">
        <v>2</v>
      </c>
      <c r="E94" s="9">
        <v>0.11</v>
      </c>
      <c r="F94" s="9">
        <v>19</v>
      </c>
      <c r="G94" s="9">
        <v>133</v>
      </c>
      <c r="H94" s="9">
        <v>0.99719999999999998</v>
      </c>
      <c r="I94" s="9">
        <v>2.93</v>
      </c>
      <c r="J94" s="9">
        <v>1.98</v>
      </c>
      <c r="K94" s="9">
        <v>9.8000000000000007</v>
      </c>
      <c r="L94" s="9">
        <v>5</v>
      </c>
    </row>
    <row r="95" spans="1:12" x14ac:dyDescent="0.3">
      <c r="A95" s="9">
        <v>7.7</v>
      </c>
      <c r="B95" s="9">
        <v>0.49</v>
      </c>
      <c r="C95" s="9">
        <v>0.26</v>
      </c>
      <c r="D95" s="9">
        <v>1.9</v>
      </c>
      <c r="E95" s="9">
        <v>6.2E-2</v>
      </c>
      <c r="F95" s="9">
        <v>9</v>
      </c>
      <c r="G95" s="9">
        <v>31</v>
      </c>
      <c r="H95" s="9">
        <v>0.99660000000000004</v>
      </c>
      <c r="I95" s="9">
        <v>3.39</v>
      </c>
      <c r="J95" s="9">
        <v>0.64</v>
      </c>
      <c r="K95" s="9">
        <v>9.6</v>
      </c>
      <c r="L95" s="9">
        <v>5</v>
      </c>
    </row>
    <row r="96" spans="1:12" x14ac:dyDescent="0.3">
      <c r="A96" s="9">
        <v>5</v>
      </c>
      <c r="B96" s="9">
        <v>1.02</v>
      </c>
      <c r="C96" s="9">
        <v>0.04</v>
      </c>
      <c r="D96" s="9">
        <v>1.4</v>
      </c>
      <c r="E96" s="9">
        <v>4.4999999999999998E-2</v>
      </c>
      <c r="F96" s="9">
        <v>41</v>
      </c>
      <c r="G96" s="9">
        <v>85</v>
      </c>
      <c r="H96" s="9">
        <v>0.99380000000000002</v>
      </c>
      <c r="I96" s="9">
        <v>3.75</v>
      </c>
      <c r="J96" s="9">
        <v>0.48</v>
      </c>
      <c r="K96" s="9">
        <v>10.5</v>
      </c>
      <c r="L96" s="9">
        <v>4</v>
      </c>
    </row>
    <row r="97" spans="1:12" x14ac:dyDescent="0.3">
      <c r="A97" s="9">
        <v>4.7</v>
      </c>
      <c r="B97" s="9">
        <v>0.6</v>
      </c>
      <c r="C97" s="9">
        <v>0.17</v>
      </c>
      <c r="D97" s="9">
        <v>2.2999999999999998</v>
      </c>
      <c r="E97" s="9">
        <v>5.8000000000000003E-2</v>
      </c>
      <c r="F97" s="9">
        <v>17</v>
      </c>
      <c r="G97" s="9">
        <v>106</v>
      </c>
      <c r="H97" s="9">
        <v>0.99319999999999997</v>
      </c>
      <c r="I97" s="9">
        <v>3.85</v>
      </c>
      <c r="J97" s="9">
        <v>0.6</v>
      </c>
      <c r="K97" s="9">
        <v>12.9</v>
      </c>
      <c r="L97" s="9">
        <v>6</v>
      </c>
    </row>
    <row r="98" spans="1:12" x14ac:dyDescent="0.3">
      <c r="A98" s="9">
        <v>6.8</v>
      </c>
      <c r="B98" s="9">
        <v>0.77500000000000002</v>
      </c>
      <c r="C98" s="9">
        <v>0</v>
      </c>
      <c r="D98" s="9">
        <v>3</v>
      </c>
      <c r="E98" s="9">
        <v>0.10199999999999999</v>
      </c>
      <c r="F98" s="9">
        <v>8</v>
      </c>
      <c r="G98" s="9">
        <v>23</v>
      </c>
      <c r="H98" s="9">
        <v>0.99650000000000005</v>
      </c>
      <c r="I98" s="9">
        <v>3.45</v>
      </c>
      <c r="J98" s="9">
        <v>0.56000000000000005</v>
      </c>
      <c r="K98" s="9">
        <v>10.7</v>
      </c>
      <c r="L98" s="9">
        <v>5</v>
      </c>
    </row>
    <row r="99" spans="1:12" x14ac:dyDescent="0.3">
      <c r="A99" s="9">
        <v>7</v>
      </c>
      <c r="B99" s="9">
        <v>0.5</v>
      </c>
      <c r="C99" s="9">
        <v>0.25</v>
      </c>
      <c r="D99" s="9">
        <v>2</v>
      </c>
      <c r="E99" s="9">
        <v>7.0000000000000007E-2</v>
      </c>
      <c r="F99" s="9">
        <v>3</v>
      </c>
      <c r="G99" s="9">
        <v>22</v>
      </c>
      <c r="H99" s="9">
        <v>0.99629999999999996</v>
      </c>
      <c r="I99" s="9">
        <v>3.25</v>
      </c>
      <c r="J99" s="9">
        <v>0.63</v>
      </c>
      <c r="K99" s="9">
        <v>9.1999999999999993</v>
      </c>
      <c r="L99" s="9">
        <v>5</v>
      </c>
    </row>
    <row r="100" spans="1:12" x14ac:dyDescent="0.3">
      <c r="A100" s="9">
        <v>7.6</v>
      </c>
      <c r="B100" s="9">
        <v>0.9</v>
      </c>
      <c r="C100" s="9">
        <v>0.06</v>
      </c>
      <c r="D100" s="9">
        <v>2.5</v>
      </c>
      <c r="E100" s="9">
        <v>7.9000000000000001E-2</v>
      </c>
      <c r="F100" s="9">
        <v>5</v>
      </c>
      <c r="G100" s="9">
        <v>10</v>
      </c>
      <c r="H100" s="9">
        <v>0.99670000000000003</v>
      </c>
      <c r="I100" s="9">
        <v>3.39</v>
      </c>
      <c r="J100" s="9">
        <v>0.56000000000000005</v>
      </c>
      <c r="K100" s="9">
        <v>9.8000000000000007</v>
      </c>
      <c r="L100" s="9">
        <v>5</v>
      </c>
    </row>
    <row r="101" spans="1:12" x14ac:dyDescent="0.3">
      <c r="A101" s="9">
        <v>8.1</v>
      </c>
      <c r="B101" s="9">
        <v>0.54500000000000004</v>
      </c>
      <c r="C101" s="9">
        <v>0.18</v>
      </c>
      <c r="D101" s="9">
        <v>1.9</v>
      </c>
      <c r="E101" s="9">
        <v>0.08</v>
      </c>
      <c r="F101" s="9">
        <v>13</v>
      </c>
      <c r="G101" s="9">
        <v>35</v>
      </c>
      <c r="H101" s="9">
        <v>0.99719999999999998</v>
      </c>
      <c r="I101" s="9">
        <v>3.3</v>
      </c>
      <c r="J101" s="9">
        <v>0.59</v>
      </c>
      <c r="K101" s="9">
        <v>9</v>
      </c>
      <c r="L101" s="9">
        <v>6</v>
      </c>
    </row>
    <row r="102" spans="1:12" x14ac:dyDescent="0.3">
      <c r="A102" s="9">
        <v>8.3000000000000007</v>
      </c>
      <c r="B102" s="9">
        <v>0.61</v>
      </c>
      <c r="C102" s="9">
        <v>0.3</v>
      </c>
      <c r="D102" s="9">
        <v>2.1</v>
      </c>
      <c r="E102" s="9">
        <v>8.4000000000000005E-2</v>
      </c>
      <c r="F102" s="9">
        <v>11</v>
      </c>
      <c r="G102" s="9">
        <v>50</v>
      </c>
      <c r="H102" s="9">
        <v>0.99719999999999998</v>
      </c>
      <c r="I102" s="9">
        <v>3.4</v>
      </c>
      <c r="J102" s="9">
        <v>0.61</v>
      </c>
      <c r="K102" s="9">
        <v>10.199999999999999</v>
      </c>
      <c r="L102" s="9">
        <v>6</v>
      </c>
    </row>
    <row r="103" spans="1:12" x14ac:dyDescent="0.3">
      <c r="A103" s="9">
        <v>7.8</v>
      </c>
      <c r="B103" s="9">
        <v>0.5</v>
      </c>
      <c r="C103" s="9">
        <v>0.3</v>
      </c>
      <c r="D103" s="9">
        <v>1.9</v>
      </c>
      <c r="E103" s="9">
        <v>7.4999999999999997E-2</v>
      </c>
      <c r="F103" s="9">
        <v>8</v>
      </c>
      <c r="G103" s="9">
        <v>22</v>
      </c>
      <c r="H103" s="9">
        <v>0.99590000000000001</v>
      </c>
      <c r="I103" s="9">
        <v>3.31</v>
      </c>
      <c r="J103" s="9">
        <v>0.56000000000000005</v>
      </c>
      <c r="K103" s="9">
        <v>10.4</v>
      </c>
      <c r="L103" s="9">
        <v>6</v>
      </c>
    </row>
    <row r="104" spans="1:12" x14ac:dyDescent="0.3">
      <c r="A104" s="9">
        <v>8.1</v>
      </c>
      <c r="B104" s="9">
        <v>0.54500000000000004</v>
      </c>
      <c r="C104" s="9">
        <v>0.18</v>
      </c>
      <c r="D104" s="9">
        <v>1.9</v>
      </c>
      <c r="E104" s="9">
        <v>0.08</v>
      </c>
      <c r="F104" s="9">
        <v>13</v>
      </c>
      <c r="G104" s="9">
        <v>35</v>
      </c>
      <c r="H104" s="9">
        <v>0.99719999999999998</v>
      </c>
      <c r="I104" s="9">
        <v>3.3</v>
      </c>
      <c r="J104" s="9">
        <v>0.59</v>
      </c>
      <c r="K104" s="9">
        <v>9</v>
      </c>
      <c r="L104" s="9">
        <v>6</v>
      </c>
    </row>
    <row r="105" spans="1:12" x14ac:dyDescent="0.3">
      <c r="A105" s="9">
        <v>8.1</v>
      </c>
      <c r="B105" s="9">
        <v>0.57499999999999996</v>
      </c>
      <c r="C105" s="9">
        <v>0.22</v>
      </c>
      <c r="D105" s="9">
        <v>2.1</v>
      </c>
      <c r="E105" s="9">
        <v>7.6999999999999999E-2</v>
      </c>
      <c r="F105" s="9">
        <v>12</v>
      </c>
      <c r="G105" s="9">
        <v>65</v>
      </c>
      <c r="H105" s="9">
        <v>0.99670000000000003</v>
      </c>
      <c r="I105" s="9">
        <v>3.29</v>
      </c>
      <c r="J105" s="9">
        <v>0.51</v>
      </c>
      <c r="K105" s="9">
        <v>9.1999999999999993</v>
      </c>
      <c r="L105" s="9">
        <v>5</v>
      </c>
    </row>
    <row r="106" spans="1:12" x14ac:dyDescent="0.3">
      <c r="A106" s="9">
        <v>7.2</v>
      </c>
      <c r="B106" s="9">
        <v>0.49</v>
      </c>
      <c r="C106" s="9">
        <v>0.24</v>
      </c>
      <c r="D106" s="9">
        <v>2.2000000000000002</v>
      </c>
      <c r="E106" s="9">
        <v>7.0000000000000007E-2</v>
      </c>
      <c r="F106" s="9">
        <v>5</v>
      </c>
      <c r="G106" s="9">
        <v>36</v>
      </c>
      <c r="H106" s="9">
        <v>0.996</v>
      </c>
      <c r="I106" s="9">
        <v>3.33</v>
      </c>
      <c r="J106" s="9">
        <v>0.48</v>
      </c>
      <c r="K106" s="9">
        <v>9.4</v>
      </c>
      <c r="L106" s="9">
        <v>5</v>
      </c>
    </row>
    <row r="107" spans="1:12" x14ac:dyDescent="0.3">
      <c r="A107" s="9">
        <v>8.1</v>
      </c>
      <c r="B107" s="9">
        <v>0.57499999999999996</v>
      </c>
      <c r="C107" s="9">
        <v>0.22</v>
      </c>
      <c r="D107" s="9">
        <v>2.1</v>
      </c>
      <c r="E107" s="9">
        <v>7.6999999999999999E-2</v>
      </c>
      <c r="F107" s="9">
        <v>12</v>
      </c>
      <c r="G107" s="9">
        <v>65</v>
      </c>
      <c r="H107" s="9">
        <v>0.99670000000000003</v>
      </c>
      <c r="I107" s="9">
        <v>3.29</v>
      </c>
      <c r="J107" s="9">
        <v>0.51</v>
      </c>
      <c r="K107" s="9">
        <v>9.1999999999999993</v>
      </c>
      <c r="L107" s="9">
        <v>5</v>
      </c>
    </row>
    <row r="108" spans="1:12" x14ac:dyDescent="0.3">
      <c r="A108" s="9">
        <v>7.8</v>
      </c>
      <c r="B108" s="9">
        <v>0.41</v>
      </c>
      <c r="C108" s="9">
        <v>0.68</v>
      </c>
      <c r="D108" s="9">
        <v>1.7</v>
      </c>
      <c r="E108" s="9">
        <v>0.46700000000000003</v>
      </c>
      <c r="F108" s="9">
        <v>18</v>
      </c>
      <c r="G108" s="9">
        <v>69</v>
      </c>
      <c r="H108" s="9">
        <v>0.99729999999999996</v>
      </c>
      <c r="I108" s="9">
        <v>3.08</v>
      </c>
      <c r="J108" s="9">
        <v>1.31</v>
      </c>
      <c r="K108" s="9">
        <v>9.3000000000000007</v>
      </c>
      <c r="L108" s="9">
        <v>5</v>
      </c>
    </row>
    <row r="109" spans="1:12" x14ac:dyDescent="0.3">
      <c r="A109" s="9">
        <v>6.2</v>
      </c>
      <c r="B109" s="9">
        <v>0.63</v>
      </c>
      <c r="C109" s="9">
        <v>0.31</v>
      </c>
      <c r="D109" s="9">
        <v>1.7</v>
      </c>
      <c r="E109" s="9">
        <v>8.7999999999999995E-2</v>
      </c>
      <c r="F109" s="9">
        <v>15</v>
      </c>
      <c r="G109" s="9">
        <v>64</v>
      </c>
      <c r="H109" s="9">
        <v>0.99690000000000001</v>
      </c>
      <c r="I109" s="9">
        <v>3.46</v>
      </c>
      <c r="J109" s="9">
        <v>0.79</v>
      </c>
      <c r="K109" s="9">
        <v>9.3000000000000007</v>
      </c>
      <c r="L109" s="9">
        <v>5</v>
      </c>
    </row>
    <row r="110" spans="1:12" x14ac:dyDescent="0.3">
      <c r="A110" s="9">
        <v>8</v>
      </c>
      <c r="B110" s="9">
        <v>0.33</v>
      </c>
      <c r="C110" s="9">
        <v>0.53</v>
      </c>
      <c r="D110" s="9">
        <v>2.5</v>
      </c>
      <c r="E110" s="9">
        <v>9.0999999999999998E-2</v>
      </c>
      <c r="F110" s="9">
        <v>18</v>
      </c>
      <c r="G110" s="9">
        <v>80</v>
      </c>
      <c r="H110" s="9">
        <v>0.99760000000000004</v>
      </c>
      <c r="I110" s="9">
        <v>3.37</v>
      </c>
      <c r="J110" s="9">
        <v>0.8</v>
      </c>
      <c r="K110" s="9">
        <v>9.6</v>
      </c>
      <c r="L110" s="9">
        <v>6</v>
      </c>
    </row>
    <row r="111" spans="1:12" x14ac:dyDescent="0.3">
      <c r="A111" s="9">
        <v>8.1</v>
      </c>
      <c r="B111" s="9">
        <v>0.78500000000000003</v>
      </c>
      <c r="C111" s="9">
        <v>0.52</v>
      </c>
      <c r="D111" s="9">
        <v>2</v>
      </c>
      <c r="E111" s="9">
        <v>0.122</v>
      </c>
      <c r="F111" s="9">
        <v>37</v>
      </c>
      <c r="G111" s="9">
        <v>153</v>
      </c>
      <c r="H111" s="9">
        <v>0.99690000000000001</v>
      </c>
      <c r="I111" s="9">
        <v>3.21</v>
      </c>
      <c r="J111" s="9">
        <v>0.69</v>
      </c>
      <c r="K111" s="9">
        <v>9.3000000000000007</v>
      </c>
      <c r="L111" s="9">
        <v>5</v>
      </c>
    </row>
    <row r="112" spans="1:12" x14ac:dyDescent="0.3">
      <c r="A112" s="9">
        <v>7.8</v>
      </c>
      <c r="B112" s="9">
        <v>0.56000000000000005</v>
      </c>
      <c r="C112" s="9">
        <v>0.19</v>
      </c>
      <c r="D112" s="9">
        <v>1.8</v>
      </c>
      <c r="E112" s="9">
        <v>0.104</v>
      </c>
      <c r="F112" s="9">
        <v>12</v>
      </c>
      <c r="G112" s="9">
        <v>47</v>
      </c>
      <c r="H112" s="9">
        <v>0.99639999999999995</v>
      </c>
      <c r="I112" s="9">
        <v>3.19</v>
      </c>
      <c r="J112" s="9">
        <v>0.93</v>
      </c>
      <c r="K112" s="9">
        <v>9.5</v>
      </c>
      <c r="L112" s="9">
        <v>5</v>
      </c>
    </row>
    <row r="113" spans="1:12" x14ac:dyDescent="0.3">
      <c r="A113" s="9">
        <v>8.4</v>
      </c>
      <c r="B113" s="9">
        <v>0.62</v>
      </c>
      <c r="C113" s="9">
        <v>0.09</v>
      </c>
      <c r="D113" s="9">
        <v>2.2000000000000002</v>
      </c>
      <c r="E113" s="9">
        <v>8.4000000000000005E-2</v>
      </c>
      <c r="F113" s="9">
        <v>11</v>
      </c>
      <c r="G113" s="9">
        <v>108</v>
      </c>
      <c r="H113" s="9">
        <v>0.99639999999999995</v>
      </c>
      <c r="I113" s="9">
        <v>3.15</v>
      </c>
      <c r="J113" s="9">
        <v>0.66</v>
      </c>
      <c r="K113" s="9">
        <v>9.8000000000000007</v>
      </c>
      <c r="L113" s="9">
        <v>5</v>
      </c>
    </row>
    <row r="114" spans="1:12" x14ac:dyDescent="0.3">
      <c r="A114" s="9">
        <v>8.4</v>
      </c>
      <c r="B114" s="9">
        <v>0.6</v>
      </c>
      <c r="C114" s="9">
        <v>0.1</v>
      </c>
      <c r="D114" s="9">
        <v>2.2000000000000002</v>
      </c>
      <c r="E114" s="9">
        <v>8.5000000000000006E-2</v>
      </c>
      <c r="F114" s="9">
        <v>14</v>
      </c>
      <c r="G114" s="9">
        <v>111</v>
      </c>
      <c r="H114" s="9">
        <v>0.99639999999999995</v>
      </c>
      <c r="I114" s="9">
        <v>3.15</v>
      </c>
      <c r="J114" s="9">
        <v>0.66</v>
      </c>
      <c r="K114" s="9">
        <v>9.8000000000000007</v>
      </c>
      <c r="L114" s="9">
        <v>5</v>
      </c>
    </row>
    <row r="115" spans="1:12" x14ac:dyDescent="0.3">
      <c r="A115" s="9">
        <v>10.1</v>
      </c>
      <c r="B115" s="9">
        <v>0.31</v>
      </c>
      <c r="C115" s="9">
        <v>0.44</v>
      </c>
      <c r="D115" s="9">
        <v>2.2999999999999998</v>
      </c>
      <c r="E115" s="9">
        <v>0.08</v>
      </c>
      <c r="F115" s="9">
        <v>22</v>
      </c>
      <c r="G115" s="9">
        <v>46</v>
      </c>
      <c r="H115" s="9">
        <v>0.99880000000000002</v>
      </c>
      <c r="I115" s="9">
        <v>3.32</v>
      </c>
      <c r="J115" s="9">
        <v>0.67</v>
      </c>
      <c r="K115" s="9">
        <v>9.6999999999999993</v>
      </c>
      <c r="L115" s="9">
        <v>6</v>
      </c>
    </row>
    <row r="116" spans="1:12" x14ac:dyDescent="0.3">
      <c r="A116" s="9">
        <v>7.8</v>
      </c>
      <c r="B116" s="9">
        <v>0.56000000000000005</v>
      </c>
      <c r="C116" s="9">
        <v>0.19</v>
      </c>
      <c r="D116" s="9">
        <v>1.8</v>
      </c>
      <c r="E116" s="9">
        <v>0.104</v>
      </c>
      <c r="F116" s="9">
        <v>12</v>
      </c>
      <c r="G116" s="9">
        <v>47</v>
      </c>
      <c r="H116" s="9">
        <v>0.99639999999999995</v>
      </c>
      <c r="I116" s="9">
        <v>3.19</v>
      </c>
      <c r="J116" s="9">
        <v>0.93</v>
      </c>
      <c r="K116" s="9">
        <v>9.5</v>
      </c>
      <c r="L116" s="9">
        <v>5</v>
      </c>
    </row>
    <row r="117" spans="1:12" x14ac:dyDescent="0.3">
      <c r="A117" s="9">
        <v>9.4</v>
      </c>
      <c r="B117" s="9">
        <v>0.4</v>
      </c>
      <c r="C117" s="9">
        <v>0.31</v>
      </c>
      <c r="D117" s="9">
        <v>2.2000000000000002</v>
      </c>
      <c r="E117" s="9">
        <v>0.09</v>
      </c>
      <c r="F117" s="9">
        <v>13</v>
      </c>
      <c r="G117" s="9">
        <v>62</v>
      </c>
      <c r="H117" s="9">
        <v>0.99660000000000004</v>
      </c>
      <c r="I117" s="9">
        <v>3.07</v>
      </c>
      <c r="J117" s="9">
        <v>0.63</v>
      </c>
      <c r="K117" s="9">
        <v>10.5</v>
      </c>
      <c r="L117" s="9">
        <v>6</v>
      </c>
    </row>
    <row r="118" spans="1:12" x14ac:dyDescent="0.3">
      <c r="A118" s="9">
        <v>8.3000000000000007</v>
      </c>
      <c r="B118" s="9">
        <v>0.54</v>
      </c>
      <c r="C118" s="9">
        <v>0.28000000000000003</v>
      </c>
      <c r="D118" s="9">
        <v>1.9</v>
      </c>
      <c r="E118" s="9">
        <v>7.6999999999999999E-2</v>
      </c>
      <c r="F118" s="9">
        <v>11</v>
      </c>
      <c r="G118" s="9">
        <v>40</v>
      </c>
      <c r="H118" s="9">
        <v>0.99780000000000002</v>
      </c>
      <c r="I118" s="9">
        <v>3.39</v>
      </c>
      <c r="J118" s="9">
        <v>0.61</v>
      </c>
      <c r="K118" s="9">
        <v>10</v>
      </c>
      <c r="L118" s="9">
        <v>6</v>
      </c>
    </row>
    <row r="119" spans="1:12" x14ac:dyDescent="0.3">
      <c r="A119" s="9">
        <v>7.8</v>
      </c>
      <c r="B119" s="9">
        <v>0.56000000000000005</v>
      </c>
      <c r="C119" s="9">
        <v>0.12</v>
      </c>
      <c r="D119" s="9">
        <v>2</v>
      </c>
      <c r="E119" s="9">
        <v>8.2000000000000003E-2</v>
      </c>
      <c r="F119" s="9">
        <v>7</v>
      </c>
      <c r="G119" s="9">
        <v>28</v>
      </c>
      <c r="H119" s="9">
        <v>0.997</v>
      </c>
      <c r="I119" s="9">
        <v>3.37</v>
      </c>
      <c r="J119" s="9">
        <v>0.5</v>
      </c>
      <c r="K119" s="9">
        <v>9.4</v>
      </c>
      <c r="L119" s="9">
        <v>6</v>
      </c>
    </row>
    <row r="120" spans="1:12" x14ac:dyDescent="0.3">
      <c r="A120" s="9">
        <v>8.8000000000000007</v>
      </c>
      <c r="B120" s="9">
        <v>0.55000000000000004</v>
      </c>
      <c r="C120" s="9">
        <v>0.04</v>
      </c>
      <c r="D120" s="9">
        <v>2.2000000000000002</v>
      </c>
      <c r="E120" s="9">
        <v>0.11899999999999999</v>
      </c>
      <c r="F120" s="9">
        <v>14</v>
      </c>
      <c r="G120" s="9">
        <v>56</v>
      </c>
      <c r="H120" s="9">
        <v>0.99619999999999997</v>
      </c>
      <c r="I120" s="9">
        <v>3.21</v>
      </c>
      <c r="J120" s="9">
        <v>0.6</v>
      </c>
      <c r="K120" s="9">
        <v>10.9</v>
      </c>
      <c r="L120" s="9">
        <v>6</v>
      </c>
    </row>
    <row r="121" spans="1:12" x14ac:dyDescent="0.3">
      <c r="A121" s="9">
        <v>7</v>
      </c>
      <c r="B121" s="9">
        <v>0.69</v>
      </c>
      <c r="C121" s="9">
        <v>0.08</v>
      </c>
      <c r="D121" s="9">
        <v>1.8</v>
      </c>
      <c r="E121" s="9">
        <v>9.7000000000000003E-2</v>
      </c>
      <c r="F121" s="9">
        <v>22</v>
      </c>
      <c r="G121" s="9">
        <v>89</v>
      </c>
      <c r="H121" s="9">
        <v>0.99590000000000001</v>
      </c>
      <c r="I121" s="9">
        <v>3.34</v>
      </c>
      <c r="J121" s="9">
        <v>0.54</v>
      </c>
      <c r="K121" s="9">
        <v>9.1999999999999993</v>
      </c>
      <c r="L121" s="9">
        <v>6</v>
      </c>
    </row>
    <row r="122" spans="1:12" x14ac:dyDescent="0.3">
      <c r="A122" s="9">
        <v>7.3</v>
      </c>
      <c r="B122" s="9">
        <v>1.07</v>
      </c>
      <c r="C122" s="9">
        <v>0.09</v>
      </c>
      <c r="D122" s="9">
        <v>1.7</v>
      </c>
      <c r="E122" s="9">
        <v>0.17799999999999999</v>
      </c>
      <c r="F122" s="9">
        <v>10</v>
      </c>
      <c r="G122" s="9">
        <v>89</v>
      </c>
      <c r="H122" s="9">
        <v>0.99619999999999997</v>
      </c>
      <c r="I122" s="9">
        <v>3.3</v>
      </c>
      <c r="J122" s="9">
        <v>0.56999999999999995</v>
      </c>
      <c r="K122" s="9">
        <v>9</v>
      </c>
      <c r="L122" s="9">
        <v>5</v>
      </c>
    </row>
    <row r="123" spans="1:12" x14ac:dyDescent="0.3">
      <c r="A123" s="9">
        <v>8.8000000000000007</v>
      </c>
      <c r="B123" s="9">
        <v>0.55000000000000004</v>
      </c>
      <c r="C123" s="9">
        <v>0.04</v>
      </c>
      <c r="D123" s="9">
        <v>2.2000000000000002</v>
      </c>
      <c r="E123" s="9">
        <v>0.11899999999999999</v>
      </c>
      <c r="F123" s="9">
        <v>14</v>
      </c>
      <c r="G123" s="9">
        <v>56</v>
      </c>
      <c r="H123" s="9">
        <v>0.99619999999999997</v>
      </c>
      <c r="I123" s="9">
        <v>3.21</v>
      </c>
      <c r="J123" s="9">
        <v>0.6</v>
      </c>
      <c r="K123" s="9">
        <v>10.9</v>
      </c>
      <c r="L123" s="9">
        <v>6</v>
      </c>
    </row>
    <row r="124" spans="1:12" x14ac:dyDescent="0.3">
      <c r="A124" s="9">
        <v>7.3</v>
      </c>
      <c r="B124" s="9">
        <v>0.69499999999999995</v>
      </c>
      <c r="C124" s="9">
        <v>0</v>
      </c>
      <c r="D124" s="9">
        <v>2.5</v>
      </c>
      <c r="E124" s="9">
        <v>7.4999999999999997E-2</v>
      </c>
      <c r="F124" s="9">
        <v>3</v>
      </c>
      <c r="G124" s="9">
        <v>13</v>
      </c>
      <c r="H124" s="9">
        <v>0.998</v>
      </c>
      <c r="I124" s="9">
        <v>3.49</v>
      </c>
      <c r="J124" s="9">
        <v>0.52</v>
      </c>
      <c r="K124" s="9">
        <v>9.1999999999999993</v>
      </c>
      <c r="L124" s="9">
        <v>5</v>
      </c>
    </row>
    <row r="125" spans="1:12" x14ac:dyDescent="0.3">
      <c r="A125" s="9">
        <v>8</v>
      </c>
      <c r="B125" s="9">
        <v>0.71</v>
      </c>
      <c r="C125" s="9">
        <v>0</v>
      </c>
      <c r="D125" s="9">
        <v>2.6</v>
      </c>
      <c r="E125" s="9">
        <v>0.08</v>
      </c>
      <c r="F125" s="9">
        <v>11</v>
      </c>
      <c r="G125" s="9">
        <v>34</v>
      </c>
      <c r="H125" s="9">
        <v>0.99760000000000004</v>
      </c>
      <c r="I125" s="9">
        <v>3.44</v>
      </c>
      <c r="J125" s="9">
        <v>0.53</v>
      </c>
      <c r="K125" s="9">
        <v>9.5</v>
      </c>
      <c r="L125" s="9">
        <v>5</v>
      </c>
    </row>
    <row r="126" spans="1:12" x14ac:dyDescent="0.3">
      <c r="A126" s="9">
        <v>7.8</v>
      </c>
      <c r="B126" s="9">
        <v>0.5</v>
      </c>
      <c r="C126" s="9">
        <v>0.17</v>
      </c>
      <c r="D126" s="9">
        <v>1.6</v>
      </c>
      <c r="E126" s="9">
        <v>8.2000000000000003E-2</v>
      </c>
      <c r="F126" s="9">
        <v>21</v>
      </c>
      <c r="G126" s="9">
        <v>102</v>
      </c>
      <c r="H126" s="9">
        <v>0.996</v>
      </c>
      <c r="I126" s="9">
        <v>3.39</v>
      </c>
      <c r="J126" s="9">
        <v>0.48</v>
      </c>
      <c r="K126" s="9">
        <v>9.5</v>
      </c>
      <c r="L126" s="9">
        <v>5</v>
      </c>
    </row>
    <row r="127" spans="1:12" x14ac:dyDescent="0.3">
      <c r="A127" s="9">
        <v>9</v>
      </c>
      <c r="B127" s="9">
        <v>0.62</v>
      </c>
      <c r="C127" s="9">
        <v>0.04</v>
      </c>
      <c r="D127" s="9">
        <v>1.9</v>
      </c>
      <c r="E127" s="9">
        <v>0.14599999999999999</v>
      </c>
      <c r="F127" s="9">
        <v>27</v>
      </c>
      <c r="G127" s="9">
        <v>90</v>
      </c>
      <c r="H127" s="9">
        <v>0.99839999999999995</v>
      </c>
      <c r="I127" s="9">
        <v>3.16</v>
      </c>
      <c r="J127" s="9">
        <v>0.7</v>
      </c>
      <c r="K127" s="9">
        <v>9.4</v>
      </c>
      <c r="L127" s="9">
        <v>5</v>
      </c>
    </row>
    <row r="128" spans="1:12" x14ac:dyDescent="0.3">
      <c r="A128" s="9">
        <v>8.1999999999999993</v>
      </c>
      <c r="B128" s="9">
        <v>1.33</v>
      </c>
      <c r="C128" s="9">
        <v>0</v>
      </c>
      <c r="D128" s="9">
        <v>1.7</v>
      </c>
      <c r="E128" s="9">
        <v>8.1000000000000003E-2</v>
      </c>
      <c r="F128" s="9">
        <v>3</v>
      </c>
      <c r="G128" s="9">
        <v>12</v>
      </c>
      <c r="H128" s="9">
        <v>0.99639999999999995</v>
      </c>
      <c r="I128" s="9">
        <v>3.53</v>
      </c>
      <c r="J128" s="9">
        <v>0.49</v>
      </c>
      <c r="K128" s="9">
        <v>10.9</v>
      </c>
      <c r="L128" s="9">
        <v>5</v>
      </c>
    </row>
    <row r="129" spans="1:12" x14ac:dyDescent="0.3">
      <c r="A129" s="9">
        <v>8.1</v>
      </c>
      <c r="B129" s="9">
        <v>1.33</v>
      </c>
      <c r="C129" s="9">
        <v>0</v>
      </c>
      <c r="D129" s="9">
        <v>1.8</v>
      </c>
      <c r="E129" s="9">
        <v>8.2000000000000003E-2</v>
      </c>
      <c r="F129" s="9">
        <v>3</v>
      </c>
      <c r="G129" s="9">
        <v>12</v>
      </c>
      <c r="H129" s="9">
        <v>0.99639999999999995</v>
      </c>
      <c r="I129" s="9">
        <v>3.54</v>
      </c>
      <c r="J129" s="9">
        <v>0.48</v>
      </c>
      <c r="K129" s="9">
        <v>10.9</v>
      </c>
      <c r="L129" s="9">
        <v>5</v>
      </c>
    </row>
    <row r="130" spans="1:12" x14ac:dyDescent="0.3">
      <c r="A130" s="9">
        <v>8</v>
      </c>
      <c r="B130" s="9">
        <v>0.59</v>
      </c>
      <c r="C130" s="9">
        <v>0.16</v>
      </c>
      <c r="D130" s="9">
        <v>1.8</v>
      </c>
      <c r="E130" s="9">
        <v>6.5000000000000002E-2</v>
      </c>
      <c r="F130" s="9">
        <v>3</v>
      </c>
      <c r="G130" s="9">
        <v>16</v>
      </c>
      <c r="H130" s="9">
        <v>0.99619999999999997</v>
      </c>
      <c r="I130" s="9">
        <v>3.42</v>
      </c>
      <c r="J130" s="9">
        <v>0.92</v>
      </c>
      <c r="K130" s="9">
        <v>10.5</v>
      </c>
      <c r="L130" s="9">
        <v>7</v>
      </c>
    </row>
    <row r="131" spans="1:12" x14ac:dyDescent="0.3">
      <c r="A131" s="9">
        <v>6.1</v>
      </c>
      <c r="B131" s="9">
        <v>0.38</v>
      </c>
      <c r="C131" s="9">
        <v>0.15</v>
      </c>
      <c r="D131" s="9">
        <v>1.8</v>
      </c>
      <c r="E131" s="9">
        <v>7.1999999999999995E-2</v>
      </c>
      <c r="F131" s="9">
        <v>6</v>
      </c>
      <c r="G131" s="9">
        <v>19</v>
      </c>
      <c r="H131" s="9">
        <v>0.99550000000000005</v>
      </c>
      <c r="I131" s="9">
        <v>3.42</v>
      </c>
      <c r="J131" s="9">
        <v>0.56999999999999995</v>
      </c>
      <c r="K131" s="9">
        <v>9.4</v>
      </c>
      <c r="L131" s="9">
        <v>5</v>
      </c>
    </row>
    <row r="132" spans="1:12" x14ac:dyDescent="0.3">
      <c r="A132" s="9">
        <v>8</v>
      </c>
      <c r="B132" s="9">
        <v>0.745</v>
      </c>
      <c r="C132" s="9">
        <v>0.56000000000000005</v>
      </c>
      <c r="D132" s="9">
        <v>2</v>
      </c>
      <c r="E132" s="9">
        <v>0.11799999999999999</v>
      </c>
      <c r="F132" s="9">
        <v>30</v>
      </c>
      <c r="G132" s="9">
        <v>134</v>
      </c>
      <c r="H132" s="9">
        <v>0.99680000000000002</v>
      </c>
      <c r="I132" s="9">
        <v>3.24</v>
      </c>
      <c r="J132" s="9">
        <v>0.66</v>
      </c>
      <c r="K132" s="9">
        <v>9.4</v>
      </c>
      <c r="L132" s="9">
        <v>5</v>
      </c>
    </row>
    <row r="133" spans="1:12" x14ac:dyDescent="0.3">
      <c r="A133" s="9">
        <v>5.6</v>
      </c>
      <c r="B133" s="9">
        <v>0.5</v>
      </c>
      <c r="C133" s="9">
        <v>0.09</v>
      </c>
      <c r="D133" s="9">
        <v>2.2999999999999998</v>
      </c>
      <c r="E133" s="9">
        <v>4.9000000000000002E-2</v>
      </c>
      <c r="F133" s="9">
        <v>17</v>
      </c>
      <c r="G133" s="9">
        <v>99</v>
      </c>
      <c r="H133" s="9">
        <v>0.99370000000000003</v>
      </c>
      <c r="I133" s="9">
        <v>3.63</v>
      </c>
      <c r="J133" s="9">
        <v>0.63</v>
      </c>
      <c r="K133" s="9">
        <v>13</v>
      </c>
      <c r="L133" s="9">
        <v>5</v>
      </c>
    </row>
    <row r="134" spans="1:12" x14ac:dyDescent="0.3">
      <c r="A134" s="9">
        <v>5.6</v>
      </c>
      <c r="B134" s="9">
        <v>0.5</v>
      </c>
      <c r="C134" s="9">
        <v>0.09</v>
      </c>
      <c r="D134" s="9">
        <v>2.2999999999999998</v>
      </c>
      <c r="E134" s="9">
        <v>4.9000000000000002E-2</v>
      </c>
      <c r="F134" s="9">
        <v>17</v>
      </c>
      <c r="G134" s="9">
        <v>99</v>
      </c>
      <c r="H134" s="9">
        <v>0.99370000000000003</v>
      </c>
      <c r="I134" s="9">
        <v>3.63</v>
      </c>
      <c r="J134" s="9">
        <v>0.63</v>
      </c>
      <c r="K134" s="9">
        <v>13</v>
      </c>
      <c r="L134" s="9">
        <v>5</v>
      </c>
    </row>
    <row r="135" spans="1:12" x14ac:dyDescent="0.3">
      <c r="A135" s="9">
        <v>6.6</v>
      </c>
      <c r="B135" s="9">
        <v>0.5</v>
      </c>
      <c r="C135" s="9">
        <v>0.01</v>
      </c>
      <c r="D135" s="9">
        <v>1.5</v>
      </c>
      <c r="E135" s="9">
        <v>0.06</v>
      </c>
      <c r="F135" s="9">
        <v>17</v>
      </c>
      <c r="G135" s="9">
        <v>26</v>
      </c>
      <c r="H135" s="9">
        <v>0.99519999999999997</v>
      </c>
      <c r="I135" s="9">
        <v>3.4</v>
      </c>
      <c r="J135" s="9">
        <v>0.57999999999999996</v>
      </c>
      <c r="K135" s="9">
        <v>9.8000000000000007</v>
      </c>
      <c r="L135" s="9">
        <v>6</v>
      </c>
    </row>
    <row r="136" spans="1:12" x14ac:dyDescent="0.3">
      <c r="A136" s="9">
        <v>7.9</v>
      </c>
      <c r="B136" s="9">
        <v>1.04</v>
      </c>
      <c r="C136" s="9">
        <v>0.05</v>
      </c>
      <c r="D136" s="9">
        <v>2.2000000000000002</v>
      </c>
      <c r="E136" s="9">
        <v>8.4000000000000005E-2</v>
      </c>
      <c r="F136" s="9">
        <v>13</v>
      </c>
      <c r="G136" s="9">
        <v>29</v>
      </c>
      <c r="H136" s="9">
        <v>0.99590000000000001</v>
      </c>
      <c r="I136" s="9">
        <v>3.22</v>
      </c>
      <c r="J136" s="9">
        <v>0.55000000000000004</v>
      </c>
      <c r="K136" s="9">
        <v>9.9</v>
      </c>
      <c r="L136" s="9">
        <v>6</v>
      </c>
    </row>
    <row r="137" spans="1:12" x14ac:dyDescent="0.3">
      <c r="A137" s="9">
        <v>8.4</v>
      </c>
      <c r="B137" s="9">
        <v>0.745</v>
      </c>
      <c r="C137" s="9">
        <v>0.11</v>
      </c>
      <c r="D137" s="9">
        <v>1.9</v>
      </c>
      <c r="E137" s="9">
        <v>0.09</v>
      </c>
      <c r="F137" s="9">
        <v>16</v>
      </c>
      <c r="G137" s="9">
        <v>63</v>
      </c>
      <c r="H137" s="9">
        <v>0.99650000000000005</v>
      </c>
      <c r="I137" s="9">
        <v>3.19</v>
      </c>
      <c r="J137" s="9">
        <v>0.82</v>
      </c>
      <c r="K137" s="9">
        <v>9.6</v>
      </c>
      <c r="L137" s="9">
        <v>5</v>
      </c>
    </row>
    <row r="138" spans="1:12" x14ac:dyDescent="0.3">
      <c r="A138" s="9">
        <v>8.3000000000000007</v>
      </c>
      <c r="B138" s="9">
        <v>0.71499999999999997</v>
      </c>
      <c r="C138" s="9">
        <v>0.15</v>
      </c>
      <c r="D138" s="9">
        <v>1.8</v>
      </c>
      <c r="E138" s="9">
        <v>8.8999999999999996E-2</v>
      </c>
      <c r="F138" s="9">
        <v>10</v>
      </c>
      <c r="G138" s="9">
        <v>52</v>
      </c>
      <c r="H138" s="9">
        <v>0.99680000000000002</v>
      </c>
      <c r="I138" s="9">
        <v>3.23</v>
      </c>
      <c r="J138" s="9">
        <v>0.77</v>
      </c>
      <c r="K138" s="9">
        <v>9.5</v>
      </c>
      <c r="L138" s="9">
        <v>5</v>
      </c>
    </row>
    <row r="139" spans="1:12" x14ac:dyDescent="0.3">
      <c r="A139" s="9">
        <v>7.2</v>
      </c>
      <c r="B139" s="9">
        <v>0.41499999999999998</v>
      </c>
      <c r="C139" s="9">
        <v>0.36</v>
      </c>
      <c r="D139" s="9">
        <v>2</v>
      </c>
      <c r="E139" s="9">
        <v>8.1000000000000003E-2</v>
      </c>
      <c r="F139" s="9">
        <v>13</v>
      </c>
      <c r="G139" s="9">
        <v>45</v>
      </c>
      <c r="H139" s="9">
        <v>0.99719999999999998</v>
      </c>
      <c r="I139" s="9">
        <v>3.48</v>
      </c>
      <c r="J139" s="9">
        <v>0.64</v>
      </c>
      <c r="K139" s="9">
        <v>9.1999999999999993</v>
      </c>
      <c r="L139" s="9">
        <v>5</v>
      </c>
    </row>
    <row r="140" spans="1:12" x14ac:dyDescent="0.3">
      <c r="A140" s="9">
        <v>7.8</v>
      </c>
      <c r="B140" s="9">
        <v>0.56000000000000005</v>
      </c>
      <c r="C140" s="9">
        <v>0.19</v>
      </c>
      <c r="D140" s="9">
        <v>2.1</v>
      </c>
      <c r="E140" s="9">
        <v>8.1000000000000003E-2</v>
      </c>
      <c r="F140" s="9">
        <v>15</v>
      </c>
      <c r="G140" s="9">
        <v>105</v>
      </c>
      <c r="H140" s="9">
        <v>0.99619999999999997</v>
      </c>
      <c r="I140" s="9">
        <v>3.33</v>
      </c>
      <c r="J140" s="9">
        <v>0.54</v>
      </c>
      <c r="K140" s="9">
        <v>9.5</v>
      </c>
      <c r="L140" s="9">
        <v>5</v>
      </c>
    </row>
    <row r="141" spans="1:12" x14ac:dyDescent="0.3">
      <c r="A141" s="9">
        <v>7.8</v>
      </c>
      <c r="B141" s="9">
        <v>0.56000000000000005</v>
      </c>
      <c r="C141" s="9">
        <v>0.19</v>
      </c>
      <c r="D141" s="9">
        <v>2</v>
      </c>
      <c r="E141" s="9">
        <v>8.1000000000000003E-2</v>
      </c>
      <c r="F141" s="9">
        <v>17</v>
      </c>
      <c r="G141" s="9">
        <v>108</v>
      </c>
      <c r="H141" s="9">
        <v>0.99619999999999997</v>
      </c>
      <c r="I141" s="9">
        <v>3.32</v>
      </c>
      <c r="J141" s="9">
        <v>0.54</v>
      </c>
      <c r="K141" s="9">
        <v>9.5</v>
      </c>
      <c r="L141" s="9">
        <v>5</v>
      </c>
    </row>
    <row r="142" spans="1:12" x14ac:dyDescent="0.3">
      <c r="A142" s="9">
        <v>8.4</v>
      </c>
      <c r="B142" s="9">
        <v>0.745</v>
      </c>
      <c r="C142" s="9">
        <v>0.11</v>
      </c>
      <c r="D142" s="9">
        <v>1.9</v>
      </c>
      <c r="E142" s="9">
        <v>0.09</v>
      </c>
      <c r="F142" s="9">
        <v>16</v>
      </c>
      <c r="G142" s="9">
        <v>63</v>
      </c>
      <c r="H142" s="9">
        <v>0.99650000000000005</v>
      </c>
      <c r="I142" s="9">
        <v>3.19</v>
      </c>
      <c r="J142" s="9">
        <v>0.82</v>
      </c>
      <c r="K142" s="9">
        <v>9.6</v>
      </c>
      <c r="L142" s="9">
        <v>5</v>
      </c>
    </row>
    <row r="143" spans="1:12" x14ac:dyDescent="0.3">
      <c r="A143" s="9">
        <v>8.3000000000000007</v>
      </c>
      <c r="B143" s="9">
        <v>0.71499999999999997</v>
      </c>
      <c r="C143" s="9">
        <v>0.15</v>
      </c>
      <c r="D143" s="9">
        <v>1.8</v>
      </c>
      <c r="E143" s="9">
        <v>8.8999999999999996E-2</v>
      </c>
      <c r="F143" s="9">
        <v>10</v>
      </c>
      <c r="G143" s="9">
        <v>52</v>
      </c>
      <c r="H143" s="9">
        <v>0.99680000000000002</v>
      </c>
      <c r="I143" s="9">
        <v>3.23</v>
      </c>
      <c r="J143" s="9">
        <v>0.77</v>
      </c>
      <c r="K143" s="9">
        <v>9.5</v>
      </c>
      <c r="L143" s="9">
        <v>5</v>
      </c>
    </row>
    <row r="144" spans="1:12" x14ac:dyDescent="0.3">
      <c r="A144" s="9">
        <v>5.2</v>
      </c>
      <c r="B144" s="9">
        <v>0.34</v>
      </c>
      <c r="C144" s="9">
        <v>0</v>
      </c>
      <c r="D144" s="9">
        <v>1.8</v>
      </c>
      <c r="E144" s="9">
        <v>0.05</v>
      </c>
      <c r="F144" s="9">
        <v>27</v>
      </c>
      <c r="G144" s="9">
        <v>63</v>
      </c>
      <c r="H144" s="9">
        <v>0.99160000000000004</v>
      </c>
      <c r="I144" s="9">
        <v>3.68</v>
      </c>
      <c r="J144" s="9">
        <v>0.79</v>
      </c>
      <c r="K144" s="9">
        <v>14</v>
      </c>
      <c r="L144" s="9">
        <v>6</v>
      </c>
    </row>
    <row r="145" spans="1:12" x14ac:dyDescent="0.3">
      <c r="A145" s="9">
        <v>6.3</v>
      </c>
      <c r="B145" s="9">
        <v>0.39</v>
      </c>
      <c r="C145" s="9">
        <v>0.08</v>
      </c>
      <c r="D145" s="9">
        <v>1.7</v>
      </c>
      <c r="E145" s="9">
        <v>6.6000000000000003E-2</v>
      </c>
      <c r="F145" s="9">
        <v>3</v>
      </c>
      <c r="G145" s="9">
        <v>20</v>
      </c>
      <c r="H145" s="9">
        <v>0.99539999999999995</v>
      </c>
      <c r="I145" s="9">
        <v>3.34</v>
      </c>
      <c r="J145" s="9">
        <v>0.57999999999999996</v>
      </c>
      <c r="K145" s="9">
        <v>9.4</v>
      </c>
      <c r="L145" s="9">
        <v>5</v>
      </c>
    </row>
    <row r="146" spans="1:12" x14ac:dyDescent="0.3">
      <c r="A146" s="9">
        <v>5.2</v>
      </c>
      <c r="B146" s="9">
        <v>0.34</v>
      </c>
      <c r="C146" s="9">
        <v>0</v>
      </c>
      <c r="D146" s="9">
        <v>1.8</v>
      </c>
      <c r="E146" s="9">
        <v>0.05</v>
      </c>
      <c r="F146" s="9">
        <v>27</v>
      </c>
      <c r="G146" s="9">
        <v>63</v>
      </c>
      <c r="H146" s="9">
        <v>0.99160000000000004</v>
      </c>
      <c r="I146" s="9">
        <v>3.68</v>
      </c>
      <c r="J146" s="9">
        <v>0.79</v>
      </c>
      <c r="K146" s="9">
        <v>14</v>
      </c>
      <c r="L146" s="9">
        <v>6</v>
      </c>
    </row>
    <row r="147" spans="1:12" x14ac:dyDescent="0.3">
      <c r="A147" s="9">
        <v>8.1</v>
      </c>
      <c r="B147" s="9">
        <v>0.67</v>
      </c>
      <c r="C147" s="9">
        <v>0.55000000000000004</v>
      </c>
      <c r="D147" s="9">
        <v>1.8</v>
      </c>
      <c r="E147" s="9">
        <v>0.11700000000000001</v>
      </c>
      <c r="F147" s="9">
        <v>32</v>
      </c>
      <c r="G147" s="9">
        <v>141</v>
      </c>
      <c r="H147" s="9">
        <v>0.99680000000000002</v>
      </c>
      <c r="I147" s="9">
        <v>3.17</v>
      </c>
      <c r="J147" s="9">
        <v>0.62</v>
      </c>
      <c r="K147" s="9">
        <v>9.4</v>
      </c>
      <c r="L147" s="9">
        <v>5</v>
      </c>
    </row>
    <row r="148" spans="1:12" x14ac:dyDescent="0.3">
      <c r="A148" s="9">
        <v>5.8</v>
      </c>
      <c r="B148" s="9">
        <v>0.68</v>
      </c>
      <c r="C148" s="9">
        <v>0.02</v>
      </c>
      <c r="D148" s="9">
        <v>1.8</v>
      </c>
      <c r="E148" s="9">
        <v>8.6999999999999994E-2</v>
      </c>
      <c r="F148" s="9">
        <v>21</v>
      </c>
      <c r="G148" s="9">
        <v>94</v>
      </c>
      <c r="H148" s="9">
        <v>0.99439999999999995</v>
      </c>
      <c r="I148" s="9">
        <v>3.54</v>
      </c>
      <c r="J148" s="9">
        <v>0.52</v>
      </c>
      <c r="K148" s="9">
        <v>10</v>
      </c>
      <c r="L148" s="9">
        <v>5</v>
      </c>
    </row>
    <row r="149" spans="1:12" x14ac:dyDescent="0.3">
      <c r="A149" s="9">
        <v>7.6</v>
      </c>
      <c r="B149" s="9">
        <v>0.49</v>
      </c>
      <c r="C149" s="9">
        <v>0.26</v>
      </c>
      <c r="D149" s="9">
        <v>1.6</v>
      </c>
      <c r="E149" s="9">
        <v>0.23599999999999999</v>
      </c>
      <c r="F149" s="9">
        <v>10</v>
      </c>
      <c r="G149" s="9">
        <v>88</v>
      </c>
      <c r="H149" s="9">
        <v>0.99680000000000002</v>
      </c>
      <c r="I149" s="9">
        <v>3.11</v>
      </c>
      <c r="J149" s="9">
        <v>0.8</v>
      </c>
      <c r="K149" s="9">
        <v>9.3000000000000007</v>
      </c>
      <c r="L149" s="9">
        <v>5</v>
      </c>
    </row>
    <row r="150" spans="1:12" x14ac:dyDescent="0.3">
      <c r="A150" s="9">
        <v>6.9</v>
      </c>
      <c r="B150" s="9">
        <v>0.49</v>
      </c>
      <c r="C150" s="9">
        <v>0.1</v>
      </c>
      <c r="D150" s="9">
        <v>2.2999999999999998</v>
      </c>
      <c r="E150" s="9">
        <v>7.3999999999999996E-2</v>
      </c>
      <c r="F150" s="9">
        <v>12</v>
      </c>
      <c r="G150" s="9">
        <v>30</v>
      </c>
      <c r="H150" s="9">
        <v>0.99590000000000001</v>
      </c>
      <c r="I150" s="9">
        <v>3.42</v>
      </c>
      <c r="J150" s="9">
        <v>0.57999999999999996</v>
      </c>
      <c r="K150" s="9">
        <v>10.199999999999999</v>
      </c>
      <c r="L150" s="9">
        <v>6</v>
      </c>
    </row>
    <row r="151" spans="1:12" x14ac:dyDescent="0.3">
      <c r="A151" s="9">
        <v>8.1999999999999993</v>
      </c>
      <c r="B151" s="9">
        <v>0.4</v>
      </c>
      <c r="C151" s="9">
        <v>0.44</v>
      </c>
      <c r="D151" s="9">
        <v>2.8</v>
      </c>
      <c r="E151" s="9">
        <v>8.8999999999999996E-2</v>
      </c>
      <c r="F151" s="9">
        <v>11</v>
      </c>
      <c r="G151" s="9">
        <v>43</v>
      </c>
      <c r="H151" s="9">
        <v>0.99750000000000005</v>
      </c>
      <c r="I151" s="9">
        <v>3.53</v>
      </c>
      <c r="J151" s="9">
        <v>0.61</v>
      </c>
      <c r="K151" s="9">
        <v>10.5</v>
      </c>
      <c r="L151" s="9">
        <v>6</v>
      </c>
    </row>
    <row r="152" spans="1:12" x14ac:dyDescent="0.3">
      <c r="A152" s="9">
        <v>7.3</v>
      </c>
      <c r="B152" s="9">
        <v>0.33</v>
      </c>
      <c r="C152" s="9">
        <v>0.47</v>
      </c>
      <c r="D152" s="9">
        <v>2.1</v>
      </c>
      <c r="E152" s="9">
        <v>7.6999999999999999E-2</v>
      </c>
      <c r="F152" s="9">
        <v>5</v>
      </c>
      <c r="G152" s="9">
        <v>11</v>
      </c>
      <c r="H152" s="9">
        <v>0.99580000000000002</v>
      </c>
      <c r="I152" s="9">
        <v>3.33</v>
      </c>
      <c r="J152" s="9">
        <v>0.53</v>
      </c>
      <c r="K152" s="9">
        <v>10.3</v>
      </c>
      <c r="L152" s="9">
        <v>6</v>
      </c>
    </row>
    <row r="153" spans="1:12" x14ac:dyDescent="0.3">
      <c r="A153" s="9">
        <v>9.1999999999999993</v>
      </c>
      <c r="B153" s="9">
        <v>0.52</v>
      </c>
      <c r="C153" s="9">
        <v>1</v>
      </c>
      <c r="D153" s="9">
        <v>3.4</v>
      </c>
      <c r="E153" s="9">
        <v>0.61</v>
      </c>
      <c r="F153" s="9">
        <v>32</v>
      </c>
      <c r="G153" s="9">
        <v>69</v>
      </c>
      <c r="H153" s="9">
        <v>0.99960000000000004</v>
      </c>
      <c r="I153" s="9">
        <v>2.74</v>
      </c>
      <c r="J153" s="9">
        <v>2</v>
      </c>
      <c r="K153" s="9">
        <v>9.4</v>
      </c>
      <c r="L153" s="9">
        <v>4</v>
      </c>
    </row>
    <row r="154" spans="1:12" x14ac:dyDescent="0.3">
      <c r="A154" s="9">
        <v>7.5</v>
      </c>
      <c r="B154" s="9">
        <v>0.6</v>
      </c>
      <c r="C154" s="9">
        <v>0.03</v>
      </c>
      <c r="D154" s="9">
        <v>1.8</v>
      </c>
      <c r="E154" s="9">
        <v>9.5000000000000001E-2</v>
      </c>
      <c r="F154" s="9">
        <v>25</v>
      </c>
      <c r="G154" s="9">
        <v>99</v>
      </c>
      <c r="H154" s="9">
        <v>0.995</v>
      </c>
      <c r="I154" s="9">
        <v>3.35</v>
      </c>
      <c r="J154" s="9">
        <v>0.54</v>
      </c>
      <c r="K154" s="9">
        <v>10.1</v>
      </c>
      <c r="L154" s="9">
        <v>5</v>
      </c>
    </row>
    <row r="155" spans="1:12" x14ac:dyDescent="0.3">
      <c r="A155" s="9">
        <v>7.5</v>
      </c>
      <c r="B155" s="9">
        <v>0.6</v>
      </c>
      <c r="C155" s="9">
        <v>0.03</v>
      </c>
      <c r="D155" s="9">
        <v>1.8</v>
      </c>
      <c r="E155" s="9">
        <v>9.5000000000000001E-2</v>
      </c>
      <c r="F155" s="9">
        <v>25</v>
      </c>
      <c r="G155" s="9">
        <v>99</v>
      </c>
      <c r="H155" s="9">
        <v>0.995</v>
      </c>
      <c r="I155" s="9">
        <v>3.35</v>
      </c>
      <c r="J155" s="9">
        <v>0.54</v>
      </c>
      <c r="K155" s="9">
        <v>10.1</v>
      </c>
      <c r="L155" s="9">
        <v>5</v>
      </c>
    </row>
    <row r="156" spans="1:12" x14ac:dyDescent="0.3">
      <c r="A156" s="9">
        <v>7.1</v>
      </c>
      <c r="B156" s="9">
        <v>0.43</v>
      </c>
      <c r="C156" s="9">
        <v>0.42</v>
      </c>
      <c r="D156" s="9">
        <v>5.5</v>
      </c>
      <c r="E156" s="9">
        <v>7.0000000000000007E-2</v>
      </c>
      <c r="F156" s="9">
        <v>29</v>
      </c>
      <c r="G156" s="9">
        <v>129</v>
      </c>
      <c r="H156" s="9">
        <v>0.99729999999999996</v>
      </c>
      <c r="I156" s="9">
        <v>3.42</v>
      </c>
      <c r="J156" s="9">
        <v>0.72</v>
      </c>
      <c r="K156" s="9">
        <v>10.5</v>
      </c>
      <c r="L156" s="9">
        <v>5</v>
      </c>
    </row>
    <row r="157" spans="1:12" x14ac:dyDescent="0.3">
      <c r="A157" s="9">
        <v>7.1</v>
      </c>
      <c r="B157" s="9">
        <v>0.43</v>
      </c>
      <c r="C157" s="9">
        <v>0.42</v>
      </c>
      <c r="D157" s="9">
        <v>5.5</v>
      </c>
      <c r="E157" s="9">
        <v>7.0999999999999994E-2</v>
      </c>
      <c r="F157" s="9">
        <v>28</v>
      </c>
      <c r="G157" s="9">
        <v>128</v>
      </c>
      <c r="H157" s="9">
        <v>0.99729999999999996</v>
      </c>
      <c r="I157" s="9">
        <v>3.42</v>
      </c>
      <c r="J157" s="9">
        <v>0.71</v>
      </c>
      <c r="K157" s="9">
        <v>10.5</v>
      </c>
      <c r="L157" s="9">
        <v>5</v>
      </c>
    </row>
    <row r="158" spans="1:12" x14ac:dyDescent="0.3">
      <c r="A158" s="9">
        <v>7.1</v>
      </c>
      <c r="B158" s="9">
        <v>0.43</v>
      </c>
      <c r="C158" s="9">
        <v>0.42</v>
      </c>
      <c r="D158" s="9">
        <v>5.5</v>
      </c>
      <c r="E158" s="9">
        <v>7.0000000000000007E-2</v>
      </c>
      <c r="F158" s="9">
        <v>29</v>
      </c>
      <c r="G158" s="9">
        <v>129</v>
      </c>
      <c r="H158" s="9">
        <v>0.99729999999999996</v>
      </c>
      <c r="I158" s="9">
        <v>3.42</v>
      </c>
      <c r="J158" s="9">
        <v>0.72</v>
      </c>
      <c r="K158" s="9">
        <v>10.5</v>
      </c>
      <c r="L158" s="9">
        <v>5</v>
      </c>
    </row>
    <row r="159" spans="1:12" x14ac:dyDescent="0.3">
      <c r="A159" s="9">
        <v>7.1</v>
      </c>
      <c r="B159" s="9">
        <v>0.43</v>
      </c>
      <c r="C159" s="9">
        <v>0.42</v>
      </c>
      <c r="D159" s="9">
        <v>5.5</v>
      </c>
      <c r="E159" s="9">
        <v>7.0999999999999994E-2</v>
      </c>
      <c r="F159" s="9">
        <v>28</v>
      </c>
      <c r="G159" s="9">
        <v>128</v>
      </c>
      <c r="H159" s="9">
        <v>0.99729999999999996</v>
      </c>
      <c r="I159" s="9">
        <v>3.42</v>
      </c>
      <c r="J159" s="9">
        <v>0.71</v>
      </c>
      <c r="K159" s="9">
        <v>10.5</v>
      </c>
      <c r="L159" s="9">
        <v>5</v>
      </c>
    </row>
    <row r="160" spans="1:12" x14ac:dyDescent="0.3">
      <c r="A160" s="9">
        <v>7.1</v>
      </c>
      <c r="B160" s="9">
        <v>0.68</v>
      </c>
      <c r="C160" s="9">
        <v>0</v>
      </c>
      <c r="D160" s="9">
        <v>2.2000000000000002</v>
      </c>
      <c r="E160" s="9">
        <v>7.2999999999999995E-2</v>
      </c>
      <c r="F160" s="9">
        <v>12</v>
      </c>
      <c r="G160" s="9">
        <v>22</v>
      </c>
      <c r="H160" s="9">
        <v>0.99690000000000001</v>
      </c>
      <c r="I160" s="9">
        <v>3.48</v>
      </c>
      <c r="J160" s="9">
        <v>0.5</v>
      </c>
      <c r="K160" s="9">
        <v>9.3000000000000007</v>
      </c>
      <c r="L160" s="9">
        <v>5</v>
      </c>
    </row>
    <row r="161" spans="1:12" x14ac:dyDescent="0.3">
      <c r="A161" s="9">
        <v>6.8</v>
      </c>
      <c r="B161" s="9">
        <v>0.6</v>
      </c>
      <c r="C161" s="9">
        <v>0.18</v>
      </c>
      <c r="D161" s="9">
        <v>1.9</v>
      </c>
      <c r="E161" s="9">
        <v>7.9000000000000001E-2</v>
      </c>
      <c r="F161" s="9">
        <v>18</v>
      </c>
      <c r="G161" s="9">
        <v>86</v>
      </c>
      <c r="H161" s="9">
        <v>0.99680000000000002</v>
      </c>
      <c r="I161" s="9">
        <v>3.59</v>
      </c>
      <c r="J161" s="9">
        <v>0.56999999999999995</v>
      </c>
      <c r="K161" s="9">
        <v>9.3000000000000007</v>
      </c>
      <c r="L161" s="9">
        <v>6</v>
      </c>
    </row>
    <row r="162" spans="1:12" x14ac:dyDescent="0.3">
      <c r="A162" s="9">
        <v>7.6</v>
      </c>
      <c r="B162" s="9">
        <v>0.95</v>
      </c>
      <c r="C162" s="9">
        <v>0.03</v>
      </c>
      <c r="D162" s="9">
        <v>2</v>
      </c>
      <c r="E162" s="9">
        <v>0.09</v>
      </c>
      <c r="F162" s="9">
        <v>7</v>
      </c>
      <c r="G162" s="9">
        <v>20</v>
      </c>
      <c r="H162" s="9">
        <v>0.99590000000000001</v>
      </c>
      <c r="I162" s="9">
        <v>3.2</v>
      </c>
      <c r="J162" s="9">
        <v>0.56000000000000005</v>
      </c>
      <c r="K162" s="9">
        <v>9.6</v>
      </c>
      <c r="L162" s="9">
        <v>5</v>
      </c>
    </row>
    <row r="163" spans="1:12" x14ac:dyDescent="0.3">
      <c r="A163" s="9">
        <v>7.6</v>
      </c>
      <c r="B163" s="9">
        <v>0.68</v>
      </c>
      <c r="C163" s="9">
        <v>0.02</v>
      </c>
      <c r="D163" s="9">
        <v>1.3</v>
      </c>
      <c r="E163" s="9">
        <v>7.1999999999999995E-2</v>
      </c>
      <c r="F163" s="9">
        <v>9</v>
      </c>
      <c r="G163" s="9">
        <v>20</v>
      </c>
      <c r="H163" s="9">
        <v>0.99650000000000005</v>
      </c>
      <c r="I163" s="9">
        <v>3.17</v>
      </c>
      <c r="J163" s="9">
        <v>1.08</v>
      </c>
      <c r="K163" s="9">
        <v>9.1999999999999993</v>
      </c>
      <c r="L163" s="9">
        <v>4</v>
      </c>
    </row>
    <row r="164" spans="1:12" x14ac:dyDescent="0.3">
      <c r="A164" s="9">
        <v>7.8</v>
      </c>
      <c r="B164" s="9">
        <v>0.53</v>
      </c>
      <c r="C164" s="9">
        <v>0.04</v>
      </c>
      <c r="D164" s="9">
        <v>1.7</v>
      </c>
      <c r="E164" s="9">
        <v>7.5999999999999998E-2</v>
      </c>
      <c r="F164" s="9">
        <v>17</v>
      </c>
      <c r="G164" s="9">
        <v>31</v>
      </c>
      <c r="H164" s="9">
        <v>0.99639999999999995</v>
      </c>
      <c r="I164" s="9">
        <v>3.33</v>
      </c>
      <c r="J164" s="9">
        <v>0.56000000000000005</v>
      </c>
      <c r="K164" s="9">
        <v>10</v>
      </c>
      <c r="L164" s="9">
        <v>6</v>
      </c>
    </row>
    <row r="165" spans="1:12" x14ac:dyDescent="0.3">
      <c r="A165" s="9">
        <v>7.4</v>
      </c>
      <c r="B165" s="9">
        <v>0.6</v>
      </c>
      <c r="C165" s="9">
        <v>0.26</v>
      </c>
      <c r="D165" s="9">
        <v>7.3</v>
      </c>
      <c r="E165" s="9">
        <v>7.0000000000000007E-2</v>
      </c>
      <c r="F165" s="9">
        <v>36</v>
      </c>
      <c r="G165" s="9">
        <v>121</v>
      </c>
      <c r="H165" s="9">
        <v>0.99819999999999998</v>
      </c>
      <c r="I165" s="9">
        <v>3.37</v>
      </c>
      <c r="J165" s="9">
        <v>0.49</v>
      </c>
      <c r="K165" s="9">
        <v>9.4</v>
      </c>
      <c r="L165" s="9">
        <v>5</v>
      </c>
    </row>
    <row r="166" spans="1:12" x14ac:dyDescent="0.3">
      <c r="A166" s="9">
        <v>7.3</v>
      </c>
      <c r="B166" s="9">
        <v>0.59</v>
      </c>
      <c r="C166" s="9">
        <v>0.26</v>
      </c>
      <c r="D166" s="9">
        <v>7.2</v>
      </c>
      <c r="E166" s="9">
        <v>7.0000000000000007E-2</v>
      </c>
      <c r="F166" s="9">
        <v>35</v>
      </c>
      <c r="G166" s="9">
        <v>121</v>
      </c>
      <c r="H166" s="9">
        <v>0.99809999999999999</v>
      </c>
      <c r="I166" s="9">
        <v>3.37</v>
      </c>
      <c r="J166" s="9">
        <v>0.49</v>
      </c>
      <c r="K166" s="9">
        <v>9.4</v>
      </c>
      <c r="L166" s="9">
        <v>5</v>
      </c>
    </row>
    <row r="167" spans="1:12" x14ac:dyDescent="0.3">
      <c r="A167" s="9">
        <v>7.8</v>
      </c>
      <c r="B167" s="9">
        <v>0.63</v>
      </c>
      <c r="C167" s="9">
        <v>0.48</v>
      </c>
      <c r="D167" s="9">
        <v>1.7</v>
      </c>
      <c r="E167" s="9">
        <v>0.1</v>
      </c>
      <c r="F167" s="9">
        <v>14</v>
      </c>
      <c r="G167" s="9">
        <v>96</v>
      </c>
      <c r="H167" s="9">
        <v>0.99609999999999999</v>
      </c>
      <c r="I167" s="9">
        <v>3.19</v>
      </c>
      <c r="J167" s="9">
        <v>0.62</v>
      </c>
      <c r="K167" s="9">
        <v>9.5</v>
      </c>
      <c r="L167" s="9">
        <v>5</v>
      </c>
    </row>
    <row r="168" spans="1:12" x14ac:dyDescent="0.3">
      <c r="A168" s="9">
        <v>6.8</v>
      </c>
      <c r="B168" s="9">
        <v>0.64</v>
      </c>
      <c r="C168" s="9">
        <v>0.1</v>
      </c>
      <c r="D168" s="9">
        <v>2.1</v>
      </c>
      <c r="E168" s="9">
        <v>8.5000000000000006E-2</v>
      </c>
      <c r="F168" s="9">
        <v>18</v>
      </c>
      <c r="G168" s="9">
        <v>101</v>
      </c>
      <c r="H168" s="9">
        <v>0.99560000000000004</v>
      </c>
      <c r="I168" s="9">
        <v>3.34</v>
      </c>
      <c r="J168" s="9">
        <v>0.52</v>
      </c>
      <c r="K168" s="9">
        <v>10.199999999999999</v>
      </c>
      <c r="L168" s="9">
        <v>5</v>
      </c>
    </row>
    <row r="169" spans="1:12" x14ac:dyDescent="0.3">
      <c r="A169" s="9">
        <v>7.3</v>
      </c>
      <c r="B169" s="9">
        <v>0.55000000000000004</v>
      </c>
      <c r="C169" s="9">
        <v>0.03</v>
      </c>
      <c r="D169" s="9">
        <v>1.6</v>
      </c>
      <c r="E169" s="9">
        <v>7.1999999999999995E-2</v>
      </c>
      <c r="F169" s="9">
        <v>17</v>
      </c>
      <c r="G169" s="9">
        <v>42</v>
      </c>
      <c r="H169" s="9">
        <v>0.99560000000000004</v>
      </c>
      <c r="I169" s="9">
        <v>3.37</v>
      </c>
      <c r="J169" s="9">
        <v>0.48</v>
      </c>
      <c r="K169" s="9">
        <v>9</v>
      </c>
      <c r="L169" s="9">
        <v>4</v>
      </c>
    </row>
    <row r="170" spans="1:12" x14ac:dyDescent="0.3">
      <c r="A170" s="9">
        <v>6.8</v>
      </c>
      <c r="B170" s="9">
        <v>0.63</v>
      </c>
      <c r="C170" s="9">
        <v>7.0000000000000007E-2</v>
      </c>
      <c r="D170" s="9">
        <v>2.1</v>
      </c>
      <c r="E170" s="9">
        <v>8.8999999999999996E-2</v>
      </c>
      <c r="F170" s="9">
        <v>11</v>
      </c>
      <c r="G170" s="9">
        <v>44</v>
      </c>
      <c r="H170" s="9">
        <v>0.99529999999999996</v>
      </c>
      <c r="I170" s="9">
        <v>3.47</v>
      </c>
      <c r="J170" s="9">
        <v>0.55000000000000004</v>
      </c>
      <c r="K170" s="9">
        <v>10.4</v>
      </c>
      <c r="L170" s="9">
        <v>6</v>
      </c>
    </row>
    <row r="171" spans="1:12" x14ac:dyDescent="0.3">
      <c r="A171" s="9">
        <v>7.5</v>
      </c>
      <c r="B171" s="9">
        <v>0.70499999999999996</v>
      </c>
      <c r="C171" s="9">
        <v>0.24</v>
      </c>
      <c r="D171" s="9">
        <v>1.8</v>
      </c>
      <c r="E171" s="9">
        <v>0.36</v>
      </c>
      <c r="F171" s="9">
        <v>15</v>
      </c>
      <c r="G171" s="9">
        <v>63</v>
      </c>
      <c r="H171" s="9">
        <v>0.99639999999999995</v>
      </c>
      <c r="I171" s="9">
        <v>3</v>
      </c>
      <c r="J171" s="9">
        <v>1.59</v>
      </c>
      <c r="K171" s="9">
        <v>9.5</v>
      </c>
      <c r="L171" s="9">
        <v>5</v>
      </c>
    </row>
    <row r="172" spans="1:12" x14ac:dyDescent="0.3">
      <c r="A172" s="9">
        <v>7.9</v>
      </c>
      <c r="B172" s="9">
        <v>0.88500000000000001</v>
      </c>
      <c r="C172" s="9">
        <v>0.03</v>
      </c>
      <c r="D172" s="9">
        <v>1.8</v>
      </c>
      <c r="E172" s="9">
        <v>5.8000000000000003E-2</v>
      </c>
      <c r="F172" s="9">
        <v>4</v>
      </c>
      <c r="G172" s="9">
        <v>8</v>
      </c>
      <c r="H172" s="9">
        <v>0.99719999999999998</v>
      </c>
      <c r="I172" s="9">
        <v>3.36</v>
      </c>
      <c r="J172" s="9">
        <v>0.33</v>
      </c>
      <c r="K172" s="9">
        <v>9.1</v>
      </c>
      <c r="L172" s="9">
        <v>4</v>
      </c>
    </row>
    <row r="173" spans="1:12" x14ac:dyDescent="0.3">
      <c r="A173" s="9">
        <v>8</v>
      </c>
      <c r="B173" s="9">
        <v>0.42</v>
      </c>
      <c r="C173" s="9">
        <v>0.17</v>
      </c>
      <c r="D173" s="9">
        <v>2</v>
      </c>
      <c r="E173" s="9">
        <v>7.2999999999999995E-2</v>
      </c>
      <c r="F173" s="9">
        <v>6</v>
      </c>
      <c r="G173" s="9">
        <v>18</v>
      </c>
      <c r="H173" s="9">
        <v>0.99719999999999998</v>
      </c>
      <c r="I173" s="9">
        <v>3.29</v>
      </c>
      <c r="J173" s="9">
        <v>0.61</v>
      </c>
      <c r="K173" s="9">
        <v>9.1999999999999993</v>
      </c>
      <c r="L173" s="9">
        <v>6</v>
      </c>
    </row>
    <row r="174" spans="1:12" x14ac:dyDescent="0.3">
      <c r="A174" s="9">
        <v>8</v>
      </c>
      <c r="B174" s="9">
        <v>0.42</v>
      </c>
      <c r="C174" s="9">
        <v>0.17</v>
      </c>
      <c r="D174" s="9">
        <v>2</v>
      </c>
      <c r="E174" s="9">
        <v>7.2999999999999995E-2</v>
      </c>
      <c r="F174" s="9">
        <v>6</v>
      </c>
      <c r="G174" s="9">
        <v>18</v>
      </c>
      <c r="H174" s="9">
        <v>0.99719999999999998</v>
      </c>
      <c r="I174" s="9">
        <v>3.29</v>
      </c>
      <c r="J174" s="9">
        <v>0.61</v>
      </c>
      <c r="K174" s="9">
        <v>9.1999999999999993</v>
      </c>
      <c r="L174" s="9">
        <v>6</v>
      </c>
    </row>
    <row r="175" spans="1:12" x14ac:dyDescent="0.3">
      <c r="A175" s="9">
        <v>7.4</v>
      </c>
      <c r="B175" s="9">
        <v>0.62</v>
      </c>
      <c r="C175" s="9">
        <v>0.05</v>
      </c>
      <c r="D175" s="9">
        <v>1.9</v>
      </c>
      <c r="E175" s="9">
        <v>6.8000000000000005E-2</v>
      </c>
      <c r="F175" s="9">
        <v>24</v>
      </c>
      <c r="G175" s="9">
        <v>42</v>
      </c>
      <c r="H175" s="9">
        <v>0.99609999999999999</v>
      </c>
      <c r="I175" s="9">
        <v>3.42</v>
      </c>
      <c r="J175" s="9">
        <v>0.56999999999999995</v>
      </c>
      <c r="K175" s="9">
        <v>11.5</v>
      </c>
      <c r="L175" s="9">
        <v>6</v>
      </c>
    </row>
    <row r="176" spans="1:12" x14ac:dyDescent="0.3">
      <c r="A176" s="9">
        <v>7.3</v>
      </c>
      <c r="B176" s="9">
        <v>0.38</v>
      </c>
      <c r="C176" s="9">
        <v>0.21</v>
      </c>
      <c r="D176" s="9">
        <v>2</v>
      </c>
      <c r="E176" s="9">
        <v>0.08</v>
      </c>
      <c r="F176" s="9">
        <v>7</v>
      </c>
      <c r="G176" s="9">
        <v>35</v>
      </c>
      <c r="H176" s="9">
        <v>0.99609999999999999</v>
      </c>
      <c r="I176" s="9">
        <v>3.33</v>
      </c>
      <c r="J176" s="9">
        <v>0.47</v>
      </c>
      <c r="K176" s="9">
        <v>9.5</v>
      </c>
      <c r="L176" s="9">
        <v>5</v>
      </c>
    </row>
    <row r="177" spans="1:12" x14ac:dyDescent="0.3">
      <c r="A177" s="9">
        <v>6.9</v>
      </c>
      <c r="B177" s="9">
        <v>0.5</v>
      </c>
      <c r="C177" s="9">
        <v>0.04</v>
      </c>
      <c r="D177" s="9">
        <v>1.5</v>
      </c>
      <c r="E177" s="9">
        <v>8.5000000000000006E-2</v>
      </c>
      <c r="F177" s="9">
        <v>19</v>
      </c>
      <c r="G177" s="9">
        <v>49</v>
      </c>
      <c r="H177" s="9">
        <v>0.99580000000000002</v>
      </c>
      <c r="I177" s="9">
        <v>3.35</v>
      </c>
      <c r="J177" s="9">
        <v>0.78</v>
      </c>
      <c r="K177" s="9">
        <v>9.5</v>
      </c>
      <c r="L177" s="9">
        <v>5</v>
      </c>
    </row>
    <row r="178" spans="1:12" x14ac:dyDescent="0.3">
      <c r="A178" s="9">
        <v>7.3</v>
      </c>
      <c r="B178" s="9">
        <v>0.38</v>
      </c>
      <c r="C178" s="9">
        <v>0.21</v>
      </c>
      <c r="D178" s="9">
        <v>2</v>
      </c>
      <c r="E178" s="9">
        <v>0.08</v>
      </c>
      <c r="F178" s="9">
        <v>7</v>
      </c>
      <c r="G178" s="9">
        <v>35</v>
      </c>
      <c r="H178" s="9">
        <v>0.99609999999999999</v>
      </c>
      <c r="I178" s="9">
        <v>3.33</v>
      </c>
      <c r="J178" s="9">
        <v>0.47</v>
      </c>
      <c r="K178" s="9">
        <v>9.5</v>
      </c>
      <c r="L178" s="9">
        <v>5</v>
      </c>
    </row>
    <row r="179" spans="1:12" x14ac:dyDescent="0.3">
      <c r="A179" s="9">
        <v>7.5</v>
      </c>
      <c r="B179" s="9">
        <v>0.52</v>
      </c>
      <c r="C179" s="9">
        <v>0.42</v>
      </c>
      <c r="D179" s="9">
        <v>2.2999999999999998</v>
      </c>
      <c r="E179" s="9">
        <v>8.6999999999999994E-2</v>
      </c>
      <c r="F179" s="9">
        <v>8</v>
      </c>
      <c r="G179" s="9">
        <v>38</v>
      </c>
      <c r="H179" s="9">
        <v>0.99719999999999998</v>
      </c>
      <c r="I179" s="9">
        <v>3.58</v>
      </c>
      <c r="J179" s="9">
        <v>0.61</v>
      </c>
      <c r="K179" s="9">
        <v>10.5</v>
      </c>
      <c r="L179" s="9">
        <v>6</v>
      </c>
    </row>
    <row r="180" spans="1:12" x14ac:dyDescent="0.3">
      <c r="A180" s="9">
        <v>7</v>
      </c>
      <c r="B180" s="9">
        <v>0.80500000000000005</v>
      </c>
      <c r="C180" s="9">
        <v>0</v>
      </c>
      <c r="D180" s="9">
        <v>2.5</v>
      </c>
      <c r="E180" s="9">
        <v>6.8000000000000005E-2</v>
      </c>
      <c r="F180" s="9">
        <v>7</v>
      </c>
      <c r="G180" s="9">
        <v>20</v>
      </c>
      <c r="H180" s="9">
        <v>0.99690000000000001</v>
      </c>
      <c r="I180" s="9">
        <v>3.48</v>
      </c>
      <c r="J180" s="9">
        <v>0.56000000000000005</v>
      </c>
      <c r="K180" s="9">
        <v>9.6</v>
      </c>
      <c r="L180" s="9">
        <v>5</v>
      </c>
    </row>
    <row r="181" spans="1:12" x14ac:dyDescent="0.3">
      <c r="A181" s="9">
        <v>8.8000000000000007</v>
      </c>
      <c r="B181" s="9">
        <v>0.61</v>
      </c>
      <c r="C181" s="9">
        <v>0.14000000000000001</v>
      </c>
      <c r="D181" s="9">
        <v>2.4</v>
      </c>
      <c r="E181" s="9">
        <v>6.7000000000000004E-2</v>
      </c>
      <c r="F181" s="9">
        <v>10</v>
      </c>
      <c r="G181" s="9">
        <v>42</v>
      </c>
      <c r="H181" s="9">
        <v>0.99690000000000001</v>
      </c>
      <c r="I181" s="9">
        <v>3.19</v>
      </c>
      <c r="J181" s="9">
        <v>0.59</v>
      </c>
      <c r="K181" s="9">
        <v>9.5</v>
      </c>
      <c r="L181" s="9">
        <v>5</v>
      </c>
    </row>
    <row r="182" spans="1:12" x14ac:dyDescent="0.3">
      <c r="A182" s="9">
        <v>8.8000000000000007</v>
      </c>
      <c r="B182" s="9">
        <v>0.61</v>
      </c>
      <c r="C182" s="9">
        <v>0.14000000000000001</v>
      </c>
      <c r="D182" s="9">
        <v>2.4</v>
      </c>
      <c r="E182" s="9">
        <v>6.7000000000000004E-2</v>
      </c>
      <c r="F182" s="9">
        <v>10</v>
      </c>
      <c r="G182" s="9">
        <v>42</v>
      </c>
      <c r="H182" s="9">
        <v>0.99690000000000001</v>
      </c>
      <c r="I182" s="9">
        <v>3.19</v>
      </c>
      <c r="J182" s="9">
        <v>0.59</v>
      </c>
      <c r="K182" s="9">
        <v>9.5</v>
      </c>
      <c r="L182" s="9">
        <v>5</v>
      </c>
    </row>
    <row r="183" spans="1:12" x14ac:dyDescent="0.3">
      <c r="A183" s="9">
        <v>8.9</v>
      </c>
      <c r="B183" s="9">
        <v>0.61</v>
      </c>
      <c r="C183" s="9">
        <v>0.49</v>
      </c>
      <c r="D183" s="9">
        <v>2</v>
      </c>
      <c r="E183" s="9">
        <v>0.27</v>
      </c>
      <c r="F183" s="9">
        <v>23</v>
      </c>
      <c r="G183" s="9">
        <v>110</v>
      </c>
      <c r="H183" s="9">
        <v>0.99719999999999998</v>
      </c>
      <c r="I183" s="9">
        <v>3.12</v>
      </c>
      <c r="J183" s="9">
        <v>1.02</v>
      </c>
      <c r="K183" s="9">
        <v>9.3000000000000007</v>
      </c>
      <c r="L183" s="9">
        <v>5</v>
      </c>
    </row>
    <row r="184" spans="1:12" x14ac:dyDescent="0.3">
      <c r="A184" s="9">
        <v>7.2</v>
      </c>
      <c r="B184" s="9">
        <v>0.73</v>
      </c>
      <c r="C184" s="9">
        <v>0.02</v>
      </c>
      <c r="D184" s="9">
        <v>2.5</v>
      </c>
      <c r="E184" s="9">
        <v>7.5999999999999998E-2</v>
      </c>
      <c r="F184" s="9">
        <v>16</v>
      </c>
      <c r="G184" s="9">
        <v>42</v>
      </c>
      <c r="H184" s="9">
        <v>0.99719999999999998</v>
      </c>
      <c r="I184" s="9">
        <v>3.44</v>
      </c>
      <c r="J184" s="9">
        <v>0.52</v>
      </c>
      <c r="K184" s="9">
        <v>9.3000000000000007</v>
      </c>
      <c r="L184" s="9">
        <v>5</v>
      </c>
    </row>
    <row r="185" spans="1:12" x14ac:dyDescent="0.3">
      <c r="A185" s="9">
        <v>6.8</v>
      </c>
      <c r="B185" s="9">
        <v>0.61</v>
      </c>
      <c r="C185" s="9">
        <v>0.2</v>
      </c>
      <c r="D185" s="9">
        <v>1.8</v>
      </c>
      <c r="E185" s="9">
        <v>7.6999999999999999E-2</v>
      </c>
      <c r="F185" s="9">
        <v>11</v>
      </c>
      <c r="G185" s="9">
        <v>65</v>
      </c>
      <c r="H185" s="9">
        <v>0.99709999999999999</v>
      </c>
      <c r="I185" s="9">
        <v>3.54</v>
      </c>
      <c r="J185" s="9">
        <v>0.57999999999999996</v>
      </c>
      <c r="K185" s="9">
        <v>9.3000000000000007</v>
      </c>
      <c r="L185" s="9">
        <v>5</v>
      </c>
    </row>
    <row r="186" spans="1:12" x14ac:dyDescent="0.3">
      <c r="A186" s="9">
        <v>6.7</v>
      </c>
      <c r="B186" s="9">
        <v>0.62</v>
      </c>
      <c r="C186" s="9">
        <v>0.21</v>
      </c>
      <c r="D186" s="9">
        <v>1.9</v>
      </c>
      <c r="E186" s="9">
        <v>7.9000000000000001E-2</v>
      </c>
      <c r="F186" s="9">
        <v>8</v>
      </c>
      <c r="G186" s="9">
        <v>62</v>
      </c>
      <c r="H186" s="9">
        <v>0.997</v>
      </c>
      <c r="I186" s="9">
        <v>3.52</v>
      </c>
      <c r="J186" s="9">
        <v>0.57999999999999996</v>
      </c>
      <c r="K186" s="9">
        <v>9.3000000000000007</v>
      </c>
      <c r="L186" s="9">
        <v>6</v>
      </c>
    </row>
    <row r="187" spans="1:12" x14ac:dyDescent="0.3">
      <c r="A187" s="9">
        <v>8.9</v>
      </c>
      <c r="B187" s="9">
        <v>0.31</v>
      </c>
      <c r="C187" s="9">
        <v>0.56999999999999995</v>
      </c>
      <c r="D187" s="9">
        <v>2</v>
      </c>
      <c r="E187" s="9">
        <v>0.111</v>
      </c>
      <c r="F187" s="9">
        <v>26</v>
      </c>
      <c r="G187" s="9">
        <v>85</v>
      </c>
      <c r="H187" s="9">
        <v>0.99709999999999999</v>
      </c>
      <c r="I187" s="9">
        <v>3.26</v>
      </c>
      <c r="J187" s="9">
        <v>0.53</v>
      </c>
      <c r="K187" s="9">
        <v>9.6999999999999993</v>
      </c>
      <c r="L187" s="9">
        <v>5</v>
      </c>
    </row>
    <row r="188" spans="1:12" x14ac:dyDescent="0.3">
      <c r="A188" s="9">
        <v>7.4</v>
      </c>
      <c r="B188" s="9">
        <v>0.39</v>
      </c>
      <c r="C188" s="9">
        <v>0.48</v>
      </c>
      <c r="D188" s="9">
        <v>2</v>
      </c>
      <c r="E188" s="9">
        <v>8.2000000000000003E-2</v>
      </c>
      <c r="F188" s="9">
        <v>14</v>
      </c>
      <c r="G188" s="9">
        <v>67</v>
      </c>
      <c r="H188" s="9">
        <v>0.99719999999999998</v>
      </c>
      <c r="I188" s="9">
        <v>3.34</v>
      </c>
      <c r="J188" s="9">
        <v>0.55000000000000004</v>
      </c>
      <c r="K188" s="9">
        <v>9.1999999999999993</v>
      </c>
      <c r="L188" s="9">
        <v>5</v>
      </c>
    </row>
    <row r="189" spans="1:12" x14ac:dyDescent="0.3">
      <c r="A189" s="9">
        <v>7.7</v>
      </c>
      <c r="B189" s="9">
        <v>0.70499999999999996</v>
      </c>
      <c r="C189" s="9">
        <v>0.1</v>
      </c>
      <c r="D189" s="9">
        <v>2.6</v>
      </c>
      <c r="E189" s="9">
        <v>8.4000000000000005E-2</v>
      </c>
      <c r="F189" s="9">
        <v>9</v>
      </c>
      <c r="G189" s="9">
        <v>26</v>
      </c>
      <c r="H189" s="9">
        <v>0.99760000000000004</v>
      </c>
      <c r="I189" s="9">
        <v>3.39</v>
      </c>
      <c r="J189" s="9">
        <v>0.49</v>
      </c>
      <c r="K189" s="9">
        <v>9.6999999999999993</v>
      </c>
      <c r="L189" s="9">
        <v>5</v>
      </c>
    </row>
    <row r="190" spans="1:12" x14ac:dyDescent="0.3">
      <c r="A190" s="9">
        <v>7.9</v>
      </c>
      <c r="B190" s="9">
        <v>0.5</v>
      </c>
      <c r="C190" s="9">
        <v>0.33</v>
      </c>
      <c r="D190" s="9">
        <v>2</v>
      </c>
      <c r="E190" s="9">
        <v>8.4000000000000005E-2</v>
      </c>
      <c r="F190" s="9">
        <v>15</v>
      </c>
      <c r="G190" s="9">
        <v>143</v>
      </c>
      <c r="H190" s="9">
        <v>0.99680000000000002</v>
      </c>
      <c r="I190" s="9">
        <v>3.2</v>
      </c>
      <c r="J190" s="9">
        <v>0.55000000000000004</v>
      </c>
      <c r="K190" s="9">
        <v>9.5</v>
      </c>
      <c r="L190" s="9">
        <v>5</v>
      </c>
    </row>
    <row r="191" spans="1:12" x14ac:dyDescent="0.3">
      <c r="A191" s="9">
        <v>7.9</v>
      </c>
      <c r="B191" s="9">
        <v>0.49</v>
      </c>
      <c r="C191" s="9">
        <v>0.32</v>
      </c>
      <c r="D191" s="9">
        <v>1.9</v>
      </c>
      <c r="E191" s="9">
        <v>8.2000000000000003E-2</v>
      </c>
      <c r="F191" s="9">
        <v>17</v>
      </c>
      <c r="G191" s="9">
        <v>144</v>
      </c>
      <c r="H191" s="9">
        <v>0.99680000000000002</v>
      </c>
      <c r="I191" s="9">
        <v>3.2</v>
      </c>
      <c r="J191" s="9">
        <v>0.55000000000000004</v>
      </c>
      <c r="K191" s="9">
        <v>9.5</v>
      </c>
      <c r="L191" s="9">
        <v>5</v>
      </c>
    </row>
    <row r="192" spans="1:12" x14ac:dyDescent="0.3">
      <c r="A192" s="9">
        <v>8.1999999999999993</v>
      </c>
      <c r="B192" s="9">
        <v>0.5</v>
      </c>
      <c r="C192" s="9">
        <v>0.35</v>
      </c>
      <c r="D192" s="9">
        <v>2.9</v>
      </c>
      <c r="E192" s="9">
        <v>7.6999999999999999E-2</v>
      </c>
      <c r="F192" s="9">
        <v>21</v>
      </c>
      <c r="G192" s="9">
        <v>127</v>
      </c>
      <c r="H192" s="9">
        <v>0.99760000000000004</v>
      </c>
      <c r="I192" s="9">
        <v>3.23</v>
      </c>
      <c r="J192" s="9">
        <v>0.62</v>
      </c>
      <c r="K192" s="9">
        <v>9.4</v>
      </c>
      <c r="L192" s="9">
        <v>5</v>
      </c>
    </row>
    <row r="193" spans="1:12" x14ac:dyDescent="0.3">
      <c r="A193" s="9">
        <v>6.4</v>
      </c>
      <c r="B193" s="9">
        <v>0.37</v>
      </c>
      <c r="C193" s="9">
        <v>0.25</v>
      </c>
      <c r="D193" s="9">
        <v>1.9</v>
      </c>
      <c r="E193" s="9">
        <v>7.3999999999999996E-2</v>
      </c>
      <c r="F193" s="9">
        <v>21</v>
      </c>
      <c r="G193" s="9">
        <v>49</v>
      </c>
      <c r="H193" s="9">
        <v>0.99739999999999995</v>
      </c>
      <c r="I193" s="9">
        <v>3.57</v>
      </c>
      <c r="J193" s="9">
        <v>0.62</v>
      </c>
      <c r="K193" s="9">
        <v>9.8000000000000007</v>
      </c>
      <c r="L193" s="9">
        <v>6</v>
      </c>
    </row>
    <row r="194" spans="1:12" x14ac:dyDescent="0.3">
      <c r="A194" s="9">
        <v>6.8</v>
      </c>
      <c r="B194" s="9">
        <v>0.63</v>
      </c>
      <c r="C194" s="9">
        <v>0.12</v>
      </c>
      <c r="D194" s="9">
        <v>3.8</v>
      </c>
      <c r="E194" s="9">
        <v>9.9000000000000005E-2</v>
      </c>
      <c r="F194" s="9">
        <v>16</v>
      </c>
      <c r="G194" s="9">
        <v>126</v>
      </c>
      <c r="H194" s="9">
        <v>0.99690000000000001</v>
      </c>
      <c r="I194" s="9">
        <v>3.28</v>
      </c>
      <c r="J194" s="9">
        <v>0.61</v>
      </c>
      <c r="K194" s="9">
        <v>9.5</v>
      </c>
      <c r="L194" s="9">
        <v>5</v>
      </c>
    </row>
    <row r="195" spans="1:12" x14ac:dyDescent="0.3">
      <c r="A195" s="9">
        <v>7.6</v>
      </c>
      <c r="B195" s="9">
        <v>0.55000000000000004</v>
      </c>
      <c r="C195" s="9">
        <v>0.21</v>
      </c>
      <c r="D195" s="9">
        <v>2.2000000000000002</v>
      </c>
      <c r="E195" s="9">
        <v>7.0999999999999994E-2</v>
      </c>
      <c r="F195" s="9">
        <v>7</v>
      </c>
      <c r="G195" s="9">
        <v>28</v>
      </c>
      <c r="H195" s="9">
        <v>0.99639999999999995</v>
      </c>
      <c r="I195" s="9">
        <v>3.28</v>
      </c>
      <c r="J195" s="9">
        <v>0.55000000000000004</v>
      </c>
      <c r="K195" s="9">
        <v>9.6999999999999993</v>
      </c>
      <c r="L195" s="9">
        <v>5</v>
      </c>
    </row>
    <row r="196" spans="1:12" x14ac:dyDescent="0.3">
      <c r="A196" s="9">
        <v>7.6</v>
      </c>
      <c r="B196" s="9">
        <v>0.55000000000000004</v>
      </c>
      <c r="C196" s="9">
        <v>0.21</v>
      </c>
      <c r="D196" s="9">
        <v>2.2000000000000002</v>
      </c>
      <c r="E196" s="9">
        <v>7.0999999999999994E-2</v>
      </c>
      <c r="F196" s="9">
        <v>7</v>
      </c>
      <c r="G196" s="9">
        <v>28</v>
      </c>
      <c r="H196" s="9">
        <v>0.99639999999999995</v>
      </c>
      <c r="I196" s="9">
        <v>3.28</v>
      </c>
      <c r="J196" s="9">
        <v>0.55000000000000004</v>
      </c>
      <c r="K196" s="9">
        <v>9.6999999999999993</v>
      </c>
      <c r="L196" s="9">
        <v>5</v>
      </c>
    </row>
    <row r="197" spans="1:12" x14ac:dyDescent="0.3">
      <c r="A197" s="9">
        <v>7.8</v>
      </c>
      <c r="B197" s="9">
        <v>0.59</v>
      </c>
      <c r="C197" s="9">
        <v>0.33</v>
      </c>
      <c r="D197" s="9">
        <v>2</v>
      </c>
      <c r="E197" s="9">
        <v>7.3999999999999996E-2</v>
      </c>
      <c r="F197" s="9">
        <v>24</v>
      </c>
      <c r="G197" s="9">
        <v>120</v>
      </c>
      <c r="H197" s="9">
        <v>0.99680000000000002</v>
      </c>
      <c r="I197" s="9">
        <v>3.25</v>
      </c>
      <c r="J197" s="9">
        <v>0.54</v>
      </c>
      <c r="K197" s="9">
        <v>9.4</v>
      </c>
      <c r="L197" s="9">
        <v>5</v>
      </c>
    </row>
    <row r="198" spans="1:12" x14ac:dyDescent="0.3">
      <c r="A198" s="9">
        <v>7.3</v>
      </c>
      <c r="B198" s="9">
        <v>0.57999999999999996</v>
      </c>
      <c r="C198" s="9">
        <v>0.3</v>
      </c>
      <c r="D198" s="9">
        <v>2.4</v>
      </c>
      <c r="E198" s="9">
        <v>7.3999999999999996E-2</v>
      </c>
      <c r="F198" s="9">
        <v>15</v>
      </c>
      <c r="G198" s="9">
        <v>55</v>
      </c>
      <c r="H198" s="9">
        <v>0.99680000000000002</v>
      </c>
      <c r="I198" s="9">
        <v>3.46</v>
      </c>
      <c r="J198" s="9">
        <v>0.59</v>
      </c>
      <c r="K198" s="9">
        <v>10.199999999999999</v>
      </c>
      <c r="L198" s="9">
        <v>5</v>
      </c>
    </row>
    <row r="199" spans="1:12" x14ac:dyDescent="0.3">
      <c r="A199" s="9">
        <v>11.5</v>
      </c>
      <c r="B199" s="9">
        <v>0.3</v>
      </c>
      <c r="C199" s="9">
        <v>0.6</v>
      </c>
      <c r="D199" s="9">
        <v>2</v>
      </c>
      <c r="E199" s="9">
        <v>6.7000000000000004E-2</v>
      </c>
      <c r="F199" s="9">
        <v>12</v>
      </c>
      <c r="G199" s="9">
        <v>27</v>
      </c>
      <c r="H199" s="9">
        <v>0.99809999999999999</v>
      </c>
      <c r="I199" s="9">
        <v>3.11</v>
      </c>
      <c r="J199" s="9">
        <v>0.97</v>
      </c>
      <c r="K199" s="9">
        <v>10.1</v>
      </c>
      <c r="L199" s="9">
        <v>6</v>
      </c>
    </row>
    <row r="200" spans="1:12" x14ac:dyDescent="0.3">
      <c r="A200" s="9">
        <v>5.4</v>
      </c>
      <c r="B200" s="9">
        <v>0.83499999999999996</v>
      </c>
      <c r="C200" s="9">
        <v>0.08</v>
      </c>
      <c r="D200" s="9">
        <v>1.2</v>
      </c>
      <c r="E200" s="9">
        <v>4.5999999999999999E-2</v>
      </c>
      <c r="F200" s="9">
        <v>13</v>
      </c>
      <c r="G200" s="9">
        <v>93</v>
      </c>
      <c r="H200" s="9">
        <v>0.99239999999999995</v>
      </c>
      <c r="I200" s="9">
        <v>3.57</v>
      </c>
      <c r="J200" s="9">
        <v>0.85</v>
      </c>
      <c r="K200" s="9">
        <v>13</v>
      </c>
      <c r="L200" s="9">
        <v>7</v>
      </c>
    </row>
    <row r="201" spans="1:12" x14ac:dyDescent="0.3">
      <c r="A201" s="9">
        <v>6.9</v>
      </c>
      <c r="B201" s="9">
        <v>1.0900000000000001</v>
      </c>
      <c r="C201" s="9">
        <v>0.06</v>
      </c>
      <c r="D201" s="9">
        <v>2.1</v>
      </c>
      <c r="E201" s="9">
        <v>6.0999999999999999E-2</v>
      </c>
      <c r="F201" s="9">
        <v>12</v>
      </c>
      <c r="G201" s="9">
        <v>31</v>
      </c>
      <c r="H201" s="9">
        <v>0.99480000000000002</v>
      </c>
      <c r="I201" s="9">
        <v>3.51</v>
      </c>
      <c r="J201" s="9">
        <v>0.43</v>
      </c>
      <c r="K201" s="9">
        <v>11.4</v>
      </c>
      <c r="L201" s="9">
        <v>4</v>
      </c>
    </row>
    <row r="202" spans="1:12" x14ac:dyDescent="0.3">
      <c r="A202" s="9">
        <v>9.6</v>
      </c>
      <c r="B202" s="9">
        <v>0.32</v>
      </c>
      <c r="C202" s="9">
        <v>0.47</v>
      </c>
      <c r="D202" s="9">
        <v>1.4</v>
      </c>
      <c r="E202" s="9">
        <v>5.6000000000000001E-2</v>
      </c>
      <c r="F202" s="9">
        <v>9</v>
      </c>
      <c r="G202" s="9">
        <v>24</v>
      </c>
      <c r="H202" s="9">
        <v>0.99695</v>
      </c>
      <c r="I202" s="9">
        <v>3.22</v>
      </c>
      <c r="J202" s="9">
        <v>0.82</v>
      </c>
      <c r="K202" s="9">
        <v>10.3</v>
      </c>
      <c r="L202" s="9">
        <v>7</v>
      </c>
    </row>
    <row r="203" spans="1:12" x14ac:dyDescent="0.3">
      <c r="A203" s="9">
        <v>8.8000000000000007</v>
      </c>
      <c r="B203" s="9">
        <v>0.37</v>
      </c>
      <c r="C203" s="9">
        <v>0.48</v>
      </c>
      <c r="D203" s="9">
        <v>2.1</v>
      </c>
      <c r="E203" s="9">
        <v>9.7000000000000003E-2</v>
      </c>
      <c r="F203" s="9">
        <v>39</v>
      </c>
      <c r="G203" s="9">
        <v>145</v>
      </c>
      <c r="H203" s="9">
        <v>0.99750000000000005</v>
      </c>
      <c r="I203" s="9">
        <v>3.04</v>
      </c>
      <c r="J203" s="9">
        <v>1.03</v>
      </c>
      <c r="K203" s="9">
        <v>9.3000000000000007</v>
      </c>
      <c r="L203" s="9">
        <v>5</v>
      </c>
    </row>
    <row r="204" spans="1:12" x14ac:dyDescent="0.3">
      <c r="A204" s="9">
        <v>6.8</v>
      </c>
      <c r="B204" s="9">
        <v>0.5</v>
      </c>
      <c r="C204" s="9">
        <v>0.11</v>
      </c>
      <c r="D204" s="9">
        <v>1.5</v>
      </c>
      <c r="E204" s="9">
        <v>7.4999999999999997E-2</v>
      </c>
      <c r="F204" s="9">
        <v>16</v>
      </c>
      <c r="G204" s="9">
        <v>49</v>
      </c>
      <c r="H204" s="9">
        <v>0.99544999999999995</v>
      </c>
      <c r="I204" s="9">
        <v>3.36</v>
      </c>
      <c r="J204" s="9">
        <v>0.79</v>
      </c>
      <c r="K204" s="9">
        <v>9.5</v>
      </c>
      <c r="L204" s="9">
        <v>5</v>
      </c>
    </row>
    <row r="205" spans="1:12" x14ac:dyDescent="0.3">
      <c r="A205" s="9">
        <v>7</v>
      </c>
      <c r="B205" s="9">
        <v>0.42</v>
      </c>
      <c r="C205" s="9">
        <v>0.35</v>
      </c>
      <c r="D205" s="9">
        <v>1.6</v>
      </c>
      <c r="E205" s="9">
        <v>8.7999999999999995E-2</v>
      </c>
      <c r="F205" s="9">
        <v>16</v>
      </c>
      <c r="G205" s="9">
        <v>39</v>
      </c>
      <c r="H205" s="9">
        <v>0.99609999999999999</v>
      </c>
      <c r="I205" s="9">
        <v>3.34</v>
      </c>
      <c r="J205" s="9">
        <v>0.55000000000000004</v>
      </c>
      <c r="K205" s="9">
        <v>9.1999999999999993</v>
      </c>
      <c r="L205" s="9">
        <v>5</v>
      </c>
    </row>
    <row r="206" spans="1:12" x14ac:dyDescent="0.3">
      <c r="A206" s="9">
        <v>7</v>
      </c>
      <c r="B206" s="9">
        <v>0.43</v>
      </c>
      <c r="C206" s="9">
        <v>0.36</v>
      </c>
      <c r="D206" s="9">
        <v>1.6</v>
      </c>
      <c r="E206" s="9">
        <v>8.8999999999999996E-2</v>
      </c>
      <c r="F206" s="9">
        <v>14</v>
      </c>
      <c r="G206" s="9">
        <v>37</v>
      </c>
      <c r="H206" s="9">
        <v>0.99614999999999998</v>
      </c>
      <c r="I206" s="9">
        <v>3.34</v>
      </c>
      <c r="J206" s="9">
        <v>0.56000000000000005</v>
      </c>
      <c r="K206" s="9">
        <v>9.1999999999999993</v>
      </c>
      <c r="L206" s="9">
        <v>6</v>
      </c>
    </row>
    <row r="207" spans="1:12" x14ac:dyDescent="0.3">
      <c r="A207" s="9">
        <v>12.8</v>
      </c>
      <c r="B207" s="9">
        <v>0.3</v>
      </c>
      <c r="C207" s="9">
        <v>0.74</v>
      </c>
      <c r="D207" s="9">
        <v>2.6</v>
      </c>
      <c r="E207" s="9">
        <v>9.5000000000000001E-2</v>
      </c>
      <c r="F207" s="9">
        <v>9</v>
      </c>
      <c r="G207" s="9">
        <v>28</v>
      </c>
      <c r="H207" s="9">
        <v>0.99939999999999996</v>
      </c>
      <c r="I207" s="9">
        <v>3.2</v>
      </c>
      <c r="J207" s="9">
        <v>0.77</v>
      </c>
      <c r="K207" s="9">
        <v>10.8</v>
      </c>
      <c r="L207" s="9">
        <v>7</v>
      </c>
    </row>
    <row r="208" spans="1:12" x14ac:dyDescent="0.3">
      <c r="A208" s="9">
        <v>12.8</v>
      </c>
      <c r="B208" s="9">
        <v>0.3</v>
      </c>
      <c r="C208" s="9">
        <v>0.74</v>
      </c>
      <c r="D208" s="9">
        <v>2.6</v>
      </c>
      <c r="E208" s="9">
        <v>9.5000000000000001E-2</v>
      </c>
      <c r="F208" s="9">
        <v>9</v>
      </c>
      <c r="G208" s="9">
        <v>28</v>
      </c>
      <c r="H208" s="9">
        <v>0.99939999999999996</v>
      </c>
      <c r="I208" s="9">
        <v>3.2</v>
      </c>
      <c r="J208" s="9">
        <v>0.77</v>
      </c>
      <c r="K208" s="9">
        <v>10.8</v>
      </c>
      <c r="L208" s="9">
        <v>7</v>
      </c>
    </row>
    <row r="209" spans="1:12" x14ac:dyDescent="0.3">
      <c r="A209" s="9">
        <v>7.8</v>
      </c>
      <c r="B209" s="9">
        <v>0.56999999999999995</v>
      </c>
      <c r="C209" s="9">
        <v>0.31</v>
      </c>
      <c r="D209" s="9">
        <v>1.8</v>
      </c>
      <c r="E209" s="9">
        <v>6.9000000000000006E-2</v>
      </c>
      <c r="F209" s="9">
        <v>26</v>
      </c>
      <c r="G209" s="9">
        <v>120</v>
      </c>
      <c r="H209" s="9">
        <v>0.99624999999999997</v>
      </c>
      <c r="I209" s="9">
        <v>3.29</v>
      </c>
      <c r="J209" s="9">
        <v>0.53</v>
      </c>
      <c r="K209" s="9">
        <v>9.3000000000000007</v>
      </c>
      <c r="L209" s="9">
        <v>5</v>
      </c>
    </row>
    <row r="210" spans="1:12" x14ac:dyDescent="0.3">
      <c r="A210" s="9">
        <v>7.8</v>
      </c>
      <c r="B210" s="9">
        <v>0.44</v>
      </c>
      <c r="C210" s="9">
        <v>0.28000000000000003</v>
      </c>
      <c r="D210" s="9">
        <v>2.7</v>
      </c>
      <c r="E210" s="9">
        <v>0.1</v>
      </c>
      <c r="F210" s="9">
        <v>18</v>
      </c>
      <c r="G210" s="9">
        <v>95</v>
      </c>
      <c r="H210" s="9">
        <v>0.99660000000000004</v>
      </c>
      <c r="I210" s="9">
        <v>3.22</v>
      </c>
      <c r="J210" s="9">
        <v>0.67</v>
      </c>
      <c r="K210" s="9">
        <v>9.4</v>
      </c>
      <c r="L210" s="9">
        <v>5</v>
      </c>
    </row>
    <row r="211" spans="1:12" x14ac:dyDescent="0.3">
      <c r="A211" s="9">
        <v>11</v>
      </c>
      <c r="B211" s="9">
        <v>0.3</v>
      </c>
      <c r="C211" s="9">
        <v>0.57999999999999996</v>
      </c>
      <c r="D211" s="9">
        <v>2.1</v>
      </c>
      <c r="E211" s="9">
        <v>5.3999999999999999E-2</v>
      </c>
      <c r="F211" s="9">
        <v>7</v>
      </c>
      <c r="G211" s="9">
        <v>19</v>
      </c>
      <c r="H211" s="9">
        <v>0.998</v>
      </c>
      <c r="I211" s="9">
        <v>3.31</v>
      </c>
      <c r="J211" s="9">
        <v>0.88</v>
      </c>
      <c r="K211" s="9">
        <v>10.5</v>
      </c>
      <c r="L211" s="9">
        <v>7</v>
      </c>
    </row>
    <row r="212" spans="1:12" x14ac:dyDescent="0.3">
      <c r="A212" s="9">
        <v>9.6999999999999993</v>
      </c>
      <c r="B212" s="9">
        <v>0.53</v>
      </c>
      <c r="C212" s="9">
        <v>0.6</v>
      </c>
      <c r="D212" s="9">
        <v>2</v>
      </c>
      <c r="E212" s="9">
        <v>3.9E-2</v>
      </c>
      <c r="F212" s="9">
        <v>5</v>
      </c>
      <c r="G212" s="9">
        <v>19</v>
      </c>
      <c r="H212" s="9">
        <v>0.99585000000000001</v>
      </c>
      <c r="I212" s="9">
        <v>3.3</v>
      </c>
      <c r="J212" s="9">
        <v>0.86</v>
      </c>
      <c r="K212" s="9">
        <v>12.4</v>
      </c>
      <c r="L212" s="9">
        <v>6</v>
      </c>
    </row>
    <row r="213" spans="1:12" x14ac:dyDescent="0.3">
      <c r="A213" s="9">
        <v>8</v>
      </c>
      <c r="B213" s="9">
        <v>0.72499999999999998</v>
      </c>
      <c r="C213" s="9">
        <v>0.24</v>
      </c>
      <c r="D213" s="9">
        <v>2.8</v>
      </c>
      <c r="E213" s="9">
        <v>8.3000000000000004E-2</v>
      </c>
      <c r="F213" s="9">
        <v>10</v>
      </c>
      <c r="G213" s="9">
        <v>62</v>
      </c>
      <c r="H213" s="9">
        <v>0.99685000000000001</v>
      </c>
      <c r="I213" s="9">
        <v>3.35</v>
      </c>
      <c r="J213" s="9">
        <v>0.56000000000000005</v>
      </c>
      <c r="K213" s="9">
        <v>10</v>
      </c>
      <c r="L213" s="9">
        <v>6</v>
      </c>
    </row>
    <row r="214" spans="1:12" x14ac:dyDescent="0.3">
      <c r="A214" s="9">
        <v>11.6</v>
      </c>
      <c r="B214" s="9">
        <v>0.44</v>
      </c>
      <c r="C214" s="9">
        <v>0.64</v>
      </c>
      <c r="D214" s="9">
        <v>2.1</v>
      </c>
      <c r="E214" s="9">
        <v>5.8999999999999997E-2</v>
      </c>
      <c r="F214" s="9">
        <v>5</v>
      </c>
      <c r="G214" s="9">
        <v>15</v>
      </c>
      <c r="H214" s="9">
        <v>0.998</v>
      </c>
      <c r="I214" s="9">
        <v>3.21</v>
      </c>
      <c r="J214" s="9">
        <v>0.67</v>
      </c>
      <c r="K214" s="9">
        <v>10.199999999999999</v>
      </c>
      <c r="L214" s="9">
        <v>6</v>
      </c>
    </row>
    <row r="215" spans="1:12" x14ac:dyDescent="0.3">
      <c r="A215" s="9">
        <v>8.1999999999999993</v>
      </c>
      <c r="B215" s="9">
        <v>0.56999999999999995</v>
      </c>
      <c r="C215" s="9">
        <v>0.26</v>
      </c>
      <c r="D215" s="9">
        <v>2.2000000000000002</v>
      </c>
      <c r="E215" s="9">
        <v>0.06</v>
      </c>
      <c r="F215" s="9">
        <v>28</v>
      </c>
      <c r="G215" s="9">
        <v>65</v>
      </c>
      <c r="H215" s="9">
        <v>0.99590000000000001</v>
      </c>
      <c r="I215" s="9">
        <v>3.3</v>
      </c>
      <c r="J215" s="9">
        <v>0.43</v>
      </c>
      <c r="K215" s="9">
        <v>10.1</v>
      </c>
      <c r="L215" s="9">
        <v>5</v>
      </c>
    </row>
    <row r="216" spans="1:12" x14ac:dyDescent="0.3">
      <c r="A216" s="9">
        <v>7.8</v>
      </c>
      <c r="B216" s="9">
        <v>0.73499999999999999</v>
      </c>
      <c r="C216" s="9">
        <v>0.08</v>
      </c>
      <c r="D216" s="9">
        <v>2.4</v>
      </c>
      <c r="E216" s="9">
        <v>9.1999999999999998E-2</v>
      </c>
      <c r="F216" s="9">
        <v>10</v>
      </c>
      <c r="G216" s="9">
        <v>41</v>
      </c>
      <c r="H216" s="9">
        <v>0.99739999999999995</v>
      </c>
      <c r="I216" s="9">
        <v>3.24</v>
      </c>
      <c r="J216" s="9">
        <v>0.71</v>
      </c>
      <c r="K216" s="9">
        <v>9.8000000000000007</v>
      </c>
      <c r="L216" s="9">
        <v>6</v>
      </c>
    </row>
    <row r="217" spans="1:12" x14ac:dyDescent="0.3">
      <c r="A217" s="9">
        <v>7</v>
      </c>
      <c r="B217" s="9">
        <v>0.49</v>
      </c>
      <c r="C217" s="9">
        <v>0.49</v>
      </c>
      <c r="D217" s="9">
        <v>5.6</v>
      </c>
      <c r="E217" s="9">
        <v>0.06</v>
      </c>
      <c r="F217" s="9">
        <v>26</v>
      </c>
      <c r="G217" s="9">
        <v>121</v>
      </c>
      <c r="H217" s="9">
        <v>0.99739999999999995</v>
      </c>
      <c r="I217" s="9">
        <v>3.34</v>
      </c>
      <c r="J217" s="9">
        <v>0.76</v>
      </c>
      <c r="K217" s="9">
        <v>10.5</v>
      </c>
      <c r="L217" s="9">
        <v>5</v>
      </c>
    </row>
    <row r="218" spans="1:12" x14ac:dyDescent="0.3">
      <c r="A218" s="9">
        <v>8.6999999999999993</v>
      </c>
      <c r="B218" s="9">
        <v>0.625</v>
      </c>
      <c r="C218" s="9">
        <v>0.16</v>
      </c>
      <c r="D218" s="9">
        <v>2</v>
      </c>
      <c r="E218" s="9">
        <v>0.10100000000000001</v>
      </c>
      <c r="F218" s="9">
        <v>13</v>
      </c>
      <c r="G218" s="9">
        <v>49</v>
      </c>
      <c r="H218" s="9">
        <v>0.99619999999999997</v>
      </c>
      <c r="I218" s="9">
        <v>3.14</v>
      </c>
      <c r="J218" s="9">
        <v>0.56999999999999995</v>
      </c>
      <c r="K218" s="9">
        <v>11</v>
      </c>
      <c r="L218" s="9">
        <v>5</v>
      </c>
    </row>
    <row r="219" spans="1:12" x14ac:dyDescent="0.3">
      <c r="A219" s="9">
        <v>8.1</v>
      </c>
      <c r="B219" s="9">
        <v>0.72499999999999998</v>
      </c>
      <c r="C219" s="9">
        <v>0.22</v>
      </c>
      <c r="D219" s="9">
        <v>2.2000000000000002</v>
      </c>
      <c r="E219" s="9">
        <v>7.1999999999999995E-2</v>
      </c>
      <c r="F219" s="9">
        <v>11</v>
      </c>
      <c r="G219" s="9">
        <v>41</v>
      </c>
      <c r="H219" s="9">
        <v>0.99670000000000003</v>
      </c>
      <c r="I219" s="9">
        <v>3.36</v>
      </c>
      <c r="J219" s="9">
        <v>0.55000000000000004</v>
      </c>
      <c r="K219" s="9">
        <v>9.1</v>
      </c>
      <c r="L219" s="9">
        <v>5</v>
      </c>
    </row>
    <row r="220" spans="1:12" x14ac:dyDescent="0.3">
      <c r="A220" s="9">
        <v>7.5</v>
      </c>
      <c r="B220" s="9">
        <v>0.49</v>
      </c>
      <c r="C220" s="9">
        <v>0.19</v>
      </c>
      <c r="D220" s="9">
        <v>1.9</v>
      </c>
      <c r="E220" s="9">
        <v>7.5999999999999998E-2</v>
      </c>
      <c r="F220" s="9">
        <v>10</v>
      </c>
      <c r="G220" s="9">
        <v>44</v>
      </c>
      <c r="H220" s="9">
        <v>0.99570000000000003</v>
      </c>
      <c r="I220" s="9">
        <v>3.39</v>
      </c>
      <c r="J220" s="9">
        <v>0.54</v>
      </c>
      <c r="K220" s="9">
        <v>9.6999999999999993</v>
      </c>
      <c r="L220" s="9">
        <v>5</v>
      </c>
    </row>
    <row r="221" spans="1:12" x14ac:dyDescent="0.3">
      <c r="A221" s="9">
        <v>7.8</v>
      </c>
      <c r="B221" s="9">
        <v>0.53</v>
      </c>
      <c r="C221" s="9">
        <v>0.33</v>
      </c>
      <c r="D221" s="9">
        <v>2.4</v>
      </c>
      <c r="E221" s="9">
        <v>0.08</v>
      </c>
      <c r="F221" s="9">
        <v>24</v>
      </c>
      <c r="G221" s="9">
        <v>144</v>
      </c>
      <c r="H221" s="9">
        <v>0.99655000000000005</v>
      </c>
      <c r="I221" s="9">
        <v>3.3</v>
      </c>
      <c r="J221" s="9">
        <v>0.6</v>
      </c>
      <c r="K221" s="9">
        <v>9.5</v>
      </c>
      <c r="L221" s="9">
        <v>5</v>
      </c>
    </row>
    <row r="222" spans="1:12" x14ac:dyDescent="0.3">
      <c r="A222" s="9">
        <v>7.8</v>
      </c>
      <c r="B222" s="9">
        <v>0.34</v>
      </c>
      <c r="C222" s="9">
        <v>0.37</v>
      </c>
      <c r="D222" s="9">
        <v>2</v>
      </c>
      <c r="E222" s="9">
        <v>8.2000000000000003E-2</v>
      </c>
      <c r="F222" s="9">
        <v>24</v>
      </c>
      <c r="G222" s="9">
        <v>58</v>
      </c>
      <c r="H222" s="9">
        <v>0.99639999999999995</v>
      </c>
      <c r="I222" s="9">
        <v>3.34</v>
      </c>
      <c r="J222" s="9">
        <v>0.59</v>
      </c>
      <c r="K222" s="9">
        <v>9.4</v>
      </c>
      <c r="L222" s="9">
        <v>6</v>
      </c>
    </row>
    <row r="223" spans="1:12" x14ac:dyDescent="0.3">
      <c r="A223" s="9">
        <v>7.4</v>
      </c>
      <c r="B223" s="9">
        <v>0.53</v>
      </c>
      <c r="C223" s="9">
        <v>0.26</v>
      </c>
      <c r="D223" s="9">
        <v>2</v>
      </c>
      <c r="E223" s="9">
        <v>0.10100000000000001</v>
      </c>
      <c r="F223" s="9">
        <v>16</v>
      </c>
      <c r="G223" s="9">
        <v>72</v>
      </c>
      <c r="H223" s="9">
        <v>0.99570000000000003</v>
      </c>
      <c r="I223" s="9">
        <v>3.15</v>
      </c>
      <c r="J223" s="9">
        <v>0.56999999999999995</v>
      </c>
      <c r="K223" s="9">
        <v>9.4</v>
      </c>
      <c r="L223" s="9">
        <v>5</v>
      </c>
    </row>
    <row r="224" spans="1:12" x14ac:dyDescent="0.3">
      <c r="A224" s="9">
        <v>6.8</v>
      </c>
      <c r="B224" s="9">
        <v>0.61</v>
      </c>
      <c r="C224" s="9">
        <v>0.04</v>
      </c>
      <c r="D224" s="9">
        <v>1.5</v>
      </c>
      <c r="E224" s="9">
        <v>5.7000000000000002E-2</v>
      </c>
      <c r="F224" s="9">
        <v>5</v>
      </c>
      <c r="G224" s="9">
        <v>10</v>
      </c>
      <c r="H224" s="9">
        <v>0.99524999999999997</v>
      </c>
      <c r="I224" s="9">
        <v>3.42</v>
      </c>
      <c r="J224" s="9">
        <v>0.6</v>
      </c>
      <c r="K224" s="9">
        <v>9.5</v>
      </c>
      <c r="L224" s="9">
        <v>5</v>
      </c>
    </row>
    <row r="225" spans="1:12" x14ac:dyDescent="0.3">
      <c r="A225" s="9">
        <v>8.6</v>
      </c>
      <c r="B225" s="9">
        <v>0.64500000000000002</v>
      </c>
      <c r="C225" s="9">
        <v>0.25</v>
      </c>
      <c r="D225" s="9">
        <v>2</v>
      </c>
      <c r="E225" s="9">
        <v>8.3000000000000004E-2</v>
      </c>
      <c r="F225" s="9">
        <v>8</v>
      </c>
      <c r="G225" s="9">
        <v>28</v>
      </c>
      <c r="H225" s="9">
        <v>0.99814999999999998</v>
      </c>
      <c r="I225" s="9">
        <v>3.28</v>
      </c>
      <c r="J225" s="9">
        <v>0.6</v>
      </c>
      <c r="K225" s="9">
        <v>10</v>
      </c>
      <c r="L225" s="9">
        <v>6</v>
      </c>
    </row>
    <row r="226" spans="1:12" x14ac:dyDescent="0.3">
      <c r="A226" s="9">
        <v>8.4</v>
      </c>
      <c r="B226" s="9">
        <v>0.63500000000000001</v>
      </c>
      <c r="C226" s="9">
        <v>0.36</v>
      </c>
      <c r="D226" s="9">
        <v>2</v>
      </c>
      <c r="E226" s="9">
        <v>8.8999999999999996E-2</v>
      </c>
      <c r="F226" s="9">
        <v>15</v>
      </c>
      <c r="G226" s="9">
        <v>55</v>
      </c>
      <c r="H226" s="9">
        <v>0.99744999999999995</v>
      </c>
      <c r="I226" s="9">
        <v>3.31</v>
      </c>
      <c r="J226" s="9">
        <v>0.56999999999999995</v>
      </c>
      <c r="K226" s="9">
        <v>10.4</v>
      </c>
      <c r="L226" s="9">
        <v>4</v>
      </c>
    </row>
    <row r="227" spans="1:12" x14ac:dyDescent="0.3">
      <c r="A227" s="9">
        <v>7.7</v>
      </c>
      <c r="B227" s="9">
        <v>0.43</v>
      </c>
      <c r="C227" s="9">
        <v>0.25</v>
      </c>
      <c r="D227" s="9">
        <v>2.6</v>
      </c>
      <c r="E227" s="9">
        <v>7.2999999999999995E-2</v>
      </c>
      <c r="F227" s="9">
        <v>29</v>
      </c>
      <c r="G227" s="9">
        <v>63</v>
      </c>
      <c r="H227" s="9">
        <v>0.99614999999999998</v>
      </c>
      <c r="I227" s="9">
        <v>3.37</v>
      </c>
      <c r="J227" s="9">
        <v>0.57999999999999996</v>
      </c>
      <c r="K227" s="9">
        <v>10.5</v>
      </c>
      <c r="L227" s="9">
        <v>6</v>
      </c>
    </row>
    <row r="228" spans="1:12" x14ac:dyDescent="0.3">
      <c r="A228" s="9">
        <v>8.9</v>
      </c>
      <c r="B228" s="9">
        <v>0.59</v>
      </c>
      <c r="C228" s="9">
        <v>0.5</v>
      </c>
      <c r="D228" s="9">
        <v>2</v>
      </c>
      <c r="E228" s="9">
        <v>0.33700000000000002</v>
      </c>
      <c r="F228" s="9">
        <v>27</v>
      </c>
      <c r="G228" s="9">
        <v>81</v>
      </c>
      <c r="H228" s="9">
        <v>0.99639999999999995</v>
      </c>
      <c r="I228" s="9">
        <v>3.04</v>
      </c>
      <c r="J228" s="9">
        <v>1.61</v>
      </c>
      <c r="K228" s="9">
        <v>9.5</v>
      </c>
      <c r="L228" s="9">
        <v>6</v>
      </c>
    </row>
    <row r="229" spans="1:12" x14ac:dyDescent="0.3">
      <c r="A229" s="9">
        <v>9</v>
      </c>
      <c r="B229" s="9">
        <v>0.82</v>
      </c>
      <c r="C229" s="9">
        <v>0.14000000000000001</v>
      </c>
      <c r="D229" s="9">
        <v>2.6</v>
      </c>
      <c r="E229" s="9">
        <v>8.8999999999999996E-2</v>
      </c>
      <c r="F229" s="9">
        <v>9</v>
      </c>
      <c r="G229" s="9">
        <v>23</v>
      </c>
      <c r="H229" s="9">
        <v>0.99839999999999995</v>
      </c>
      <c r="I229" s="9">
        <v>3.39</v>
      </c>
      <c r="J229" s="9">
        <v>0.63</v>
      </c>
      <c r="K229" s="9">
        <v>9.8000000000000007</v>
      </c>
      <c r="L229" s="9">
        <v>5</v>
      </c>
    </row>
    <row r="230" spans="1:12" x14ac:dyDescent="0.3">
      <c r="A230" s="9">
        <v>7.7</v>
      </c>
      <c r="B230" s="9">
        <v>0.43</v>
      </c>
      <c r="C230" s="9">
        <v>0.25</v>
      </c>
      <c r="D230" s="9">
        <v>2.6</v>
      </c>
      <c r="E230" s="9">
        <v>7.2999999999999995E-2</v>
      </c>
      <c r="F230" s="9">
        <v>29</v>
      </c>
      <c r="G230" s="9">
        <v>63</v>
      </c>
      <c r="H230" s="9">
        <v>0.99614999999999998</v>
      </c>
      <c r="I230" s="9">
        <v>3.37</v>
      </c>
      <c r="J230" s="9">
        <v>0.57999999999999996</v>
      </c>
      <c r="K230" s="9">
        <v>10.5</v>
      </c>
      <c r="L230" s="9">
        <v>6</v>
      </c>
    </row>
    <row r="231" spans="1:12" x14ac:dyDescent="0.3">
      <c r="A231" s="9">
        <v>6.9</v>
      </c>
      <c r="B231" s="9">
        <v>0.52</v>
      </c>
      <c r="C231" s="9">
        <v>0.25</v>
      </c>
      <c r="D231" s="9">
        <v>2.6</v>
      </c>
      <c r="E231" s="9">
        <v>8.1000000000000003E-2</v>
      </c>
      <c r="F231" s="9">
        <v>10</v>
      </c>
      <c r="G231" s="9">
        <v>37</v>
      </c>
      <c r="H231" s="9">
        <v>0.99685000000000001</v>
      </c>
      <c r="I231" s="9">
        <v>3.46</v>
      </c>
      <c r="J231" s="9">
        <v>0.5</v>
      </c>
      <c r="K231" s="9">
        <v>11</v>
      </c>
      <c r="L231" s="9">
        <v>5</v>
      </c>
    </row>
    <row r="232" spans="1:12" x14ac:dyDescent="0.3">
      <c r="A232" s="9">
        <v>5.2</v>
      </c>
      <c r="B232" s="9">
        <v>0.48</v>
      </c>
      <c r="C232" s="9">
        <v>0.04</v>
      </c>
      <c r="D232" s="9">
        <v>1.6</v>
      </c>
      <c r="E232" s="9">
        <v>5.3999999999999999E-2</v>
      </c>
      <c r="F232" s="9">
        <v>19</v>
      </c>
      <c r="G232" s="9">
        <v>106</v>
      </c>
      <c r="H232" s="9">
        <v>0.99270000000000003</v>
      </c>
      <c r="I232" s="9">
        <v>3.54</v>
      </c>
      <c r="J232" s="9">
        <v>0.62</v>
      </c>
      <c r="K232" s="9">
        <v>12.2</v>
      </c>
      <c r="L232" s="9">
        <v>7</v>
      </c>
    </row>
    <row r="233" spans="1:12" x14ac:dyDescent="0.3">
      <c r="A233" s="9">
        <v>8</v>
      </c>
      <c r="B233" s="9">
        <v>0.38</v>
      </c>
      <c r="C233" s="9">
        <v>0.06</v>
      </c>
      <c r="D233" s="9">
        <v>1.8</v>
      </c>
      <c r="E233" s="9">
        <v>7.8E-2</v>
      </c>
      <c r="F233" s="9">
        <v>12</v>
      </c>
      <c r="G233" s="9">
        <v>49</v>
      </c>
      <c r="H233" s="9">
        <v>0.99624999999999997</v>
      </c>
      <c r="I233" s="9">
        <v>3.37</v>
      </c>
      <c r="J233" s="9">
        <v>0.52</v>
      </c>
      <c r="K233" s="9">
        <v>9.9</v>
      </c>
      <c r="L233" s="9">
        <v>6</v>
      </c>
    </row>
    <row r="234" spans="1:12" x14ac:dyDescent="0.3">
      <c r="A234" s="9">
        <v>8.5</v>
      </c>
      <c r="B234" s="9">
        <v>0.37</v>
      </c>
      <c r="C234" s="9">
        <v>0.2</v>
      </c>
      <c r="D234" s="9">
        <v>2.8</v>
      </c>
      <c r="E234" s="9">
        <v>0.09</v>
      </c>
      <c r="F234" s="9">
        <v>18</v>
      </c>
      <c r="G234" s="9">
        <v>58</v>
      </c>
      <c r="H234" s="9">
        <v>0.998</v>
      </c>
      <c r="I234" s="9">
        <v>3.34</v>
      </c>
      <c r="J234" s="9">
        <v>0.7</v>
      </c>
      <c r="K234" s="9">
        <v>9.6</v>
      </c>
      <c r="L234" s="9">
        <v>6</v>
      </c>
    </row>
    <row r="235" spans="1:12" x14ac:dyDescent="0.3">
      <c r="A235" s="9">
        <v>6.9</v>
      </c>
      <c r="B235" s="9">
        <v>0.52</v>
      </c>
      <c r="C235" s="9">
        <v>0.25</v>
      </c>
      <c r="D235" s="9">
        <v>2.6</v>
      </c>
      <c r="E235" s="9">
        <v>8.1000000000000003E-2</v>
      </c>
      <c r="F235" s="9">
        <v>10</v>
      </c>
      <c r="G235" s="9">
        <v>37</v>
      </c>
      <c r="H235" s="9">
        <v>0.99685000000000001</v>
      </c>
      <c r="I235" s="9">
        <v>3.46</v>
      </c>
      <c r="J235" s="9">
        <v>0.5</v>
      </c>
      <c r="K235" s="9">
        <v>11</v>
      </c>
      <c r="L235" s="9">
        <v>5</v>
      </c>
    </row>
    <row r="236" spans="1:12" x14ac:dyDescent="0.3">
      <c r="A236" s="9">
        <v>8.1999999999999993</v>
      </c>
      <c r="B236" s="9">
        <v>1</v>
      </c>
      <c r="C236" s="9">
        <v>0.09</v>
      </c>
      <c r="D236" s="9">
        <v>2.2999999999999998</v>
      </c>
      <c r="E236" s="9">
        <v>6.5000000000000002E-2</v>
      </c>
      <c r="F236" s="9">
        <v>7</v>
      </c>
      <c r="G236" s="9">
        <v>37</v>
      </c>
      <c r="H236" s="9">
        <v>0.99685000000000001</v>
      </c>
      <c r="I236" s="9">
        <v>3.32</v>
      </c>
      <c r="J236" s="9">
        <v>0.55000000000000004</v>
      </c>
      <c r="K236" s="9">
        <v>9</v>
      </c>
      <c r="L236" s="9">
        <v>6</v>
      </c>
    </row>
    <row r="237" spans="1:12" x14ac:dyDescent="0.3">
      <c r="A237" s="9">
        <v>7.2</v>
      </c>
      <c r="B237" s="9">
        <v>0.63</v>
      </c>
      <c r="C237" s="9">
        <v>0</v>
      </c>
      <c r="D237" s="9">
        <v>1.9</v>
      </c>
      <c r="E237" s="9">
        <v>9.7000000000000003E-2</v>
      </c>
      <c r="F237" s="9">
        <v>14</v>
      </c>
      <c r="G237" s="9">
        <v>38</v>
      </c>
      <c r="H237" s="9">
        <v>0.99675000000000002</v>
      </c>
      <c r="I237" s="9">
        <v>3.37</v>
      </c>
      <c r="J237" s="9">
        <v>0.57999999999999996</v>
      </c>
      <c r="K237" s="9">
        <v>9</v>
      </c>
      <c r="L237" s="9">
        <v>6</v>
      </c>
    </row>
    <row r="238" spans="1:12" x14ac:dyDescent="0.3">
      <c r="A238" s="9">
        <v>7.2</v>
      </c>
      <c r="B238" s="9">
        <v>0.63</v>
      </c>
      <c r="C238" s="9">
        <v>0</v>
      </c>
      <c r="D238" s="9">
        <v>1.9</v>
      </c>
      <c r="E238" s="9">
        <v>9.7000000000000003E-2</v>
      </c>
      <c r="F238" s="9">
        <v>14</v>
      </c>
      <c r="G238" s="9">
        <v>38</v>
      </c>
      <c r="H238" s="9">
        <v>0.99675000000000002</v>
      </c>
      <c r="I238" s="9">
        <v>3.37</v>
      </c>
      <c r="J238" s="9">
        <v>0.57999999999999996</v>
      </c>
      <c r="K238" s="9">
        <v>9</v>
      </c>
      <c r="L238" s="9">
        <v>6</v>
      </c>
    </row>
    <row r="239" spans="1:12" x14ac:dyDescent="0.3">
      <c r="A239" s="9">
        <v>7.2</v>
      </c>
      <c r="B239" s="9">
        <v>0.64500000000000002</v>
      </c>
      <c r="C239" s="9">
        <v>0</v>
      </c>
      <c r="D239" s="9">
        <v>1.9</v>
      </c>
      <c r="E239" s="9">
        <v>9.7000000000000003E-2</v>
      </c>
      <c r="F239" s="9">
        <v>15</v>
      </c>
      <c r="G239" s="9">
        <v>39</v>
      </c>
      <c r="H239" s="9">
        <v>0.99675000000000002</v>
      </c>
      <c r="I239" s="9">
        <v>3.37</v>
      </c>
      <c r="J239" s="9">
        <v>0.57999999999999996</v>
      </c>
      <c r="K239" s="9">
        <v>9.1999999999999993</v>
      </c>
      <c r="L239" s="9">
        <v>6</v>
      </c>
    </row>
    <row r="240" spans="1:12" x14ac:dyDescent="0.3">
      <c r="A240" s="9">
        <v>7.2</v>
      </c>
      <c r="B240" s="9">
        <v>0.63</v>
      </c>
      <c r="C240" s="9">
        <v>0</v>
      </c>
      <c r="D240" s="9">
        <v>1.9</v>
      </c>
      <c r="E240" s="9">
        <v>9.7000000000000003E-2</v>
      </c>
      <c r="F240" s="9">
        <v>14</v>
      </c>
      <c r="G240" s="9">
        <v>38</v>
      </c>
      <c r="H240" s="9">
        <v>0.99675000000000002</v>
      </c>
      <c r="I240" s="9">
        <v>3.37</v>
      </c>
      <c r="J240" s="9">
        <v>0.57999999999999996</v>
      </c>
      <c r="K240" s="9">
        <v>9</v>
      </c>
      <c r="L240" s="9">
        <v>6</v>
      </c>
    </row>
    <row r="241" spans="1:12" x14ac:dyDescent="0.3">
      <c r="A241" s="9">
        <v>8.1999999999999993</v>
      </c>
      <c r="B241" s="9">
        <v>1</v>
      </c>
      <c r="C241" s="9">
        <v>0.09</v>
      </c>
      <c r="D241" s="9">
        <v>2.2999999999999998</v>
      </c>
      <c r="E241" s="9">
        <v>6.5000000000000002E-2</v>
      </c>
      <c r="F241" s="9">
        <v>7</v>
      </c>
      <c r="G241" s="9">
        <v>37</v>
      </c>
      <c r="H241" s="9">
        <v>0.99685000000000001</v>
      </c>
      <c r="I241" s="9">
        <v>3.32</v>
      </c>
      <c r="J241" s="9">
        <v>0.55000000000000004</v>
      </c>
      <c r="K241" s="9">
        <v>9</v>
      </c>
      <c r="L241" s="9">
        <v>6</v>
      </c>
    </row>
    <row r="242" spans="1:12" x14ac:dyDescent="0.3">
      <c r="A242" s="9">
        <v>8.9</v>
      </c>
      <c r="B242" s="9">
        <v>0.63500000000000001</v>
      </c>
      <c r="C242" s="9">
        <v>0.37</v>
      </c>
      <c r="D242" s="9">
        <v>1.7</v>
      </c>
      <c r="E242" s="9">
        <v>0.26300000000000001</v>
      </c>
      <c r="F242" s="9">
        <v>5</v>
      </c>
      <c r="G242" s="9">
        <v>62</v>
      </c>
      <c r="H242" s="9">
        <v>0.99709999999999999</v>
      </c>
      <c r="I242" s="9">
        <v>3</v>
      </c>
      <c r="J242" s="9">
        <v>1.0900000000000001</v>
      </c>
      <c r="K242" s="9">
        <v>9.3000000000000007</v>
      </c>
      <c r="L242" s="9">
        <v>5</v>
      </c>
    </row>
    <row r="243" spans="1:12" x14ac:dyDescent="0.3">
      <c r="A243" s="9">
        <v>12</v>
      </c>
      <c r="B243" s="9">
        <v>0.38</v>
      </c>
      <c r="C243" s="9">
        <v>0.56000000000000005</v>
      </c>
      <c r="D243" s="9">
        <v>2.1</v>
      </c>
      <c r="E243" s="9">
        <v>9.2999999999999999E-2</v>
      </c>
      <c r="F243" s="9">
        <v>6</v>
      </c>
      <c r="G243" s="9">
        <v>24</v>
      </c>
      <c r="H243" s="9">
        <v>0.99924999999999997</v>
      </c>
      <c r="I243" s="9">
        <v>3.14</v>
      </c>
      <c r="J243" s="9">
        <v>0.71</v>
      </c>
      <c r="K243" s="9">
        <v>10.9</v>
      </c>
      <c r="L243" s="9">
        <v>6</v>
      </c>
    </row>
    <row r="244" spans="1:12" x14ac:dyDescent="0.3">
      <c r="A244" s="9">
        <v>7.7</v>
      </c>
      <c r="B244" s="9">
        <v>0.57999999999999996</v>
      </c>
      <c r="C244" s="9">
        <v>0.1</v>
      </c>
      <c r="D244" s="9">
        <v>1.8</v>
      </c>
      <c r="E244" s="9">
        <v>0.10199999999999999</v>
      </c>
      <c r="F244" s="9">
        <v>28</v>
      </c>
      <c r="G244" s="9">
        <v>109</v>
      </c>
      <c r="H244" s="9">
        <v>0.99565000000000003</v>
      </c>
      <c r="I244" s="9">
        <v>3.08</v>
      </c>
      <c r="J244" s="9">
        <v>0.49</v>
      </c>
      <c r="K244" s="9">
        <v>9.8000000000000007</v>
      </c>
      <c r="L244" s="9">
        <v>6</v>
      </c>
    </row>
    <row r="245" spans="1:12" x14ac:dyDescent="0.3">
      <c r="A245" s="9">
        <v>15</v>
      </c>
      <c r="B245" s="9">
        <v>0.21</v>
      </c>
      <c r="C245" s="9">
        <v>0.44</v>
      </c>
      <c r="D245" s="9">
        <v>2.2000000000000002</v>
      </c>
      <c r="E245" s="9">
        <v>7.4999999999999997E-2</v>
      </c>
      <c r="F245" s="9">
        <v>10</v>
      </c>
      <c r="G245" s="9">
        <v>24</v>
      </c>
      <c r="H245" s="9">
        <v>1.0000500000000001</v>
      </c>
      <c r="I245" s="9">
        <v>3.07</v>
      </c>
      <c r="J245" s="9">
        <v>0.84</v>
      </c>
      <c r="K245" s="9">
        <v>9.1999999999999993</v>
      </c>
      <c r="L245" s="9">
        <v>7</v>
      </c>
    </row>
    <row r="246" spans="1:12" x14ac:dyDescent="0.3">
      <c r="A246" s="9">
        <v>15</v>
      </c>
      <c r="B246" s="9">
        <v>0.21</v>
      </c>
      <c r="C246" s="9">
        <v>0.44</v>
      </c>
      <c r="D246" s="9">
        <v>2.2000000000000002</v>
      </c>
      <c r="E246" s="9">
        <v>7.4999999999999997E-2</v>
      </c>
      <c r="F246" s="9">
        <v>10</v>
      </c>
      <c r="G246" s="9">
        <v>24</v>
      </c>
      <c r="H246" s="9">
        <v>1.0000500000000001</v>
      </c>
      <c r="I246" s="9">
        <v>3.07</v>
      </c>
      <c r="J246" s="9">
        <v>0.84</v>
      </c>
      <c r="K246" s="9">
        <v>9.1999999999999993</v>
      </c>
      <c r="L246" s="9">
        <v>7</v>
      </c>
    </row>
    <row r="247" spans="1:12" x14ac:dyDescent="0.3">
      <c r="A247" s="9">
        <v>7.3</v>
      </c>
      <c r="B247" s="9">
        <v>0.66</v>
      </c>
      <c r="C247" s="9">
        <v>0</v>
      </c>
      <c r="D247" s="9">
        <v>2</v>
      </c>
      <c r="E247" s="9">
        <v>8.4000000000000005E-2</v>
      </c>
      <c r="F247" s="9">
        <v>6</v>
      </c>
      <c r="G247" s="9">
        <v>23</v>
      </c>
      <c r="H247" s="9">
        <v>0.99829999999999997</v>
      </c>
      <c r="I247" s="9">
        <v>3.61</v>
      </c>
      <c r="J247" s="9">
        <v>0.96</v>
      </c>
      <c r="K247" s="9">
        <v>9.9</v>
      </c>
      <c r="L247" s="9">
        <v>6</v>
      </c>
    </row>
    <row r="248" spans="1:12" x14ac:dyDescent="0.3">
      <c r="A248" s="9">
        <v>7.1</v>
      </c>
      <c r="B248" s="9">
        <v>0.68</v>
      </c>
      <c r="C248" s="9">
        <v>7.0000000000000007E-2</v>
      </c>
      <c r="D248" s="9">
        <v>1.9</v>
      </c>
      <c r="E248" s="9">
        <v>7.4999999999999997E-2</v>
      </c>
      <c r="F248" s="9">
        <v>16</v>
      </c>
      <c r="G248" s="9">
        <v>51</v>
      </c>
      <c r="H248" s="9">
        <v>0.99685000000000001</v>
      </c>
      <c r="I248" s="9">
        <v>3.38</v>
      </c>
      <c r="J248" s="9">
        <v>0.52</v>
      </c>
      <c r="K248" s="9">
        <v>9.5</v>
      </c>
      <c r="L248" s="9">
        <v>5</v>
      </c>
    </row>
    <row r="249" spans="1:12" x14ac:dyDescent="0.3">
      <c r="A249" s="9">
        <v>8.1999999999999993</v>
      </c>
      <c r="B249" s="9">
        <v>0.6</v>
      </c>
      <c r="C249" s="9">
        <v>0.17</v>
      </c>
      <c r="D249" s="9">
        <v>2.2999999999999998</v>
      </c>
      <c r="E249" s="9">
        <v>7.1999999999999995E-2</v>
      </c>
      <c r="F249" s="9">
        <v>11</v>
      </c>
      <c r="G249" s="9">
        <v>73</v>
      </c>
      <c r="H249" s="9">
        <v>0.99629999999999996</v>
      </c>
      <c r="I249" s="9">
        <v>3.2</v>
      </c>
      <c r="J249" s="9">
        <v>0.45</v>
      </c>
      <c r="K249" s="9">
        <v>9.3000000000000007</v>
      </c>
      <c r="L249" s="9">
        <v>5</v>
      </c>
    </row>
    <row r="250" spans="1:12" x14ac:dyDescent="0.3">
      <c r="A250" s="9">
        <v>7.7</v>
      </c>
      <c r="B250" s="9">
        <v>0.53</v>
      </c>
      <c r="C250" s="9">
        <v>0.06</v>
      </c>
      <c r="D250" s="9">
        <v>1.7</v>
      </c>
      <c r="E250" s="9">
        <v>7.3999999999999996E-2</v>
      </c>
      <c r="F250" s="9">
        <v>9</v>
      </c>
      <c r="G250" s="9">
        <v>39</v>
      </c>
      <c r="H250" s="9">
        <v>0.99614999999999998</v>
      </c>
      <c r="I250" s="9">
        <v>3.35</v>
      </c>
      <c r="J250" s="9">
        <v>0.48</v>
      </c>
      <c r="K250" s="9">
        <v>9.8000000000000007</v>
      </c>
      <c r="L250" s="9">
        <v>6</v>
      </c>
    </row>
    <row r="251" spans="1:12" x14ac:dyDescent="0.3">
      <c r="A251" s="9">
        <v>7.3</v>
      </c>
      <c r="B251" s="9">
        <v>0.66</v>
      </c>
      <c r="C251" s="9">
        <v>0</v>
      </c>
      <c r="D251" s="9">
        <v>2</v>
      </c>
      <c r="E251" s="9">
        <v>8.4000000000000005E-2</v>
      </c>
      <c r="F251" s="9">
        <v>6</v>
      </c>
      <c r="G251" s="9">
        <v>23</v>
      </c>
      <c r="H251" s="9">
        <v>0.99829999999999997</v>
      </c>
      <c r="I251" s="9">
        <v>3.61</v>
      </c>
      <c r="J251" s="9">
        <v>0.96</v>
      </c>
      <c r="K251" s="9">
        <v>9.9</v>
      </c>
      <c r="L251" s="9">
        <v>6</v>
      </c>
    </row>
    <row r="252" spans="1:12" x14ac:dyDescent="0.3">
      <c r="A252" s="9">
        <v>10.8</v>
      </c>
      <c r="B252" s="9">
        <v>0.32</v>
      </c>
      <c r="C252" s="9">
        <v>0.44</v>
      </c>
      <c r="D252" s="9">
        <v>1.6</v>
      </c>
      <c r="E252" s="9">
        <v>6.3E-2</v>
      </c>
      <c r="F252" s="9">
        <v>16</v>
      </c>
      <c r="G252" s="9">
        <v>37</v>
      </c>
      <c r="H252" s="9">
        <v>0.99850000000000005</v>
      </c>
      <c r="I252" s="9">
        <v>3.22</v>
      </c>
      <c r="J252" s="9">
        <v>0.78</v>
      </c>
      <c r="K252" s="9">
        <v>10</v>
      </c>
      <c r="L252" s="9">
        <v>6</v>
      </c>
    </row>
    <row r="253" spans="1:12" x14ac:dyDescent="0.3">
      <c r="A253" s="9">
        <v>7.1</v>
      </c>
      <c r="B253" s="9">
        <v>0.6</v>
      </c>
      <c r="C253" s="9">
        <v>0</v>
      </c>
      <c r="D253" s="9">
        <v>1.8</v>
      </c>
      <c r="E253" s="9">
        <v>7.3999999999999996E-2</v>
      </c>
      <c r="F253" s="9">
        <v>16</v>
      </c>
      <c r="G253" s="9">
        <v>34</v>
      </c>
      <c r="H253" s="9">
        <v>0.99719999999999998</v>
      </c>
      <c r="I253" s="9">
        <v>3.47</v>
      </c>
      <c r="J253" s="9">
        <v>0.7</v>
      </c>
      <c r="K253" s="9">
        <v>9.9</v>
      </c>
      <c r="L253" s="9">
        <v>6</v>
      </c>
    </row>
    <row r="254" spans="1:12" x14ac:dyDescent="0.3">
      <c r="A254" s="9">
        <v>11.1</v>
      </c>
      <c r="B254" s="9">
        <v>0.35</v>
      </c>
      <c r="C254" s="9">
        <v>0.48</v>
      </c>
      <c r="D254" s="9">
        <v>3.1</v>
      </c>
      <c r="E254" s="9">
        <v>0.09</v>
      </c>
      <c r="F254" s="9">
        <v>5</v>
      </c>
      <c r="G254" s="9">
        <v>21</v>
      </c>
      <c r="H254" s="9">
        <v>0.99860000000000004</v>
      </c>
      <c r="I254" s="9">
        <v>3.17</v>
      </c>
      <c r="J254" s="9">
        <v>0.53</v>
      </c>
      <c r="K254" s="9">
        <v>10.5</v>
      </c>
      <c r="L254" s="9">
        <v>5</v>
      </c>
    </row>
    <row r="255" spans="1:12" x14ac:dyDescent="0.3">
      <c r="A255" s="9">
        <v>7.7</v>
      </c>
      <c r="B255" s="9">
        <v>0.77500000000000002</v>
      </c>
      <c r="C255" s="9">
        <v>0.42</v>
      </c>
      <c r="D255" s="9">
        <v>1.9</v>
      </c>
      <c r="E255" s="9">
        <v>9.1999999999999998E-2</v>
      </c>
      <c r="F255" s="9">
        <v>8</v>
      </c>
      <c r="G255" s="9">
        <v>86</v>
      </c>
      <c r="H255" s="9">
        <v>0.99590000000000001</v>
      </c>
      <c r="I255" s="9">
        <v>3.23</v>
      </c>
      <c r="J255" s="9">
        <v>0.59</v>
      </c>
      <c r="K255" s="9">
        <v>9.5</v>
      </c>
      <c r="L255" s="9">
        <v>5</v>
      </c>
    </row>
    <row r="256" spans="1:12" x14ac:dyDescent="0.3">
      <c r="A256" s="9">
        <v>7.1</v>
      </c>
      <c r="B256" s="9">
        <v>0.6</v>
      </c>
      <c r="C256" s="9">
        <v>0</v>
      </c>
      <c r="D256" s="9">
        <v>1.8</v>
      </c>
      <c r="E256" s="9">
        <v>7.3999999999999996E-2</v>
      </c>
      <c r="F256" s="9">
        <v>16</v>
      </c>
      <c r="G256" s="9">
        <v>34</v>
      </c>
      <c r="H256" s="9">
        <v>0.99719999999999998</v>
      </c>
      <c r="I256" s="9">
        <v>3.47</v>
      </c>
      <c r="J256" s="9">
        <v>0.7</v>
      </c>
      <c r="K256" s="9">
        <v>9.9</v>
      </c>
      <c r="L256" s="9">
        <v>6</v>
      </c>
    </row>
    <row r="257" spans="1:12" x14ac:dyDescent="0.3">
      <c r="A257" s="9">
        <v>8</v>
      </c>
      <c r="B257" s="9">
        <v>0.56999999999999995</v>
      </c>
      <c r="C257" s="9">
        <v>0.23</v>
      </c>
      <c r="D257" s="9">
        <v>3.2</v>
      </c>
      <c r="E257" s="9">
        <v>7.2999999999999995E-2</v>
      </c>
      <c r="F257" s="9">
        <v>17</v>
      </c>
      <c r="G257" s="9">
        <v>119</v>
      </c>
      <c r="H257" s="9">
        <v>0.99675000000000002</v>
      </c>
      <c r="I257" s="9">
        <v>3.26</v>
      </c>
      <c r="J257" s="9">
        <v>0.56999999999999995</v>
      </c>
      <c r="K257" s="9">
        <v>9.3000000000000007</v>
      </c>
      <c r="L257" s="9">
        <v>5</v>
      </c>
    </row>
    <row r="258" spans="1:12" x14ac:dyDescent="0.3">
      <c r="A258" s="9">
        <v>9.4</v>
      </c>
      <c r="B258" s="9">
        <v>0.34</v>
      </c>
      <c r="C258" s="9">
        <v>0.37</v>
      </c>
      <c r="D258" s="9">
        <v>2.2000000000000002</v>
      </c>
      <c r="E258" s="9">
        <v>7.4999999999999997E-2</v>
      </c>
      <c r="F258" s="9">
        <v>5</v>
      </c>
      <c r="G258" s="9">
        <v>13</v>
      </c>
      <c r="H258" s="9">
        <v>0.998</v>
      </c>
      <c r="I258" s="9">
        <v>3.22</v>
      </c>
      <c r="J258" s="9">
        <v>0.62</v>
      </c>
      <c r="K258" s="9">
        <v>9.1999999999999993</v>
      </c>
      <c r="L258" s="9">
        <v>5</v>
      </c>
    </row>
    <row r="259" spans="1:12" x14ac:dyDescent="0.3">
      <c r="A259" s="9">
        <v>6.6</v>
      </c>
      <c r="B259" s="9">
        <v>0.69499999999999995</v>
      </c>
      <c r="C259" s="9">
        <v>0</v>
      </c>
      <c r="D259" s="9">
        <v>2.1</v>
      </c>
      <c r="E259" s="9">
        <v>7.4999999999999997E-2</v>
      </c>
      <c r="F259" s="9">
        <v>12</v>
      </c>
      <c r="G259" s="9">
        <v>56</v>
      </c>
      <c r="H259" s="9">
        <v>0.99680000000000002</v>
      </c>
      <c r="I259" s="9">
        <v>3.49</v>
      </c>
      <c r="J259" s="9">
        <v>0.67</v>
      </c>
      <c r="K259" s="9">
        <v>9.1999999999999993</v>
      </c>
      <c r="L259" s="9">
        <v>5</v>
      </c>
    </row>
    <row r="260" spans="1:12" x14ac:dyDescent="0.3">
      <c r="A260" s="9">
        <v>7.7</v>
      </c>
      <c r="B260" s="9">
        <v>0.41</v>
      </c>
      <c r="C260" s="9">
        <v>0.76</v>
      </c>
      <c r="D260" s="9">
        <v>1.8</v>
      </c>
      <c r="E260" s="9">
        <v>0.61099999999999999</v>
      </c>
      <c r="F260" s="9">
        <v>8</v>
      </c>
      <c r="G260" s="9">
        <v>45</v>
      </c>
      <c r="H260" s="9">
        <v>0.99680000000000002</v>
      </c>
      <c r="I260" s="9">
        <v>3.06</v>
      </c>
      <c r="J260" s="9">
        <v>1.26</v>
      </c>
      <c r="K260" s="9">
        <v>9.4</v>
      </c>
      <c r="L260" s="9">
        <v>5</v>
      </c>
    </row>
    <row r="261" spans="1:12" x14ac:dyDescent="0.3">
      <c r="A261" s="9">
        <v>10</v>
      </c>
      <c r="B261" s="9">
        <v>0.31</v>
      </c>
      <c r="C261" s="9">
        <v>0.47</v>
      </c>
      <c r="D261" s="9">
        <v>2.6</v>
      </c>
      <c r="E261" s="9">
        <v>8.5000000000000006E-2</v>
      </c>
      <c r="F261" s="9">
        <v>14</v>
      </c>
      <c r="G261" s="9">
        <v>33</v>
      </c>
      <c r="H261" s="9">
        <v>0.99965000000000004</v>
      </c>
      <c r="I261" s="9">
        <v>3.36</v>
      </c>
      <c r="J261" s="9">
        <v>0.8</v>
      </c>
      <c r="K261" s="9">
        <v>10.5</v>
      </c>
      <c r="L261" s="9">
        <v>7</v>
      </c>
    </row>
    <row r="262" spans="1:12" x14ac:dyDescent="0.3">
      <c r="A262" s="9">
        <v>7.9</v>
      </c>
      <c r="B262" s="9">
        <v>0.33</v>
      </c>
      <c r="C262" s="9">
        <v>0.23</v>
      </c>
      <c r="D262" s="9">
        <v>1.7</v>
      </c>
      <c r="E262" s="9">
        <v>7.6999999999999999E-2</v>
      </c>
      <c r="F262" s="9">
        <v>18</v>
      </c>
      <c r="G262" s="9">
        <v>45</v>
      </c>
      <c r="H262" s="9">
        <v>0.99624999999999997</v>
      </c>
      <c r="I262" s="9">
        <v>3.29</v>
      </c>
      <c r="J262" s="9">
        <v>0.65</v>
      </c>
      <c r="K262" s="9">
        <v>9.3000000000000007</v>
      </c>
      <c r="L262" s="9">
        <v>5</v>
      </c>
    </row>
    <row r="263" spans="1:12" x14ac:dyDescent="0.3">
      <c r="A263" s="9">
        <v>7</v>
      </c>
      <c r="B263" s="9">
        <v>0.97499999999999998</v>
      </c>
      <c r="C263" s="9">
        <v>0.04</v>
      </c>
      <c r="D263" s="9">
        <v>2</v>
      </c>
      <c r="E263" s="9">
        <v>8.6999999999999994E-2</v>
      </c>
      <c r="F263" s="9">
        <v>12</v>
      </c>
      <c r="G263" s="9">
        <v>67</v>
      </c>
      <c r="H263" s="9">
        <v>0.99565000000000003</v>
      </c>
      <c r="I263" s="9">
        <v>3.35</v>
      </c>
      <c r="J263" s="9">
        <v>0.6</v>
      </c>
      <c r="K263" s="9">
        <v>9.4</v>
      </c>
      <c r="L263" s="9">
        <v>4</v>
      </c>
    </row>
    <row r="264" spans="1:12" x14ac:dyDescent="0.3">
      <c r="A264" s="9">
        <v>8</v>
      </c>
      <c r="B264" s="9">
        <v>0.52</v>
      </c>
      <c r="C264" s="9">
        <v>0.03</v>
      </c>
      <c r="D264" s="9">
        <v>1.7</v>
      </c>
      <c r="E264" s="9">
        <v>7.0000000000000007E-2</v>
      </c>
      <c r="F264" s="9">
        <v>10</v>
      </c>
      <c r="G264" s="9">
        <v>35</v>
      </c>
      <c r="H264" s="9">
        <v>0.99575000000000002</v>
      </c>
      <c r="I264" s="9">
        <v>3.34</v>
      </c>
      <c r="J264" s="9">
        <v>0.56999999999999995</v>
      </c>
      <c r="K264" s="9">
        <v>10</v>
      </c>
      <c r="L264" s="9">
        <v>5</v>
      </c>
    </row>
    <row r="265" spans="1:12" x14ac:dyDescent="0.3">
      <c r="A265" s="9">
        <v>7.9</v>
      </c>
      <c r="B265" s="9">
        <v>0.37</v>
      </c>
      <c r="C265" s="9">
        <v>0.23</v>
      </c>
      <c r="D265" s="9">
        <v>1.8</v>
      </c>
      <c r="E265" s="9">
        <v>7.6999999999999999E-2</v>
      </c>
      <c r="F265" s="9">
        <v>23</v>
      </c>
      <c r="G265" s="9">
        <v>49</v>
      </c>
      <c r="H265" s="9">
        <v>0.99629999999999996</v>
      </c>
      <c r="I265" s="9">
        <v>3.28</v>
      </c>
      <c r="J265" s="9">
        <v>0.67</v>
      </c>
      <c r="K265" s="9">
        <v>9.3000000000000007</v>
      </c>
      <c r="L265" s="9">
        <v>5</v>
      </c>
    </row>
    <row r="266" spans="1:12" x14ac:dyDescent="0.3">
      <c r="A266" s="9">
        <v>12.5</v>
      </c>
      <c r="B266" s="9">
        <v>0.56000000000000005</v>
      </c>
      <c r="C266" s="9">
        <v>0.49</v>
      </c>
      <c r="D266" s="9">
        <v>2.4</v>
      </c>
      <c r="E266" s="9">
        <v>6.4000000000000001E-2</v>
      </c>
      <c r="F266" s="9">
        <v>5</v>
      </c>
      <c r="G266" s="9">
        <v>27</v>
      </c>
      <c r="H266" s="9">
        <v>0.99990000000000001</v>
      </c>
      <c r="I266" s="9">
        <v>3.08</v>
      </c>
      <c r="J266" s="9">
        <v>0.87</v>
      </c>
      <c r="K266" s="9">
        <v>10.9</v>
      </c>
      <c r="L266" s="9">
        <v>5</v>
      </c>
    </row>
    <row r="267" spans="1:12" x14ac:dyDescent="0.3">
      <c r="A267" s="9">
        <v>11.8</v>
      </c>
      <c r="B267" s="9">
        <v>0.26</v>
      </c>
      <c r="C267" s="9">
        <v>0.52</v>
      </c>
      <c r="D267" s="9">
        <v>1.8</v>
      </c>
      <c r="E267" s="9">
        <v>7.0999999999999994E-2</v>
      </c>
      <c r="F267" s="9">
        <v>6</v>
      </c>
      <c r="G267" s="9">
        <v>10</v>
      </c>
      <c r="H267" s="9">
        <v>0.99680000000000002</v>
      </c>
      <c r="I267" s="9">
        <v>3.2</v>
      </c>
      <c r="J267" s="9">
        <v>0.72</v>
      </c>
      <c r="K267" s="9">
        <v>10.199999999999999</v>
      </c>
      <c r="L267" s="9">
        <v>7</v>
      </c>
    </row>
    <row r="268" spans="1:12" x14ac:dyDescent="0.3">
      <c r="A268" s="9">
        <v>8.1</v>
      </c>
      <c r="B268" s="9">
        <v>0.87</v>
      </c>
      <c r="C268" s="9">
        <v>0</v>
      </c>
      <c r="D268" s="9">
        <v>3.3</v>
      </c>
      <c r="E268" s="9">
        <v>9.6000000000000002E-2</v>
      </c>
      <c r="F268" s="9">
        <v>26</v>
      </c>
      <c r="G268" s="9">
        <v>61</v>
      </c>
      <c r="H268" s="9">
        <v>1.0002500000000001</v>
      </c>
      <c r="I268" s="9">
        <v>3.6</v>
      </c>
      <c r="J268" s="9">
        <v>0.72</v>
      </c>
      <c r="K268" s="9">
        <v>9.8000000000000007</v>
      </c>
      <c r="L268" s="9">
        <v>4</v>
      </c>
    </row>
    <row r="269" spans="1:12" x14ac:dyDescent="0.3">
      <c r="A269" s="9">
        <v>7.9</v>
      </c>
      <c r="B269" s="9">
        <v>0.35</v>
      </c>
      <c r="C269" s="9">
        <v>0.46</v>
      </c>
      <c r="D269" s="9">
        <v>3.6</v>
      </c>
      <c r="E269" s="9">
        <v>7.8E-2</v>
      </c>
      <c r="F269" s="9">
        <v>15</v>
      </c>
      <c r="G269" s="9">
        <v>37</v>
      </c>
      <c r="H269" s="9">
        <v>0.99729999999999996</v>
      </c>
      <c r="I269" s="9">
        <v>3.35</v>
      </c>
      <c r="J269" s="9">
        <v>0.86</v>
      </c>
      <c r="K269" s="9">
        <v>12.8</v>
      </c>
      <c r="L269" s="9">
        <v>8</v>
      </c>
    </row>
    <row r="270" spans="1:12" x14ac:dyDescent="0.3">
      <c r="A270" s="9">
        <v>6.9</v>
      </c>
      <c r="B270" s="9">
        <v>0.54</v>
      </c>
      <c r="C270" s="9">
        <v>0.04</v>
      </c>
      <c r="D270" s="9">
        <v>3</v>
      </c>
      <c r="E270" s="9">
        <v>7.6999999999999999E-2</v>
      </c>
      <c r="F270" s="9">
        <v>7</v>
      </c>
      <c r="G270" s="9">
        <v>27</v>
      </c>
      <c r="H270" s="9">
        <v>0.99870000000000003</v>
      </c>
      <c r="I270" s="9">
        <v>3.69</v>
      </c>
      <c r="J270" s="9">
        <v>0.91</v>
      </c>
      <c r="K270" s="9">
        <v>9.4</v>
      </c>
      <c r="L270" s="9">
        <v>6</v>
      </c>
    </row>
    <row r="271" spans="1:12" x14ac:dyDescent="0.3">
      <c r="A271" s="9">
        <v>11.5</v>
      </c>
      <c r="B271" s="9">
        <v>0.18</v>
      </c>
      <c r="C271" s="9">
        <v>0.51</v>
      </c>
      <c r="D271" s="9">
        <v>4</v>
      </c>
      <c r="E271" s="9">
        <v>0.104</v>
      </c>
      <c r="F271" s="9">
        <v>4</v>
      </c>
      <c r="G271" s="9">
        <v>23</v>
      </c>
      <c r="H271" s="9">
        <v>0.99960000000000004</v>
      </c>
      <c r="I271" s="9">
        <v>3.28</v>
      </c>
      <c r="J271" s="9">
        <v>0.97</v>
      </c>
      <c r="K271" s="9">
        <v>10.1</v>
      </c>
      <c r="L271" s="9">
        <v>6</v>
      </c>
    </row>
    <row r="272" spans="1:12" x14ac:dyDescent="0.3">
      <c r="A272" s="9">
        <v>7.9</v>
      </c>
      <c r="B272" s="9">
        <v>0.54500000000000004</v>
      </c>
      <c r="C272" s="9">
        <v>0.06</v>
      </c>
      <c r="D272" s="9">
        <v>4</v>
      </c>
      <c r="E272" s="9">
        <v>8.6999999999999994E-2</v>
      </c>
      <c r="F272" s="9">
        <v>27</v>
      </c>
      <c r="G272" s="9">
        <v>61</v>
      </c>
      <c r="H272" s="9">
        <v>0.99650000000000005</v>
      </c>
      <c r="I272" s="9">
        <v>3.36</v>
      </c>
      <c r="J272" s="9">
        <v>0.67</v>
      </c>
      <c r="K272" s="9">
        <v>10.7</v>
      </c>
      <c r="L272" s="9">
        <v>6</v>
      </c>
    </row>
    <row r="273" spans="1:12" x14ac:dyDescent="0.3">
      <c r="A273" s="9">
        <v>11.5</v>
      </c>
      <c r="B273" s="9">
        <v>0.18</v>
      </c>
      <c r="C273" s="9">
        <v>0.51</v>
      </c>
      <c r="D273" s="9">
        <v>4</v>
      </c>
      <c r="E273" s="9">
        <v>0.104</v>
      </c>
      <c r="F273" s="9">
        <v>4</v>
      </c>
      <c r="G273" s="9">
        <v>23</v>
      </c>
      <c r="H273" s="9">
        <v>0.99960000000000004</v>
      </c>
      <c r="I273" s="9">
        <v>3.28</v>
      </c>
      <c r="J273" s="9">
        <v>0.97</v>
      </c>
      <c r="K273" s="9">
        <v>10.1</v>
      </c>
      <c r="L273" s="9">
        <v>6</v>
      </c>
    </row>
    <row r="274" spans="1:12" x14ac:dyDescent="0.3">
      <c r="A274" s="9">
        <v>10.9</v>
      </c>
      <c r="B274" s="9">
        <v>0.37</v>
      </c>
      <c r="C274" s="9">
        <v>0.57999999999999996</v>
      </c>
      <c r="D274" s="9">
        <v>4</v>
      </c>
      <c r="E274" s="9">
        <v>7.0999999999999994E-2</v>
      </c>
      <c r="F274" s="9">
        <v>17</v>
      </c>
      <c r="G274" s="9">
        <v>65</v>
      </c>
      <c r="H274" s="9">
        <v>0.99934999999999996</v>
      </c>
      <c r="I274" s="9">
        <v>3.22</v>
      </c>
      <c r="J274" s="9">
        <v>0.78</v>
      </c>
      <c r="K274" s="9">
        <v>10.1</v>
      </c>
      <c r="L274" s="9">
        <v>5</v>
      </c>
    </row>
    <row r="275" spans="1:12" x14ac:dyDescent="0.3">
      <c r="A275" s="9">
        <v>8.4</v>
      </c>
      <c r="B275" s="9">
        <v>0.71499999999999997</v>
      </c>
      <c r="C275" s="9">
        <v>0.2</v>
      </c>
      <c r="D275" s="9">
        <v>2.4</v>
      </c>
      <c r="E275" s="9">
        <v>7.5999999999999998E-2</v>
      </c>
      <c r="F275" s="9">
        <v>10</v>
      </c>
      <c r="G275" s="9">
        <v>38</v>
      </c>
      <c r="H275" s="9">
        <v>0.99734999999999996</v>
      </c>
      <c r="I275" s="9">
        <v>3.31</v>
      </c>
      <c r="J275" s="9">
        <v>0.64</v>
      </c>
      <c r="K275" s="9">
        <v>9.4</v>
      </c>
      <c r="L275" s="9">
        <v>5</v>
      </c>
    </row>
    <row r="276" spans="1:12" x14ac:dyDescent="0.3">
      <c r="A276" s="9">
        <v>7.5</v>
      </c>
      <c r="B276" s="9">
        <v>0.65</v>
      </c>
      <c r="C276" s="9">
        <v>0.18</v>
      </c>
      <c r="D276" s="9">
        <v>7</v>
      </c>
      <c r="E276" s="9">
        <v>8.7999999999999995E-2</v>
      </c>
      <c r="F276" s="9">
        <v>27</v>
      </c>
      <c r="G276" s="9">
        <v>94</v>
      </c>
      <c r="H276" s="9">
        <v>0.99914999999999998</v>
      </c>
      <c r="I276" s="9">
        <v>3.38</v>
      </c>
      <c r="J276" s="9">
        <v>0.77</v>
      </c>
      <c r="K276" s="9">
        <v>9.4</v>
      </c>
      <c r="L276" s="9">
        <v>5</v>
      </c>
    </row>
    <row r="277" spans="1:12" x14ac:dyDescent="0.3">
      <c r="A277" s="9">
        <v>7.9</v>
      </c>
      <c r="B277" s="9">
        <v>0.54500000000000004</v>
      </c>
      <c r="C277" s="9">
        <v>0.06</v>
      </c>
      <c r="D277" s="9">
        <v>4</v>
      </c>
      <c r="E277" s="9">
        <v>8.6999999999999994E-2</v>
      </c>
      <c r="F277" s="9">
        <v>27</v>
      </c>
      <c r="G277" s="9">
        <v>61</v>
      </c>
      <c r="H277" s="9">
        <v>0.99650000000000005</v>
      </c>
      <c r="I277" s="9">
        <v>3.36</v>
      </c>
      <c r="J277" s="9">
        <v>0.67</v>
      </c>
      <c r="K277" s="9">
        <v>10.7</v>
      </c>
      <c r="L277" s="9">
        <v>6</v>
      </c>
    </row>
    <row r="278" spans="1:12" x14ac:dyDescent="0.3">
      <c r="A278" s="9">
        <v>6.9</v>
      </c>
      <c r="B278" s="9">
        <v>0.54</v>
      </c>
      <c r="C278" s="9">
        <v>0.04</v>
      </c>
      <c r="D278" s="9">
        <v>3</v>
      </c>
      <c r="E278" s="9">
        <v>7.6999999999999999E-2</v>
      </c>
      <c r="F278" s="9">
        <v>7</v>
      </c>
      <c r="G278" s="9">
        <v>27</v>
      </c>
      <c r="H278" s="9">
        <v>0.99870000000000003</v>
      </c>
      <c r="I278" s="9">
        <v>3.69</v>
      </c>
      <c r="J278" s="9">
        <v>0.91</v>
      </c>
      <c r="K278" s="9">
        <v>9.4</v>
      </c>
      <c r="L278" s="9">
        <v>6</v>
      </c>
    </row>
    <row r="279" spans="1:12" x14ac:dyDescent="0.3">
      <c r="A279" s="9">
        <v>11.5</v>
      </c>
      <c r="B279" s="9">
        <v>0.18</v>
      </c>
      <c r="C279" s="9">
        <v>0.51</v>
      </c>
      <c r="D279" s="9">
        <v>4</v>
      </c>
      <c r="E279" s="9">
        <v>0.104</v>
      </c>
      <c r="F279" s="9">
        <v>4</v>
      </c>
      <c r="G279" s="9">
        <v>23</v>
      </c>
      <c r="H279" s="9">
        <v>0.99960000000000004</v>
      </c>
      <c r="I279" s="9">
        <v>3.28</v>
      </c>
      <c r="J279" s="9">
        <v>0.97</v>
      </c>
      <c r="K279" s="9">
        <v>10.1</v>
      </c>
      <c r="L279" s="9">
        <v>6</v>
      </c>
    </row>
    <row r="280" spans="1:12" x14ac:dyDescent="0.3">
      <c r="A280" s="9">
        <v>10.3</v>
      </c>
      <c r="B280" s="9">
        <v>0.32</v>
      </c>
      <c r="C280" s="9">
        <v>0.45</v>
      </c>
      <c r="D280" s="9">
        <v>6.4</v>
      </c>
      <c r="E280" s="9">
        <v>7.2999999999999995E-2</v>
      </c>
      <c r="F280" s="9">
        <v>5</v>
      </c>
      <c r="G280" s="9">
        <v>13</v>
      </c>
      <c r="H280" s="9">
        <v>0.99760000000000004</v>
      </c>
      <c r="I280" s="9">
        <v>3.23</v>
      </c>
      <c r="J280" s="9">
        <v>0.82</v>
      </c>
      <c r="K280" s="9">
        <v>12.6</v>
      </c>
      <c r="L280" s="9">
        <v>8</v>
      </c>
    </row>
    <row r="281" spans="1:12" x14ac:dyDescent="0.3">
      <c r="A281" s="9">
        <v>8.9</v>
      </c>
      <c r="B281" s="9">
        <v>0.4</v>
      </c>
      <c r="C281" s="9">
        <v>0.32</v>
      </c>
      <c r="D281" s="9">
        <v>5.6</v>
      </c>
      <c r="E281" s="9">
        <v>8.6999999999999994E-2</v>
      </c>
      <c r="F281" s="9">
        <v>10</v>
      </c>
      <c r="G281" s="9">
        <v>47</v>
      </c>
      <c r="H281" s="9">
        <v>0.99909999999999999</v>
      </c>
      <c r="I281" s="9">
        <v>3.38</v>
      </c>
      <c r="J281" s="9">
        <v>0.77</v>
      </c>
      <c r="K281" s="9">
        <v>10.5</v>
      </c>
      <c r="L281" s="9">
        <v>7</v>
      </c>
    </row>
    <row r="282" spans="1:12" x14ac:dyDescent="0.3">
      <c r="A282" s="9">
        <v>11.4</v>
      </c>
      <c r="B282" s="9">
        <v>0.26</v>
      </c>
      <c r="C282" s="9">
        <v>0.44</v>
      </c>
      <c r="D282" s="9">
        <v>3.6</v>
      </c>
      <c r="E282" s="9">
        <v>7.0999999999999994E-2</v>
      </c>
      <c r="F282" s="9">
        <v>6</v>
      </c>
      <c r="G282" s="9">
        <v>19</v>
      </c>
      <c r="H282" s="9">
        <v>0.99860000000000004</v>
      </c>
      <c r="I282" s="9">
        <v>3.12</v>
      </c>
      <c r="J282" s="9">
        <v>0.82</v>
      </c>
      <c r="K282" s="9">
        <v>9.3000000000000007</v>
      </c>
      <c r="L282" s="9">
        <v>6</v>
      </c>
    </row>
    <row r="283" spans="1:12" x14ac:dyDescent="0.3">
      <c r="A283" s="9">
        <v>7.7</v>
      </c>
      <c r="B283" s="9">
        <v>0.27</v>
      </c>
      <c r="C283" s="9">
        <v>0.68</v>
      </c>
      <c r="D283" s="9">
        <v>3.5</v>
      </c>
      <c r="E283" s="9">
        <v>0.35799999999999998</v>
      </c>
      <c r="F283" s="9">
        <v>5</v>
      </c>
      <c r="G283" s="9">
        <v>10</v>
      </c>
      <c r="H283" s="9">
        <v>0.99719999999999998</v>
      </c>
      <c r="I283" s="9">
        <v>3.25</v>
      </c>
      <c r="J283" s="9">
        <v>1.08</v>
      </c>
      <c r="K283" s="9">
        <v>9.9</v>
      </c>
      <c r="L283" s="9">
        <v>7</v>
      </c>
    </row>
    <row r="284" spans="1:12" x14ac:dyDescent="0.3">
      <c r="A284" s="9">
        <v>7.6</v>
      </c>
      <c r="B284" s="9">
        <v>0.52</v>
      </c>
      <c r="C284" s="9">
        <v>0.12</v>
      </c>
      <c r="D284" s="9">
        <v>3</v>
      </c>
      <c r="E284" s="9">
        <v>6.7000000000000004E-2</v>
      </c>
      <c r="F284" s="9">
        <v>12</v>
      </c>
      <c r="G284" s="9">
        <v>53</v>
      </c>
      <c r="H284" s="9">
        <v>0.99709999999999999</v>
      </c>
      <c r="I284" s="9">
        <v>3.36</v>
      </c>
      <c r="J284" s="9">
        <v>0.56999999999999995</v>
      </c>
      <c r="K284" s="9">
        <v>9.1</v>
      </c>
      <c r="L284" s="9">
        <v>5</v>
      </c>
    </row>
    <row r="285" spans="1:12" x14ac:dyDescent="0.3">
      <c r="A285" s="9">
        <v>8.9</v>
      </c>
      <c r="B285" s="9">
        <v>0.4</v>
      </c>
      <c r="C285" s="9">
        <v>0.32</v>
      </c>
      <c r="D285" s="9">
        <v>5.6</v>
      </c>
      <c r="E285" s="9">
        <v>8.6999999999999994E-2</v>
      </c>
      <c r="F285" s="9">
        <v>10</v>
      </c>
      <c r="G285" s="9">
        <v>47</v>
      </c>
      <c r="H285" s="9">
        <v>0.99909999999999999</v>
      </c>
      <c r="I285" s="9">
        <v>3.38</v>
      </c>
      <c r="J285" s="9">
        <v>0.77</v>
      </c>
      <c r="K285" s="9">
        <v>10.5</v>
      </c>
      <c r="L285" s="9">
        <v>7</v>
      </c>
    </row>
    <row r="286" spans="1:12" x14ac:dyDescent="0.3">
      <c r="A286" s="9">
        <v>9.9</v>
      </c>
      <c r="B286" s="9">
        <v>0.59</v>
      </c>
      <c r="C286" s="9">
        <v>7.0000000000000007E-2</v>
      </c>
      <c r="D286" s="9">
        <v>3.4</v>
      </c>
      <c r="E286" s="9">
        <v>0.10199999999999999</v>
      </c>
      <c r="F286" s="9">
        <v>32</v>
      </c>
      <c r="G286" s="9">
        <v>71</v>
      </c>
      <c r="H286" s="9">
        <v>1.0001500000000001</v>
      </c>
      <c r="I286" s="9">
        <v>3.31</v>
      </c>
      <c r="J286" s="9">
        <v>0.71</v>
      </c>
      <c r="K286" s="9">
        <v>9.8000000000000007</v>
      </c>
      <c r="L286" s="9">
        <v>5</v>
      </c>
    </row>
    <row r="287" spans="1:12" x14ac:dyDescent="0.3">
      <c r="A287" s="9">
        <v>9.9</v>
      </c>
      <c r="B287" s="9">
        <v>0.59</v>
      </c>
      <c r="C287" s="9">
        <v>7.0000000000000007E-2</v>
      </c>
      <c r="D287" s="9">
        <v>3.4</v>
      </c>
      <c r="E287" s="9">
        <v>0.10199999999999999</v>
      </c>
      <c r="F287" s="9">
        <v>32</v>
      </c>
      <c r="G287" s="9">
        <v>71</v>
      </c>
      <c r="H287" s="9">
        <v>1.0001500000000001</v>
      </c>
      <c r="I287" s="9">
        <v>3.31</v>
      </c>
      <c r="J287" s="9">
        <v>0.71</v>
      </c>
      <c r="K287" s="9">
        <v>9.8000000000000007</v>
      </c>
      <c r="L287" s="9">
        <v>5</v>
      </c>
    </row>
    <row r="288" spans="1:12" x14ac:dyDescent="0.3">
      <c r="A288" s="9">
        <v>12</v>
      </c>
      <c r="B288" s="9">
        <v>0.45</v>
      </c>
      <c r="C288" s="9">
        <v>0.55000000000000004</v>
      </c>
      <c r="D288" s="9">
        <v>2</v>
      </c>
      <c r="E288" s="9">
        <v>7.2999999999999995E-2</v>
      </c>
      <c r="F288" s="9">
        <v>25</v>
      </c>
      <c r="G288" s="9">
        <v>49</v>
      </c>
      <c r="H288" s="9">
        <v>0.99970000000000003</v>
      </c>
      <c r="I288" s="9">
        <v>3.1</v>
      </c>
      <c r="J288" s="9">
        <v>0.76</v>
      </c>
      <c r="K288" s="9">
        <v>10.3</v>
      </c>
      <c r="L288" s="9">
        <v>6</v>
      </c>
    </row>
    <row r="289" spans="1:12" x14ac:dyDescent="0.3">
      <c r="A289" s="9">
        <v>7.5</v>
      </c>
      <c r="B289" s="9">
        <v>0.4</v>
      </c>
      <c r="C289" s="9">
        <v>0.12</v>
      </c>
      <c r="D289" s="9">
        <v>3</v>
      </c>
      <c r="E289" s="9">
        <v>9.1999999999999998E-2</v>
      </c>
      <c r="F289" s="9">
        <v>29</v>
      </c>
      <c r="G289" s="9">
        <v>53</v>
      </c>
      <c r="H289" s="9">
        <v>0.99670000000000003</v>
      </c>
      <c r="I289" s="9">
        <v>3.37</v>
      </c>
      <c r="J289" s="9">
        <v>0.7</v>
      </c>
      <c r="K289" s="9">
        <v>10.3</v>
      </c>
      <c r="L289" s="9">
        <v>6</v>
      </c>
    </row>
    <row r="290" spans="1:12" x14ac:dyDescent="0.3">
      <c r="A290" s="9">
        <v>8.6999999999999993</v>
      </c>
      <c r="B290" s="9">
        <v>0.52</v>
      </c>
      <c r="C290" s="9">
        <v>0.09</v>
      </c>
      <c r="D290" s="9">
        <v>2.5</v>
      </c>
      <c r="E290" s="9">
        <v>9.0999999999999998E-2</v>
      </c>
      <c r="F290" s="9">
        <v>20</v>
      </c>
      <c r="G290" s="9">
        <v>49</v>
      </c>
      <c r="H290" s="9">
        <v>0.99760000000000004</v>
      </c>
      <c r="I290" s="9">
        <v>3.34</v>
      </c>
      <c r="J290" s="9">
        <v>0.86</v>
      </c>
      <c r="K290" s="9">
        <v>10.6</v>
      </c>
      <c r="L290" s="9">
        <v>7</v>
      </c>
    </row>
    <row r="291" spans="1:12" x14ac:dyDescent="0.3">
      <c r="A291" s="9">
        <v>11.6</v>
      </c>
      <c r="B291" s="9">
        <v>0.42</v>
      </c>
      <c r="C291" s="9">
        <v>0.53</v>
      </c>
      <c r="D291" s="9">
        <v>3.3</v>
      </c>
      <c r="E291" s="9">
        <v>0.105</v>
      </c>
      <c r="F291" s="9">
        <v>33</v>
      </c>
      <c r="G291" s="9">
        <v>98</v>
      </c>
      <c r="H291" s="9">
        <v>1.0009999999999999</v>
      </c>
      <c r="I291" s="9">
        <v>3.2</v>
      </c>
      <c r="J291" s="9">
        <v>0.95</v>
      </c>
      <c r="K291" s="9">
        <v>9.1999999999999993</v>
      </c>
      <c r="L291" s="9">
        <v>5</v>
      </c>
    </row>
    <row r="292" spans="1:12" x14ac:dyDescent="0.3">
      <c r="A292" s="9">
        <v>8.6999999999999993</v>
      </c>
      <c r="B292" s="9">
        <v>0.52</v>
      </c>
      <c r="C292" s="9">
        <v>0.09</v>
      </c>
      <c r="D292" s="9">
        <v>2.5</v>
      </c>
      <c r="E292" s="9">
        <v>9.0999999999999998E-2</v>
      </c>
      <c r="F292" s="9">
        <v>20</v>
      </c>
      <c r="G292" s="9">
        <v>49</v>
      </c>
      <c r="H292" s="9">
        <v>0.99760000000000004</v>
      </c>
      <c r="I292" s="9">
        <v>3.34</v>
      </c>
      <c r="J292" s="9">
        <v>0.86</v>
      </c>
      <c r="K292" s="9">
        <v>10.6</v>
      </c>
      <c r="L292" s="9">
        <v>7</v>
      </c>
    </row>
    <row r="293" spans="1:12" x14ac:dyDescent="0.3">
      <c r="A293" s="9">
        <v>11</v>
      </c>
      <c r="B293" s="9">
        <v>0.2</v>
      </c>
      <c r="C293" s="9">
        <v>0.48</v>
      </c>
      <c r="D293" s="9">
        <v>2</v>
      </c>
      <c r="E293" s="9">
        <v>0.34300000000000003</v>
      </c>
      <c r="F293" s="9">
        <v>6</v>
      </c>
      <c r="G293" s="9">
        <v>18</v>
      </c>
      <c r="H293" s="9">
        <v>0.99790000000000001</v>
      </c>
      <c r="I293" s="9">
        <v>3.3</v>
      </c>
      <c r="J293" s="9">
        <v>0.71</v>
      </c>
      <c r="K293" s="9">
        <v>10.5</v>
      </c>
      <c r="L293" s="9">
        <v>5</v>
      </c>
    </row>
    <row r="294" spans="1:12" x14ac:dyDescent="0.3">
      <c r="A294" s="9">
        <v>10.4</v>
      </c>
      <c r="B294" s="9">
        <v>0.55000000000000004</v>
      </c>
      <c r="C294" s="9">
        <v>0.23</v>
      </c>
      <c r="D294" s="9">
        <v>2.7</v>
      </c>
      <c r="E294" s="9">
        <v>9.0999999999999998E-2</v>
      </c>
      <c r="F294" s="9">
        <v>18</v>
      </c>
      <c r="G294" s="9">
        <v>48</v>
      </c>
      <c r="H294" s="9">
        <v>0.99939999999999996</v>
      </c>
      <c r="I294" s="9">
        <v>3.22</v>
      </c>
      <c r="J294" s="9">
        <v>0.64</v>
      </c>
      <c r="K294" s="9">
        <v>10.3</v>
      </c>
      <c r="L294" s="9">
        <v>6</v>
      </c>
    </row>
    <row r="295" spans="1:12" x14ac:dyDescent="0.3">
      <c r="A295" s="9">
        <v>6.9</v>
      </c>
      <c r="B295" s="9">
        <v>0.36</v>
      </c>
      <c r="C295" s="9">
        <v>0.25</v>
      </c>
      <c r="D295" s="9">
        <v>2.4</v>
      </c>
      <c r="E295" s="9">
        <v>9.8000000000000004E-2</v>
      </c>
      <c r="F295" s="9">
        <v>5</v>
      </c>
      <c r="G295" s="9">
        <v>16</v>
      </c>
      <c r="H295" s="9">
        <v>0.99639999999999995</v>
      </c>
      <c r="I295" s="9">
        <v>3.41</v>
      </c>
      <c r="J295" s="9">
        <v>0.6</v>
      </c>
      <c r="K295" s="9">
        <v>10.1</v>
      </c>
      <c r="L295" s="9">
        <v>6</v>
      </c>
    </row>
    <row r="296" spans="1:12" x14ac:dyDescent="0.3">
      <c r="A296" s="9">
        <v>13.3</v>
      </c>
      <c r="B296" s="9">
        <v>0.34</v>
      </c>
      <c r="C296" s="9">
        <v>0.52</v>
      </c>
      <c r="D296" s="9">
        <v>3.2</v>
      </c>
      <c r="E296" s="9">
        <v>9.4E-2</v>
      </c>
      <c r="F296" s="9">
        <v>17</v>
      </c>
      <c r="G296" s="9">
        <v>53</v>
      </c>
      <c r="H296" s="9">
        <v>1.0014000000000001</v>
      </c>
      <c r="I296" s="9">
        <v>3.05</v>
      </c>
      <c r="J296" s="9">
        <v>0.81</v>
      </c>
      <c r="K296" s="9">
        <v>9.5</v>
      </c>
      <c r="L296" s="9">
        <v>6</v>
      </c>
    </row>
    <row r="297" spans="1:12" x14ac:dyDescent="0.3">
      <c r="A297" s="9">
        <v>10.8</v>
      </c>
      <c r="B297" s="9">
        <v>0.5</v>
      </c>
      <c r="C297" s="9">
        <v>0.46</v>
      </c>
      <c r="D297" s="9">
        <v>2.5</v>
      </c>
      <c r="E297" s="9">
        <v>7.2999999999999995E-2</v>
      </c>
      <c r="F297" s="9">
        <v>5</v>
      </c>
      <c r="G297" s="9">
        <v>27</v>
      </c>
      <c r="H297" s="9">
        <v>1.0001</v>
      </c>
      <c r="I297" s="9">
        <v>3.05</v>
      </c>
      <c r="J297" s="9">
        <v>0.64</v>
      </c>
      <c r="K297" s="9">
        <v>9.5</v>
      </c>
      <c r="L297" s="9">
        <v>5</v>
      </c>
    </row>
    <row r="298" spans="1:12" x14ac:dyDescent="0.3">
      <c r="A298" s="9">
        <v>10.6</v>
      </c>
      <c r="B298" s="9">
        <v>0.83</v>
      </c>
      <c r="C298" s="9">
        <v>0.37</v>
      </c>
      <c r="D298" s="9">
        <v>2.6</v>
      </c>
      <c r="E298" s="9">
        <v>8.5999999999999993E-2</v>
      </c>
      <c r="F298" s="9">
        <v>26</v>
      </c>
      <c r="G298" s="9">
        <v>70</v>
      </c>
      <c r="H298" s="9">
        <v>0.99809999999999999</v>
      </c>
      <c r="I298" s="9">
        <v>3.16</v>
      </c>
      <c r="J298" s="9">
        <v>0.52</v>
      </c>
      <c r="K298" s="9">
        <v>9.9</v>
      </c>
      <c r="L298" s="9">
        <v>5</v>
      </c>
    </row>
    <row r="299" spans="1:12" x14ac:dyDescent="0.3">
      <c r="A299" s="9">
        <v>7.1</v>
      </c>
      <c r="B299" s="9">
        <v>0.63</v>
      </c>
      <c r="C299" s="9">
        <v>0.06</v>
      </c>
      <c r="D299" s="9">
        <v>2</v>
      </c>
      <c r="E299" s="9">
        <v>8.3000000000000004E-2</v>
      </c>
      <c r="F299" s="9">
        <v>8</v>
      </c>
      <c r="G299" s="9">
        <v>29</v>
      </c>
      <c r="H299" s="9">
        <v>0.99855000000000005</v>
      </c>
      <c r="I299" s="9">
        <v>3.67</v>
      </c>
      <c r="J299" s="9">
        <v>0.73</v>
      </c>
      <c r="K299" s="9">
        <v>9.6</v>
      </c>
      <c r="L299" s="9">
        <v>5</v>
      </c>
    </row>
    <row r="300" spans="1:12" x14ac:dyDescent="0.3">
      <c r="A300" s="9">
        <v>7.2</v>
      </c>
      <c r="B300" s="9">
        <v>0.65</v>
      </c>
      <c r="C300" s="9">
        <v>0.02</v>
      </c>
      <c r="D300" s="9">
        <v>2.2999999999999998</v>
      </c>
      <c r="E300" s="9">
        <v>9.4E-2</v>
      </c>
      <c r="F300" s="9">
        <v>5</v>
      </c>
      <c r="G300" s="9">
        <v>31</v>
      </c>
      <c r="H300" s="9">
        <v>0.99929999999999997</v>
      </c>
      <c r="I300" s="9">
        <v>3.67</v>
      </c>
      <c r="J300" s="9">
        <v>0.8</v>
      </c>
      <c r="K300" s="9">
        <v>9.6999999999999993</v>
      </c>
      <c r="L300" s="9">
        <v>5</v>
      </c>
    </row>
    <row r="301" spans="1:12" x14ac:dyDescent="0.3">
      <c r="A301" s="9">
        <v>6.9</v>
      </c>
      <c r="B301" s="9">
        <v>0.67</v>
      </c>
      <c r="C301" s="9">
        <v>0.06</v>
      </c>
      <c r="D301" s="9">
        <v>2.1</v>
      </c>
      <c r="E301" s="9">
        <v>0.08</v>
      </c>
      <c r="F301" s="9">
        <v>8</v>
      </c>
      <c r="G301" s="9">
        <v>33</v>
      </c>
      <c r="H301" s="9">
        <v>0.99844999999999995</v>
      </c>
      <c r="I301" s="9">
        <v>3.68</v>
      </c>
      <c r="J301" s="9">
        <v>0.71</v>
      </c>
      <c r="K301" s="9">
        <v>9.6</v>
      </c>
      <c r="L301" s="9">
        <v>5</v>
      </c>
    </row>
    <row r="302" spans="1:12" x14ac:dyDescent="0.3">
      <c r="A302" s="9">
        <v>7.5</v>
      </c>
      <c r="B302" s="9">
        <v>0.53</v>
      </c>
      <c r="C302" s="9">
        <v>0.06</v>
      </c>
      <c r="D302" s="9">
        <v>2.6</v>
      </c>
      <c r="E302" s="9">
        <v>8.5999999999999993E-2</v>
      </c>
      <c r="F302" s="9">
        <v>20</v>
      </c>
      <c r="G302" s="9">
        <v>44</v>
      </c>
      <c r="H302" s="9">
        <v>0.99650000000000005</v>
      </c>
      <c r="I302" s="9">
        <v>3.38</v>
      </c>
      <c r="J302" s="9">
        <v>0.59</v>
      </c>
      <c r="K302" s="9">
        <v>10.7</v>
      </c>
      <c r="L302" s="9">
        <v>6</v>
      </c>
    </row>
    <row r="303" spans="1:12" x14ac:dyDescent="0.3">
      <c r="A303" s="9">
        <v>11.1</v>
      </c>
      <c r="B303" s="9">
        <v>0.18</v>
      </c>
      <c r="C303" s="9">
        <v>0.48</v>
      </c>
      <c r="D303" s="9">
        <v>1.5</v>
      </c>
      <c r="E303" s="9">
        <v>6.8000000000000005E-2</v>
      </c>
      <c r="F303" s="9">
        <v>7</v>
      </c>
      <c r="G303" s="9">
        <v>15</v>
      </c>
      <c r="H303" s="9">
        <v>0.99729999999999996</v>
      </c>
      <c r="I303" s="9">
        <v>3.22</v>
      </c>
      <c r="J303" s="9">
        <v>0.64</v>
      </c>
      <c r="K303" s="9">
        <v>10.1</v>
      </c>
      <c r="L303" s="9">
        <v>6</v>
      </c>
    </row>
    <row r="304" spans="1:12" x14ac:dyDescent="0.3">
      <c r="A304" s="9">
        <v>8.3000000000000007</v>
      </c>
      <c r="B304" s="9">
        <v>0.70499999999999996</v>
      </c>
      <c r="C304" s="9">
        <v>0.12</v>
      </c>
      <c r="D304" s="9">
        <v>2.6</v>
      </c>
      <c r="E304" s="9">
        <v>9.1999999999999998E-2</v>
      </c>
      <c r="F304" s="9">
        <v>12</v>
      </c>
      <c r="G304" s="9">
        <v>28</v>
      </c>
      <c r="H304" s="9">
        <v>0.99939999999999996</v>
      </c>
      <c r="I304" s="9">
        <v>3.51</v>
      </c>
      <c r="J304" s="9">
        <v>0.72</v>
      </c>
      <c r="K304" s="9">
        <v>10</v>
      </c>
      <c r="L304" s="9">
        <v>5</v>
      </c>
    </row>
    <row r="305" spans="1:12" x14ac:dyDescent="0.3">
      <c r="A305" s="9">
        <v>7.4</v>
      </c>
      <c r="B305" s="9">
        <v>0.67</v>
      </c>
      <c r="C305" s="9">
        <v>0.12</v>
      </c>
      <c r="D305" s="9">
        <v>1.6</v>
      </c>
      <c r="E305" s="9">
        <v>0.186</v>
      </c>
      <c r="F305" s="9">
        <v>5</v>
      </c>
      <c r="G305" s="9">
        <v>21</v>
      </c>
      <c r="H305" s="9">
        <v>0.996</v>
      </c>
      <c r="I305" s="9">
        <v>3.39</v>
      </c>
      <c r="J305" s="9">
        <v>0.54</v>
      </c>
      <c r="K305" s="9">
        <v>9.5</v>
      </c>
      <c r="L305" s="9">
        <v>5</v>
      </c>
    </row>
    <row r="306" spans="1:12" x14ac:dyDescent="0.3">
      <c r="A306" s="9">
        <v>8.4</v>
      </c>
      <c r="B306" s="9">
        <v>0.65</v>
      </c>
      <c r="C306" s="9">
        <v>0.6</v>
      </c>
      <c r="D306" s="9">
        <v>2.1</v>
      </c>
      <c r="E306" s="9">
        <v>0.112</v>
      </c>
      <c r="F306" s="9">
        <v>12</v>
      </c>
      <c r="G306" s="9">
        <v>90</v>
      </c>
      <c r="H306" s="9">
        <v>0.99729999999999996</v>
      </c>
      <c r="I306" s="9">
        <v>3.2</v>
      </c>
      <c r="J306" s="9">
        <v>0.52</v>
      </c>
      <c r="K306" s="9">
        <v>9.1999999999999993</v>
      </c>
      <c r="L306" s="9">
        <v>5</v>
      </c>
    </row>
    <row r="307" spans="1:12" x14ac:dyDescent="0.3">
      <c r="A307" s="9">
        <v>10.3</v>
      </c>
      <c r="B307" s="9">
        <v>0.53</v>
      </c>
      <c r="C307" s="9">
        <v>0.48</v>
      </c>
      <c r="D307" s="9">
        <v>2.5</v>
      </c>
      <c r="E307" s="9">
        <v>6.3E-2</v>
      </c>
      <c r="F307" s="9">
        <v>6</v>
      </c>
      <c r="G307" s="9">
        <v>25</v>
      </c>
      <c r="H307" s="9">
        <v>0.99980000000000002</v>
      </c>
      <c r="I307" s="9">
        <v>3.12</v>
      </c>
      <c r="J307" s="9">
        <v>0.59</v>
      </c>
      <c r="K307" s="9">
        <v>9.3000000000000007</v>
      </c>
      <c r="L307" s="9">
        <v>6</v>
      </c>
    </row>
    <row r="308" spans="1:12" x14ac:dyDescent="0.3">
      <c r="A308" s="9">
        <v>7.6</v>
      </c>
      <c r="B308" s="9">
        <v>0.62</v>
      </c>
      <c r="C308" s="9">
        <v>0.32</v>
      </c>
      <c r="D308" s="9">
        <v>2.2000000000000002</v>
      </c>
      <c r="E308" s="9">
        <v>8.2000000000000003E-2</v>
      </c>
      <c r="F308" s="9">
        <v>7</v>
      </c>
      <c r="G308" s="9">
        <v>54</v>
      </c>
      <c r="H308" s="9">
        <v>0.99660000000000004</v>
      </c>
      <c r="I308" s="9">
        <v>3.36</v>
      </c>
      <c r="J308" s="9">
        <v>0.52</v>
      </c>
      <c r="K308" s="9">
        <v>9.4</v>
      </c>
      <c r="L308" s="9">
        <v>5</v>
      </c>
    </row>
    <row r="309" spans="1:12" x14ac:dyDescent="0.3">
      <c r="A309" s="9">
        <v>10.3</v>
      </c>
      <c r="B309" s="9">
        <v>0.41</v>
      </c>
      <c r="C309" s="9">
        <v>0.42</v>
      </c>
      <c r="D309" s="9">
        <v>2.4</v>
      </c>
      <c r="E309" s="9">
        <v>0.21299999999999999</v>
      </c>
      <c r="F309" s="9">
        <v>6</v>
      </c>
      <c r="G309" s="9">
        <v>14</v>
      </c>
      <c r="H309" s="9">
        <v>0.99939999999999996</v>
      </c>
      <c r="I309" s="9">
        <v>3.19</v>
      </c>
      <c r="J309" s="9">
        <v>0.62</v>
      </c>
      <c r="K309" s="9">
        <v>9.5</v>
      </c>
      <c r="L309" s="9">
        <v>6</v>
      </c>
    </row>
    <row r="310" spans="1:12" x14ac:dyDescent="0.3">
      <c r="A310" s="9">
        <v>10.3</v>
      </c>
      <c r="B310" s="9">
        <v>0.43</v>
      </c>
      <c r="C310" s="9">
        <v>0.44</v>
      </c>
      <c r="D310" s="9">
        <v>2.4</v>
      </c>
      <c r="E310" s="9">
        <v>0.214</v>
      </c>
      <c r="F310" s="9">
        <v>5</v>
      </c>
      <c r="G310" s="9">
        <v>12</v>
      </c>
      <c r="H310" s="9">
        <v>0.99939999999999996</v>
      </c>
      <c r="I310" s="9">
        <v>3.19</v>
      </c>
      <c r="J310" s="9">
        <v>0.63</v>
      </c>
      <c r="K310" s="9">
        <v>9.5</v>
      </c>
      <c r="L310" s="9">
        <v>6</v>
      </c>
    </row>
    <row r="311" spans="1:12" x14ac:dyDescent="0.3">
      <c r="A311" s="9">
        <v>7.4</v>
      </c>
      <c r="B311" s="9">
        <v>0.28999999999999998</v>
      </c>
      <c r="C311" s="9">
        <v>0.38</v>
      </c>
      <c r="D311" s="9">
        <v>1.7</v>
      </c>
      <c r="E311" s="9">
        <v>6.2E-2</v>
      </c>
      <c r="F311" s="9">
        <v>9</v>
      </c>
      <c r="G311" s="9">
        <v>30</v>
      </c>
      <c r="H311" s="9">
        <v>0.99680000000000002</v>
      </c>
      <c r="I311" s="9">
        <v>3.41</v>
      </c>
      <c r="J311" s="9">
        <v>0.53</v>
      </c>
      <c r="K311" s="9">
        <v>9.5</v>
      </c>
      <c r="L311" s="9">
        <v>6</v>
      </c>
    </row>
    <row r="312" spans="1:12" x14ac:dyDescent="0.3">
      <c r="A312" s="9">
        <v>10.3</v>
      </c>
      <c r="B312" s="9">
        <v>0.53</v>
      </c>
      <c r="C312" s="9">
        <v>0.48</v>
      </c>
      <c r="D312" s="9">
        <v>2.5</v>
      </c>
      <c r="E312" s="9">
        <v>6.3E-2</v>
      </c>
      <c r="F312" s="9">
        <v>6</v>
      </c>
      <c r="G312" s="9">
        <v>25</v>
      </c>
      <c r="H312" s="9">
        <v>0.99980000000000002</v>
      </c>
      <c r="I312" s="9">
        <v>3.12</v>
      </c>
      <c r="J312" s="9">
        <v>0.59</v>
      </c>
      <c r="K312" s="9">
        <v>9.3000000000000007</v>
      </c>
      <c r="L312" s="9">
        <v>6</v>
      </c>
    </row>
    <row r="313" spans="1:12" x14ac:dyDescent="0.3">
      <c r="A313" s="9">
        <v>7.9</v>
      </c>
      <c r="B313" s="9">
        <v>0.53</v>
      </c>
      <c r="C313" s="9">
        <v>0.24</v>
      </c>
      <c r="D313" s="9">
        <v>2</v>
      </c>
      <c r="E313" s="9">
        <v>7.1999999999999995E-2</v>
      </c>
      <c r="F313" s="9">
        <v>15</v>
      </c>
      <c r="G313" s="9">
        <v>105</v>
      </c>
      <c r="H313" s="9">
        <v>0.996</v>
      </c>
      <c r="I313" s="9">
        <v>3.27</v>
      </c>
      <c r="J313" s="9">
        <v>0.54</v>
      </c>
      <c r="K313" s="9">
        <v>9.4</v>
      </c>
      <c r="L313" s="9">
        <v>6</v>
      </c>
    </row>
    <row r="314" spans="1:12" x14ac:dyDescent="0.3">
      <c r="A314" s="9">
        <v>9</v>
      </c>
      <c r="B314" s="9">
        <v>0.46</v>
      </c>
      <c r="C314" s="9">
        <v>0.31</v>
      </c>
      <c r="D314" s="9">
        <v>2.8</v>
      </c>
      <c r="E314" s="9">
        <v>9.2999999999999999E-2</v>
      </c>
      <c r="F314" s="9">
        <v>19</v>
      </c>
      <c r="G314" s="9">
        <v>98</v>
      </c>
      <c r="H314" s="9">
        <v>0.99814999999999998</v>
      </c>
      <c r="I314" s="9">
        <v>3.32</v>
      </c>
      <c r="J314" s="9">
        <v>0.63</v>
      </c>
      <c r="K314" s="9">
        <v>9.5</v>
      </c>
      <c r="L314" s="9">
        <v>6</v>
      </c>
    </row>
    <row r="315" spans="1:12" x14ac:dyDescent="0.3">
      <c r="A315" s="9">
        <v>8.6</v>
      </c>
      <c r="B315" s="9">
        <v>0.47</v>
      </c>
      <c r="C315" s="9">
        <v>0.3</v>
      </c>
      <c r="D315" s="9">
        <v>3</v>
      </c>
      <c r="E315" s="9">
        <v>7.5999999999999998E-2</v>
      </c>
      <c r="F315" s="9">
        <v>30</v>
      </c>
      <c r="G315" s="9">
        <v>135</v>
      </c>
      <c r="H315" s="9">
        <v>0.99760000000000004</v>
      </c>
      <c r="I315" s="9">
        <v>3.3</v>
      </c>
      <c r="J315" s="9">
        <v>0.53</v>
      </c>
      <c r="K315" s="9">
        <v>9.4</v>
      </c>
      <c r="L315" s="9">
        <v>5</v>
      </c>
    </row>
    <row r="316" spans="1:12" x14ac:dyDescent="0.3">
      <c r="A316" s="9">
        <v>7.4</v>
      </c>
      <c r="B316" s="9">
        <v>0.36</v>
      </c>
      <c r="C316" s="9">
        <v>0.28999999999999998</v>
      </c>
      <c r="D316" s="9">
        <v>2.6</v>
      </c>
      <c r="E316" s="9">
        <v>8.6999999999999994E-2</v>
      </c>
      <c r="F316" s="9">
        <v>26</v>
      </c>
      <c r="G316" s="9">
        <v>72</v>
      </c>
      <c r="H316" s="9">
        <v>0.99644999999999995</v>
      </c>
      <c r="I316" s="9">
        <v>3.39</v>
      </c>
      <c r="J316" s="9">
        <v>0.68</v>
      </c>
      <c r="K316" s="9">
        <v>11</v>
      </c>
      <c r="L316" s="9">
        <v>5</v>
      </c>
    </row>
    <row r="317" spans="1:12" x14ac:dyDescent="0.3">
      <c r="A317" s="9">
        <v>7.1</v>
      </c>
      <c r="B317" s="9">
        <v>0.35</v>
      </c>
      <c r="C317" s="9">
        <v>0.28999999999999998</v>
      </c>
      <c r="D317" s="9">
        <v>2.5</v>
      </c>
      <c r="E317" s="9">
        <v>9.6000000000000002E-2</v>
      </c>
      <c r="F317" s="9">
        <v>20</v>
      </c>
      <c r="G317" s="9">
        <v>53</v>
      </c>
      <c r="H317" s="9">
        <v>0.99619999999999997</v>
      </c>
      <c r="I317" s="9">
        <v>3.42</v>
      </c>
      <c r="J317" s="9">
        <v>0.65</v>
      </c>
      <c r="K317" s="9">
        <v>11</v>
      </c>
      <c r="L317" s="9">
        <v>6</v>
      </c>
    </row>
    <row r="318" spans="1:12" x14ac:dyDescent="0.3">
      <c r="A318" s="9">
        <v>9.6</v>
      </c>
      <c r="B318" s="9">
        <v>0.56000000000000005</v>
      </c>
      <c r="C318" s="9">
        <v>0.23</v>
      </c>
      <c r="D318" s="9">
        <v>3.4</v>
      </c>
      <c r="E318" s="9">
        <v>0.10199999999999999</v>
      </c>
      <c r="F318" s="9">
        <v>37</v>
      </c>
      <c r="G318" s="9">
        <v>92</v>
      </c>
      <c r="H318" s="9">
        <v>0.99960000000000004</v>
      </c>
      <c r="I318" s="9">
        <v>3.3</v>
      </c>
      <c r="J318" s="9">
        <v>0.65</v>
      </c>
      <c r="K318" s="9">
        <v>10.1</v>
      </c>
      <c r="L318" s="9">
        <v>5</v>
      </c>
    </row>
    <row r="319" spans="1:12" x14ac:dyDescent="0.3">
      <c r="A319" s="9">
        <v>9.6</v>
      </c>
      <c r="B319" s="9">
        <v>0.77</v>
      </c>
      <c r="C319" s="9">
        <v>0.12</v>
      </c>
      <c r="D319" s="9">
        <v>2.9</v>
      </c>
      <c r="E319" s="9">
        <v>8.2000000000000003E-2</v>
      </c>
      <c r="F319" s="9">
        <v>30</v>
      </c>
      <c r="G319" s="9">
        <v>74</v>
      </c>
      <c r="H319" s="9">
        <v>0.99865000000000004</v>
      </c>
      <c r="I319" s="9">
        <v>3.3</v>
      </c>
      <c r="J319" s="9">
        <v>0.64</v>
      </c>
      <c r="K319" s="9">
        <v>10.4</v>
      </c>
      <c r="L319" s="9">
        <v>6</v>
      </c>
    </row>
    <row r="320" spans="1:12" x14ac:dyDescent="0.3">
      <c r="A320" s="9">
        <v>9.8000000000000007</v>
      </c>
      <c r="B320" s="9">
        <v>0.66</v>
      </c>
      <c r="C320" s="9">
        <v>0.39</v>
      </c>
      <c r="D320" s="9">
        <v>3.2</v>
      </c>
      <c r="E320" s="9">
        <v>8.3000000000000004E-2</v>
      </c>
      <c r="F320" s="9">
        <v>21</v>
      </c>
      <c r="G320" s="9">
        <v>59</v>
      </c>
      <c r="H320" s="9">
        <v>0.99890000000000001</v>
      </c>
      <c r="I320" s="9">
        <v>3.37</v>
      </c>
      <c r="J320" s="9">
        <v>0.71</v>
      </c>
      <c r="K320" s="9">
        <v>11.5</v>
      </c>
      <c r="L320" s="9">
        <v>7</v>
      </c>
    </row>
    <row r="321" spans="1:12" x14ac:dyDescent="0.3">
      <c r="A321" s="9">
        <v>9.6</v>
      </c>
      <c r="B321" s="9">
        <v>0.77</v>
      </c>
      <c r="C321" s="9">
        <v>0.12</v>
      </c>
      <c r="D321" s="9">
        <v>2.9</v>
      </c>
      <c r="E321" s="9">
        <v>8.2000000000000003E-2</v>
      </c>
      <c r="F321" s="9">
        <v>30</v>
      </c>
      <c r="G321" s="9">
        <v>74</v>
      </c>
      <c r="H321" s="9">
        <v>0.99865000000000004</v>
      </c>
      <c r="I321" s="9">
        <v>3.3</v>
      </c>
      <c r="J321" s="9">
        <v>0.64</v>
      </c>
      <c r="K321" s="9">
        <v>10.4</v>
      </c>
      <c r="L321" s="9">
        <v>6</v>
      </c>
    </row>
    <row r="322" spans="1:12" x14ac:dyDescent="0.3">
      <c r="A322" s="9">
        <v>9.8000000000000007</v>
      </c>
      <c r="B322" s="9">
        <v>0.66</v>
      </c>
      <c r="C322" s="9">
        <v>0.39</v>
      </c>
      <c r="D322" s="9">
        <v>3.2</v>
      </c>
      <c r="E322" s="9">
        <v>8.3000000000000004E-2</v>
      </c>
      <c r="F322" s="9">
        <v>21</v>
      </c>
      <c r="G322" s="9">
        <v>59</v>
      </c>
      <c r="H322" s="9">
        <v>0.99890000000000001</v>
      </c>
      <c r="I322" s="9">
        <v>3.37</v>
      </c>
      <c r="J322" s="9">
        <v>0.71</v>
      </c>
      <c r="K322" s="9">
        <v>11.5</v>
      </c>
      <c r="L322" s="9">
        <v>7</v>
      </c>
    </row>
    <row r="323" spans="1:12" x14ac:dyDescent="0.3">
      <c r="A323" s="9">
        <v>9.3000000000000007</v>
      </c>
      <c r="B323" s="9">
        <v>0.61</v>
      </c>
      <c r="C323" s="9">
        <v>0.26</v>
      </c>
      <c r="D323" s="9">
        <v>3.4</v>
      </c>
      <c r="E323" s="9">
        <v>0.09</v>
      </c>
      <c r="F323" s="9">
        <v>25</v>
      </c>
      <c r="G323" s="9">
        <v>87</v>
      </c>
      <c r="H323" s="9">
        <v>0.99975000000000003</v>
      </c>
      <c r="I323" s="9">
        <v>3.24</v>
      </c>
      <c r="J323" s="9">
        <v>0.62</v>
      </c>
      <c r="K323" s="9">
        <v>9.6999999999999993</v>
      </c>
      <c r="L323" s="9">
        <v>5</v>
      </c>
    </row>
    <row r="324" spans="1:12" x14ac:dyDescent="0.3">
      <c r="A324" s="9">
        <v>7.8</v>
      </c>
      <c r="B324" s="9">
        <v>0.62</v>
      </c>
      <c r="C324" s="9">
        <v>0.05</v>
      </c>
      <c r="D324" s="9">
        <v>2.2999999999999998</v>
      </c>
      <c r="E324" s="9">
        <v>7.9000000000000001E-2</v>
      </c>
      <c r="F324" s="9">
        <v>6</v>
      </c>
      <c r="G324" s="9">
        <v>18</v>
      </c>
      <c r="H324" s="9">
        <v>0.99734999999999996</v>
      </c>
      <c r="I324" s="9">
        <v>3.29</v>
      </c>
      <c r="J324" s="9">
        <v>0.63</v>
      </c>
      <c r="K324" s="9">
        <v>9.3000000000000007</v>
      </c>
      <c r="L324" s="9">
        <v>5</v>
      </c>
    </row>
    <row r="325" spans="1:12" x14ac:dyDescent="0.3">
      <c r="A325" s="9">
        <v>10.3</v>
      </c>
      <c r="B325" s="9">
        <v>0.59</v>
      </c>
      <c r="C325" s="9">
        <v>0.42</v>
      </c>
      <c r="D325" s="9">
        <v>2.8</v>
      </c>
      <c r="E325" s="9">
        <v>0.09</v>
      </c>
      <c r="F325" s="9">
        <v>35</v>
      </c>
      <c r="G325" s="9">
        <v>73</v>
      </c>
      <c r="H325" s="9">
        <v>0.999</v>
      </c>
      <c r="I325" s="9">
        <v>3.28</v>
      </c>
      <c r="J325" s="9">
        <v>0.7</v>
      </c>
      <c r="K325" s="9">
        <v>9.5</v>
      </c>
      <c r="L325" s="9">
        <v>6</v>
      </c>
    </row>
    <row r="326" spans="1:12" x14ac:dyDescent="0.3">
      <c r="A326" s="9">
        <v>10</v>
      </c>
      <c r="B326" s="9">
        <v>0.49</v>
      </c>
      <c r="C326" s="9">
        <v>0.2</v>
      </c>
      <c r="D326" s="9">
        <v>11</v>
      </c>
      <c r="E326" s="9">
        <v>7.0999999999999994E-2</v>
      </c>
      <c r="F326" s="9">
        <v>13</v>
      </c>
      <c r="G326" s="9">
        <v>50</v>
      </c>
      <c r="H326" s="9">
        <v>1.0015000000000001</v>
      </c>
      <c r="I326" s="9">
        <v>3.16</v>
      </c>
      <c r="J326" s="9">
        <v>0.69</v>
      </c>
      <c r="K326" s="9">
        <v>9.1999999999999993</v>
      </c>
      <c r="L326" s="9">
        <v>6</v>
      </c>
    </row>
    <row r="327" spans="1:12" x14ac:dyDescent="0.3">
      <c r="A327" s="9">
        <v>10</v>
      </c>
      <c r="B327" s="9">
        <v>0.49</v>
      </c>
      <c r="C327" s="9">
        <v>0.2</v>
      </c>
      <c r="D327" s="9">
        <v>11</v>
      </c>
      <c r="E327" s="9">
        <v>7.0999999999999994E-2</v>
      </c>
      <c r="F327" s="9">
        <v>13</v>
      </c>
      <c r="G327" s="9">
        <v>50</v>
      </c>
      <c r="H327" s="9">
        <v>1.0015000000000001</v>
      </c>
      <c r="I327" s="9">
        <v>3.16</v>
      </c>
      <c r="J327" s="9">
        <v>0.69</v>
      </c>
      <c r="K327" s="9">
        <v>9.1999999999999993</v>
      </c>
      <c r="L327" s="9">
        <v>6</v>
      </c>
    </row>
    <row r="328" spans="1:12" x14ac:dyDescent="0.3">
      <c r="A328" s="9">
        <v>11.6</v>
      </c>
      <c r="B328" s="9">
        <v>0.53</v>
      </c>
      <c r="C328" s="9">
        <v>0.66</v>
      </c>
      <c r="D328" s="9">
        <v>3.65</v>
      </c>
      <c r="E328" s="9">
        <v>0.121</v>
      </c>
      <c r="F328" s="9">
        <v>6</v>
      </c>
      <c r="G328" s="9">
        <v>14</v>
      </c>
      <c r="H328" s="9">
        <v>0.99780000000000002</v>
      </c>
      <c r="I328" s="9">
        <v>3.05</v>
      </c>
      <c r="J328" s="9">
        <v>0.74</v>
      </c>
      <c r="K328" s="9">
        <v>11.5</v>
      </c>
      <c r="L328" s="9">
        <v>7</v>
      </c>
    </row>
    <row r="329" spans="1:12" x14ac:dyDescent="0.3">
      <c r="A329" s="9">
        <v>10.3</v>
      </c>
      <c r="B329" s="9">
        <v>0.44</v>
      </c>
      <c r="C329" s="9">
        <v>0.5</v>
      </c>
      <c r="D329" s="9">
        <v>4.5</v>
      </c>
      <c r="E329" s="9">
        <v>0.107</v>
      </c>
      <c r="F329" s="9">
        <v>5</v>
      </c>
      <c r="G329" s="9">
        <v>13</v>
      </c>
      <c r="H329" s="9">
        <v>0.998</v>
      </c>
      <c r="I329" s="9">
        <v>3.28</v>
      </c>
      <c r="J329" s="9">
        <v>0.83</v>
      </c>
      <c r="K329" s="9">
        <v>11.5</v>
      </c>
      <c r="L329" s="9">
        <v>5</v>
      </c>
    </row>
    <row r="330" spans="1:12" x14ac:dyDescent="0.3">
      <c r="A330" s="9">
        <v>13.4</v>
      </c>
      <c r="B330" s="9">
        <v>0.27</v>
      </c>
      <c r="C330" s="9">
        <v>0.62</v>
      </c>
      <c r="D330" s="9">
        <v>2.6</v>
      </c>
      <c r="E330" s="9">
        <v>8.2000000000000003E-2</v>
      </c>
      <c r="F330" s="9">
        <v>6</v>
      </c>
      <c r="G330" s="9">
        <v>21</v>
      </c>
      <c r="H330" s="9">
        <v>1.0002</v>
      </c>
      <c r="I330" s="9">
        <v>3.16</v>
      </c>
      <c r="J330" s="9">
        <v>0.67</v>
      </c>
      <c r="K330" s="9">
        <v>9.6999999999999993</v>
      </c>
      <c r="L330" s="9">
        <v>6</v>
      </c>
    </row>
    <row r="331" spans="1:12" x14ac:dyDescent="0.3">
      <c r="A331" s="9">
        <v>10.7</v>
      </c>
      <c r="B331" s="9">
        <v>0.46</v>
      </c>
      <c r="C331" s="9">
        <v>0.39</v>
      </c>
      <c r="D331" s="9">
        <v>2</v>
      </c>
      <c r="E331" s="9">
        <v>6.0999999999999999E-2</v>
      </c>
      <c r="F331" s="9">
        <v>7</v>
      </c>
      <c r="G331" s="9">
        <v>15</v>
      </c>
      <c r="H331" s="9">
        <v>0.99809999999999999</v>
      </c>
      <c r="I331" s="9">
        <v>3.18</v>
      </c>
      <c r="J331" s="9">
        <v>0.62</v>
      </c>
      <c r="K331" s="9">
        <v>9.5</v>
      </c>
      <c r="L331" s="9">
        <v>5</v>
      </c>
    </row>
    <row r="332" spans="1:12" x14ac:dyDescent="0.3">
      <c r="A332" s="9">
        <v>10.199999999999999</v>
      </c>
      <c r="B332" s="9">
        <v>0.36</v>
      </c>
      <c r="C332" s="9">
        <v>0.64</v>
      </c>
      <c r="D332" s="9">
        <v>2.9</v>
      </c>
      <c r="E332" s="9">
        <v>0.122</v>
      </c>
      <c r="F332" s="9">
        <v>10</v>
      </c>
      <c r="G332" s="9">
        <v>41</v>
      </c>
      <c r="H332" s="9">
        <v>0.998</v>
      </c>
      <c r="I332" s="9">
        <v>3.23</v>
      </c>
      <c r="J332" s="9">
        <v>0.66</v>
      </c>
      <c r="K332" s="9">
        <v>12.5</v>
      </c>
      <c r="L332" s="9">
        <v>6</v>
      </c>
    </row>
    <row r="333" spans="1:12" x14ac:dyDescent="0.3">
      <c r="A333" s="9">
        <v>10.199999999999999</v>
      </c>
      <c r="B333" s="9">
        <v>0.36</v>
      </c>
      <c r="C333" s="9">
        <v>0.64</v>
      </c>
      <c r="D333" s="9">
        <v>2.9</v>
      </c>
      <c r="E333" s="9">
        <v>0.122</v>
      </c>
      <c r="F333" s="9">
        <v>10</v>
      </c>
      <c r="G333" s="9">
        <v>41</v>
      </c>
      <c r="H333" s="9">
        <v>0.998</v>
      </c>
      <c r="I333" s="9">
        <v>3.23</v>
      </c>
      <c r="J333" s="9">
        <v>0.66</v>
      </c>
      <c r="K333" s="9">
        <v>12.5</v>
      </c>
      <c r="L333" s="9">
        <v>6</v>
      </c>
    </row>
    <row r="334" spans="1:12" x14ac:dyDescent="0.3">
      <c r="A334" s="9">
        <v>8</v>
      </c>
      <c r="B334" s="9">
        <v>0.57999999999999996</v>
      </c>
      <c r="C334" s="9">
        <v>0.28000000000000003</v>
      </c>
      <c r="D334" s="9">
        <v>3.2</v>
      </c>
      <c r="E334" s="9">
        <v>6.6000000000000003E-2</v>
      </c>
      <c r="F334" s="9">
        <v>21</v>
      </c>
      <c r="G334" s="9">
        <v>114</v>
      </c>
      <c r="H334" s="9">
        <v>0.99729999999999996</v>
      </c>
      <c r="I334" s="9">
        <v>3.22</v>
      </c>
      <c r="J334" s="9">
        <v>0.54</v>
      </c>
      <c r="K334" s="9">
        <v>9.4</v>
      </c>
      <c r="L334" s="9">
        <v>6</v>
      </c>
    </row>
    <row r="335" spans="1:12" x14ac:dyDescent="0.3">
      <c r="A335" s="9">
        <v>8.4</v>
      </c>
      <c r="B335" s="9">
        <v>0.56000000000000005</v>
      </c>
      <c r="C335" s="9">
        <v>0.08</v>
      </c>
      <c r="D335" s="9">
        <v>2.1</v>
      </c>
      <c r="E335" s="9">
        <v>0.105</v>
      </c>
      <c r="F335" s="9">
        <v>16</v>
      </c>
      <c r="G335" s="9">
        <v>44</v>
      </c>
      <c r="H335" s="9">
        <v>0.99580000000000002</v>
      </c>
      <c r="I335" s="9">
        <v>3.13</v>
      </c>
      <c r="J335" s="9">
        <v>0.52</v>
      </c>
      <c r="K335" s="9">
        <v>11</v>
      </c>
      <c r="L335" s="9">
        <v>5</v>
      </c>
    </row>
    <row r="336" spans="1:12" x14ac:dyDescent="0.3">
      <c r="A336" s="9">
        <v>7.9</v>
      </c>
      <c r="B336" s="9">
        <v>0.65</v>
      </c>
      <c r="C336" s="9">
        <v>0.01</v>
      </c>
      <c r="D336" s="9">
        <v>2.5</v>
      </c>
      <c r="E336" s="9">
        <v>7.8E-2</v>
      </c>
      <c r="F336" s="9">
        <v>17</v>
      </c>
      <c r="G336" s="9">
        <v>38</v>
      </c>
      <c r="H336" s="9">
        <v>0.99629999999999996</v>
      </c>
      <c r="I336" s="9">
        <v>3.34</v>
      </c>
      <c r="J336" s="9">
        <v>0.74</v>
      </c>
      <c r="K336" s="9">
        <v>11.7</v>
      </c>
      <c r="L336" s="9">
        <v>7</v>
      </c>
    </row>
    <row r="337" spans="1:12" x14ac:dyDescent="0.3">
      <c r="A337" s="9">
        <v>11.9</v>
      </c>
      <c r="B337" s="9">
        <v>0.69499999999999995</v>
      </c>
      <c r="C337" s="9">
        <v>0.53</v>
      </c>
      <c r="D337" s="9">
        <v>3.4</v>
      </c>
      <c r="E337" s="9">
        <v>0.128</v>
      </c>
      <c r="F337" s="9">
        <v>7</v>
      </c>
      <c r="G337" s="9">
        <v>21</v>
      </c>
      <c r="H337" s="9">
        <v>0.99919999999999998</v>
      </c>
      <c r="I337" s="9">
        <v>3.17</v>
      </c>
      <c r="J337" s="9">
        <v>0.84</v>
      </c>
      <c r="K337" s="9">
        <v>12.2</v>
      </c>
      <c r="L337" s="9">
        <v>7</v>
      </c>
    </row>
    <row r="338" spans="1:12" x14ac:dyDescent="0.3">
      <c r="A338" s="9">
        <v>8.9</v>
      </c>
      <c r="B338" s="9">
        <v>0.43</v>
      </c>
      <c r="C338" s="9">
        <v>0.45</v>
      </c>
      <c r="D338" s="9">
        <v>1.9</v>
      </c>
      <c r="E338" s="9">
        <v>5.1999999999999998E-2</v>
      </c>
      <c r="F338" s="9">
        <v>6</v>
      </c>
      <c r="G338" s="9">
        <v>16</v>
      </c>
      <c r="H338" s="9">
        <v>0.99480000000000002</v>
      </c>
      <c r="I338" s="9">
        <v>3.35</v>
      </c>
      <c r="J338" s="9">
        <v>0.7</v>
      </c>
      <c r="K338" s="9">
        <v>12.5</v>
      </c>
      <c r="L338" s="9">
        <v>6</v>
      </c>
    </row>
    <row r="339" spans="1:12" x14ac:dyDescent="0.3">
      <c r="A339" s="9">
        <v>7.8</v>
      </c>
      <c r="B339" s="9">
        <v>0.43</v>
      </c>
      <c r="C339" s="9">
        <v>0.32</v>
      </c>
      <c r="D339" s="9">
        <v>2.8</v>
      </c>
      <c r="E339" s="9">
        <v>0.08</v>
      </c>
      <c r="F339" s="9">
        <v>29</v>
      </c>
      <c r="G339" s="9">
        <v>58</v>
      </c>
      <c r="H339" s="9">
        <v>0.99739999999999995</v>
      </c>
      <c r="I339" s="9">
        <v>3.31</v>
      </c>
      <c r="J339" s="9">
        <v>0.64</v>
      </c>
      <c r="K339" s="9">
        <v>10.3</v>
      </c>
      <c r="L339" s="9">
        <v>5</v>
      </c>
    </row>
    <row r="340" spans="1:12" x14ac:dyDescent="0.3">
      <c r="A340" s="9">
        <v>12.4</v>
      </c>
      <c r="B340" s="9">
        <v>0.49</v>
      </c>
      <c r="C340" s="9">
        <v>0.57999999999999996</v>
      </c>
      <c r="D340" s="9">
        <v>3</v>
      </c>
      <c r="E340" s="9">
        <v>0.10299999999999999</v>
      </c>
      <c r="F340" s="9">
        <v>28</v>
      </c>
      <c r="G340" s="9">
        <v>99</v>
      </c>
      <c r="H340" s="9">
        <v>1.0007999999999999</v>
      </c>
      <c r="I340" s="9">
        <v>3.16</v>
      </c>
      <c r="J340" s="9">
        <v>1</v>
      </c>
      <c r="K340" s="9">
        <v>11.5</v>
      </c>
      <c r="L340" s="9">
        <v>6</v>
      </c>
    </row>
    <row r="341" spans="1:12" x14ac:dyDescent="0.3">
      <c r="A341" s="9">
        <v>12.5</v>
      </c>
      <c r="B341" s="9">
        <v>0.28000000000000003</v>
      </c>
      <c r="C341" s="9">
        <v>0.54</v>
      </c>
      <c r="D341" s="9">
        <v>2.2999999999999998</v>
      </c>
      <c r="E341" s="9">
        <v>8.2000000000000003E-2</v>
      </c>
      <c r="F341" s="9">
        <v>12</v>
      </c>
      <c r="G341" s="9">
        <v>29</v>
      </c>
      <c r="H341" s="9">
        <v>0.99970000000000003</v>
      </c>
      <c r="I341" s="9">
        <v>3.11</v>
      </c>
      <c r="J341" s="9">
        <v>1.36</v>
      </c>
      <c r="K341" s="9">
        <v>9.8000000000000007</v>
      </c>
      <c r="L341" s="9">
        <v>7</v>
      </c>
    </row>
    <row r="342" spans="1:12" x14ac:dyDescent="0.3">
      <c r="A342" s="9">
        <v>12.2</v>
      </c>
      <c r="B342" s="9">
        <v>0.34</v>
      </c>
      <c r="C342" s="9">
        <v>0.5</v>
      </c>
      <c r="D342" s="9">
        <v>2.4</v>
      </c>
      <c r="E342" s="9">
        <v>6.6000000000000003E-2</v>
      </c>
      <c r="F342" s="9">
        <v>10</v>
      </c>
      <c r="G342" s="9">
        <v>21</v>
      </c>
      <c r="H342" s="9">
        <v>1</v>
      </c>
      <c r="I342" s="9">
        <v>3.12</v>
      </c>
      <c r="J342" s="9">
        <v>1.18</v>
      </c>
      <c r="K342" s="9">
        <v>9.1999999999999993</v>
      </c>
      <c r="L342" s="9">
        <v>6</v>
      </c>
    </row>
    <row r="343" spans="1:12" x14ac:dyDescent="0.3">
      <c r="A343" s="9">
        <v>10.6</v>
      </c>
      <c r="B343" s="9">
        <v>0.42</v>
      </c>
      <c r="C343" s="9">
        <v>0.48</v>
      </c>
      <c r="D343" s="9">
        <v>2.7</v>
      </c>
      <c r="E343" s="9">
        <v>6.5000000000000002E-2</v>
      </c>
      <c r="F343" s="9">
        <v>5</v>
      </c>
      <c r="G343" s="9">
        <v>18</v>
      </c>
      <c r="H343" s="9">
        <v>0.99719999999999998</v>
      </c>
      <c r="I343" s="9">
        <v>3.21</v>
      </c>
      <c r="J343" s="9">
        <v>0.87</v>
      </c>
      <c r="K343" s="9">
        <v>11.3</v>
      </c>
      <c r="L343" s="9">
        <v>6</v>
      </c>
    </row>
    <row r="344" spans="1:12" x14ac:dyDescent="0.3">
      <c r="A344" s="9">
        <v>10.9</v>
      </c>
      <c r="B344" s="9">
        <v>0.39</v>
      </c>
      <c r="C344" s="9">
        <v>0.47</v>
      </c>
      <c r="D344" s="9">
        <v>1.8</v>
      </c>
      <c r="E344" s="9">
        <v>0.11799999999999999</v>
      </c>
      <c r="F344" s="9">
        <v>6</v>
      </c>
      <c r="G344" s="9">
        <v>14</v>
      </c>
      <c r="H344" s="9">
        <v>0.99819999999999998</v>
      </c>
      <c r="I344" s="9">
        <v>3.3</v>
      </c>
      <c r="J344" s="9">
        <v>0.75</v>
      </c>
      <c r="K344" s="9">
        <v>9.8000000000000007</v>
      </c>
      <c r="L344" s="9">
        <v>6</v>
      </c>
    </row>
    <row r="345" spans="1:12" x14ac:dyDescent="0.3">
      <c r="A345" s="9">
        <v>10.9</v>
      </c>
      <c r="B345" s="9">
        <v>0.39</v>
      </c>
      <c r="C345" s="9">
        <v>0.47</v>
      </c>
      <c r="D345" s="9">
        <v>1.8</v>
      </c>
      <c r="E345" s="9">
        <v>0.11799999999999999</v>
      </c>
      <c r="F345" s="9">
        <v>6</v>
      </c>
      <c r="G345" s="9">
        <v>14</v>
      </c>
      <c r="H345" s="9">
        <v>0.99819999999999998</v>
      </c>
      <c r="I345" s="9">
        <v>3.3</v>
      </c>
      <c r="J345" s="9">
        <v>0.75</v>
      </c>
      <c r="K345" s="9">
        <v>9.8000000000000007</v>
      </c>
      <c r="L345" s="9">
        <v>6</v>
      </c>
    </row>
    <row r="346" spans="1:12" x14ac:dyDescent="0.3">
      <c r="A346" s="9">
        <v>11.9</v>
      </c>
      <c r="B346" s="9">
        <v>0.56999999999999995</v>
      </c>
      <c r="C346" s="9">
        <v>0.5</v>
      </c>
      <c r="D346" s="9">
        <v>2.6</v>
      </c>
      <c r="E346" s="9">
        <v>8.2000000000000003E-2</v>
      </c>
      <c r="F346" s="9">
        <v>6</v>
      </c>
      <c r="G346" s="9">
        <v>32</v>
      </c>
      <c r="H346" s="9">
        <v>1.0005999999999999</v>
      </c>
      <c r="I346" s="9">
        <v>3.12</v>
      </c>
      <c r="J346" s="9">
        <v>0.78</v>
      </c>
      <c r="K346" s="9">
        <v>10.7</v>
      </c>
      <c r="L346" s="9">
        <v>6</v>
      </c>
    </row>
    <row r="347" spans="1:12" x14ac:dyDescent="0.3">
      <c r="A347" s="9">
        <v>7</v>
      </c>
      <c r="B347" s="9">
        <v>0.68500000000000005</v>
      </c>
      <c r="C347" s="9">
        <v>0</v>
      </c>
      <c r="D347" s="9">
        <v>1.9</v>
      </c>
      <c r="E347" s="9">
        <v>6.7000000000000004E-2</v>
      </c>
      <c r="F347" s="9">
        <v>40</v>
      </c>
      <c r="G347" s="9">
        <v>63</v>
      </c>
      <c r="H347" s="9">
        <v>0.99790000000000001</v>
      </c>
      <c r="I347" s="9">
        <v>3.6</v>
      </c>
      <c r="J347" s="9">
        <v>0.81</v>
      </c>
      <c r="K347" s="9">
        <v>9.9</v>
      </c>
      <c r="L347" s="9">
        <v>5</v>
      </c>
    </row>
    <row r="348" spans="1:12" x14ac:dyDescent="0.3">
      <c r="A348" s="9">
        <v>6.6</v>
      </c>
      <c r="B348" s="9">
        <v>0.81499999999999995</v>
      </c>
      <c r="C348" s="9">
        <v>0.02</v>
      </c>
      <c r="D348" s="9">
        <v>2.7</v>
      </c>
      <c r="E348" s="9">
        <v>7.1999999999999995E-2</v>
      </c>
      <c r="F348" s="9">
        <v>17</v>
      </c>
      <c r="G348" s="9">
        <v>34</v>
      </c>
      <c r="H348" s="9">
        <v>0.99550000000000005</v>
      </c>
      <c r="I348" s="9">
        <v>3.58</v>
      </c>
      <c r="J348" s="9">
        <v>0.89</v>
      </c>
      <c r="K348" s="9">
        <v>12.3</v>
      </c>
      <c r="L348" s="9">
        <v>7</v>
      </c>
    </row>
    <row r="349" spans="1:12" x14ac:dyDescent="0.3">
      <c r="A349" s="9">
        <v>13.8</v>
      </c>
      <c r="B349" s="9">
        <v>0.49</v>
      </c>
      <c r="C349" s="9">
        <v>0.67</v>
      </c>
      <c r="D349" s="9">
        <v>3</v>
      </c>
      <c r="E349" s="9">
        <v>9.2999999999999999E-2</v>
      </c>
      <c r="F349" s="9">
        <v>6</v>
      </c>
      <c r="G349" s="9">
        <v>15</v>
      </c>
      <c r="H349" s="9">
        <v>0.99860000000000004</v>
      </c>
      <c r="I349" s="9">
        <v>3.02</v>
      </c>
      <c r="J349" s="9">
        <v>0.93</v>
      </c>
      <c r="K349" s="9">
        <v>12</v>
      </c>
      <c r="L349" s="9">
        <v>6</v>
      </c>
    </row>
    <row r="350" spans="1:12" x14ac:dyDescent="0.3">
      <c r="A350" s="9">
        <v>9.6</v>
      </c>
      <c r="B350" s="9">
        <v>0.56000000000000005</v>
      </c>
      <c r="C350" s="9">
        <v>0.31</v>
      </c>
      <c r="D350" s="9">
        <v>2.8</v>
      </c>
      <c r="E350" s="9">
        <v>8.8999999999999996E-2</v>
      </c>
      <c r="F350" s="9">
        <v>15</v>
      </c>
      <c r="G350" s="9">
        <v>46</v>
      </c>
      <c r="H350" s="9">
        <v>0.99790000000000001</v>
      </c>
      <c r="I350" s="9">
        <v>3.11</v>
      </c>
      <c r="J350" s="9">
        <v>0.92</v>
      </c>
      <c r="K350" s="9">
        <v>10</v>
      </c>
      <c r="L350" s="9">
        <v>6</v>
      </c>
    </row>
    <row r="351" spans="1:12" x14ac:dyDescent="0.3">
      <c r="A351" s="9">
        <v>9.1</v>
      </c>
      <c r="B351" s="9">
        <v>0.78500000000000003</v>
      </c>
      <c r="C351" s="9">
        <v>0</v>
      </c>
      <c r="D351" s="9">
        <v>2.6</v>
      </c>
      <c r="E351" s="9">
        <v>9.2999999999999999E-2</v>
      </c>
      <c r="F351" s="9">
        <v>11</v>
      </c>
      <c r="G351" s="9">
        <v>28</v>
      </c>
      <c r="H351" s="9">
        <v>0.99939999999999996</v>
      </c>
      <c r="I351" s="9">
        <v>3.36</v>
      </c>
      <c r="J351" s="9">
        <v>0.86</v>
      </c>
      <c r="K351" s="9">
        <v>9.4</v>
      </c>
      <c r="L351" s="9">
        <v>6</v>
      </c>
    </row>
    <row r="352" spans="1:12" x14ac:dyDescent="0.3">
      <c r="A352" s="9">
        <v>10.7</v>
      </c>
      <c r="B352" s="9">
        <v>0.67</v>
      </c>
      <c r="C352" s="9">
        <v>0.22</v>
      </c>
      <c r="D352" s="9">
        <v>2.7</v>
      </c>
      <c r="E352" s="9">
        <v>0.107</v>
      </c>
      <c r="F352" s="9">
        <v>17</v>
      </c>
      <c r="G352" s="9">
        <v>34</v>
      </c>
      <c r="H352" s="9">
        <v>1.0004</v>
      </c>
      <c r="I352" s="9">
        <v>3.28</v>
      </c>
      <c r="J352" s="9">
        <v>0.98</v>
      </c>
      <c r="K352" s="9">
        <v>9.9</v>
      </c>
      <c r="L352" s="9">
        <v>6</v>
      </c>
    </row>
    <row r="353" spans="1:12" x14ac:dyDescent="0.3">
      <c r="A353" s="9">
        <v>9.1</v>
      </c>
      <c r="B353" s="9">
        <v>0.79500000000000004</v>
      </c>
      <c r="C353" s="9">
        <v>0</v>
      </c>
      <c r="D353" s="9">
        <v>2.6</v>
      </c>
      <c r="E353" s="9">
        <v>9.6000000000000002E-2</v>
      </c>
      <c r="F353" s="9">
        <v>11</v>
      </c>
      <c r="G353" s="9">
        <v>26</v>
      </c>
      <c r="H353" s="9">
        <v>0.99939999999999996</v>
      </c>
      <c r="I353" s="9">
        <v>3.35</v>
      </c>
      <c r="J353" s="9">
        <v>0.83</v>
      </c>
      <c r="K353" s="9">
        <v>9.4</v>
      </c>
      <c r="L353" s="9">
        <v>6</v>
      </c>
    </row>
    <row r="354" spans="1:12" x14ac:dyDescent="0.3">
      <c r="A354" s="9">
        <v>7.7</v>
      </c>
      <c r="B354" s="9">
        <v>0.66500000000000004</v>
      </c>
      <c r="C354" s="9">
        <v>0</v>
      </c>
      <c r="D354" s="9">
        <v>2.4</v>
      </c>
      <c r="E354" s="9">
        <v>0.09</v>
      </c>
      <c r="F354" s="9">
        <v>8</v>
      </c>
      <c r="G354" s="9">
        <v>19</v>
      </c>
      <c r="H354" s="9">
        <v>0.99739999999999995</v>
      </c>
      <c r="I354" s="9">
        <v>3.27</v>
      </c>
      <c r="J354" s="9">
        <v>0.73</v>
      </c>
      <c r="K354" s="9">
        <v>9.3000000000000007</v>
      </c>
      <c r="L354" s="9">
        <v>5</v>
      </c>
    </row>
    <row r="355" spans="1:12" x14ac:dyDescent="0.3">
      <c r="A355" s="9">
        <v>13.5</v>
      </c>
      <c r="B355" s="9">
        <v>0.53</v>
      </c>
      <c r="C355" s="9">
        <v>0.79</v>
      </c>
      <c r="D355" s="9">
        <v>4.8</v>
      </c>
      <c r="E355" s="9">
        <v>0.12</v>
      </c>
      <c r="F355" s="9">
        <v>23</v>
      </c>
      <c r="G355" s="9">
        <v>77</v>
      </c>
      <c r="H355" s="9">
        <v>1.0018</v>
      </c>
      <c r="I355" s="9">
        <v>3.18</v>
      </c>
      <c r="J355" s="9">
        <v>0.77</v>
      </c>
      <c r="K355" s="9">
        <v>13</v>
      </c>
      <c r="L355" s="9">
        <v>5</v>
      </c>
    </row>
    <row r="356" spans="1:12" x14ac:dyDescent="0.3">
      <c r="A356" s="9">
        <v>6.1</v>
      </c>
      <c r="B356" s="9">
        <v>0.21</v>
      </c>
      <c r="C356" s="9">
        <v>0.4</v>
      </c>
      <c r="D356" s="9">
        <v>1.4</v>
      </c>
      <c r="E356" s="9">
        <v>6.6000000000000003E-2</v>
      </c>
      <c r="F356" s="9">
        <v>40.5</v>
      </c>
      <c r="G356" s="9">
        <v>165</v>
      </c>
      <c r="H356" s="9">
        <v>0.99119999999999997</v>
      </c>
      <c r="I356" s="9">
        <v>3.25</v>
      </c>
      <c r="J356" s="9">
        <v>0.59</v>
      </c>
      <c r="K356" s="9">
        <v>11.9</v>
      </c>
      <c r="L356" s="9">
        <v>6</v>
      </c>
    </row>
    <row r="357" spans="1:12" x14ac:dyDescent="0.3">
      <c r="A357" s="9">
        <v>6.7</v>
      </c>
      <c r="B357" s="9">
        <v>0.75</v>
      </c>
      <c r="C357" s="9">
        <v>0.01</v>
      </c>
      <c r="D357" s="9">
        <v>2.4</v>
      </c>
      <c r="E357" s="9">
        <v>7.8E-2</v>
      </c>
      <c r="F357" s="9">
        <v>17</v>
      </c>
      <c r="G357" s="9">
        <v>32</v>
      </c>
      <c r="H357" s="9">
        <v>0.99550000000000005</v>
      </c>
      <c r="I357" s="9">
        <v>3.55</v>
      </c>
      <c r="J357" s="9">
        <v>0.61</v>
      </c>
      <c r="K357" s="9">
        <v>12.8</v>
      </c>
      <c r="L357" s="9">
        <v>6</v>
      </c>
    </row>
    <row r="358" spans="1:12" x14ac:dyDescent="0.3">
      <c r="A358" s="9">
        <v>11.5</v>
      </c>
      <c r="B358" s="9">
        <v>0.41</v>
      </c>
      <c r="C358" s="9">
        <v>0.52</v>
      </c>
      <c r="D358" s="9">
        <v>3</v>
      </c>
      <c r="E358" s="9">
        <v>0.08</v>
      </c>
      <c r="F358" s="9">
        <v>29</v>
      </c>
      <c r="G358" s="9">
        <v>55</v>
      </c>
      <c r="H358" s="9">
        <v>1.0001</v>
      </c>
      <c r="I358" s="9">
        <v>3.26</v>
      </c>
      <c r="J358" s="9">
        <v>0.88</v>
      </c>
      <c r="K358" s="9">
        <v>11</v>
      </c>
      <c r="L358" s="9">
        <v>5</v>
      </c>
    </row>
    <row r="359" spans="1:12" x14ac:dyDescent="0.3">
      <c r="A359" s="9">
        <v>10.5</v>
      </c>
      <c r="B359" s="9">
        <v>0.42</v>
      </c>
      <c r="C359" s="9">
        <v>0.66</v>
      </c>
      <c r="D359" s="9">
        <v>2.95</v>
      </c>
      <c r="E359" s="9">
        <v>0.11600000000000001</v>
      </c>
      <c r="F359" s="9">
        <v>12</v>
      </c>
      <c r="G359" s="9">
        <v>29</v>
      </c>
      <c r="H359" s="9">
        <v>0.997</v>
      </c>
      <c r="I359" s="9">
        <v>3.24</v>
      </c>
      <c r="J359" s="9">
        <v>0.75</v>
      </c>
      <c r="K359" s="9">
        <v>11.7</v>
      </c>
      <c r="L359" s="9">
        <v>7</v>
      </c>
    </row>
    <row r="360" spans="1:12" x14ac:dyDescent="0.3">
      <c r="A360" s="9">
        <v>11.9</v>
      </c>
      <c r="B360" s="9">
        <v>0.43</v>
      </c>
      <c r="C360" s="9">
        <v>0.66</v>
      </c>
      <c r="D360" s="9">
        <v>3.1</v>
      </c>
      <c r="E360" s="9">
        <v>0.109</v>
      </c>
      <c r="F360" s="9">
        <v>10</v>
      </c>
      <c r="G360" s="9">
        <v>23</v>
      </c>
      <c r="H360" s="9">
        <v>1</v>
      </c>
      <c r="I360" s="9">
        <v>3.15</v>
      </c>
      <c r="J360" s="9">
        <v>0.85</v>
      </c>
      <c r="K360" s="9">
        <v>10.4</v>
      </c>
      <c r="L360" s="9">
        <v>7</v>
      </c>
    </row>
    <row r="361" spans="1:12" x14ac:dyDescent="0.3">
      <c r="A361" s="9">
        <v>12.6</v>
      </c>
      <c r="B361" s="9">
        <v>0.38</v>
      </c>
      <c r="C361" s="9">
        <v>0.66</v>
      </c>
      <c r="D361" s="9">
        <v>2.6</v>
      </c>
      <c r="E361" s="9">
        <v>8.7999999999999995E-2</v>
      </c>
      <c r="F361" s="9">
        <v>10</v>
      </c>
      <c r="G361" s="9">
        <v>41</v>
      </c>
      <c r="H361" s="9">
        <v>1.0009999999999999</v>
      </c>
      <c r="I361" s="9">
        <v>3.17</v>
      </c>
      <c r="J361" s="9">
        <v>0.68</v>
      </c>
      <c r="K361" s="9">
        <v>9.8000000000000007</v>
      </c>
      <c r="L361" s="9">
        <v>6</v>
      </c>
    </row>
    <row r="362" spans="1:12" x14ac:dyDescent="0.3">
      <c r="A362" s="9">
        <v>8.1999999999999993</v>
      </c>
      <c r="B362" s="9">
        <v>0.7</v>
      </c>
      <c r="C362" s="9">
        <v>0.23</v>
      </c>
      <c r="D362" s="9">
        <v>2</v>
      </c>
      <c r="E362" s="9">
        <v>9.9000000000000005E-2</v>
      </c>
      <c r="F362" s="9">
        <v>14</v>
      </c>
      <c r="G362" s="9">
        <v>81</v>
      </c>
      <c r="H362" s="9">
        <v>0.99729999999999996</v>
      </c>
      <c r="I362" s="9">
        <v>3.19</v>
      </c>
      <c r="J362" s="9">
        <v>0.7</v>
      </c>
      <c r="K362" s="9">
        <v>9.4</v>
      </c>
      <c r="L362" s="9">
        <v>5</v>
      </c>
    </row>
    <row r="363" spans="1:12" x14ac:dyDescent="0.3">
      <c r="A363" s="9">
        <v>8.6</v>
      </c>
      <c r="B363" s="9">
        <v>0.45</v>
      </c>
      <c r="C363" s="9">
        <v>0.31</v>
      </c>
      <c r="D363" s="9">
        <v>2.6</v>
      </c>
      <c r="E363" s="9">
        <v>8.5999999999999993E-2</v>
      </c>
      <c r="F363" s="9">
        <v>21</v>
      </c>
      <c r="G363" s="9">
        <v>50</v>
      </c>
      <c r="H363" s="9">
        <v>0.99819999999999998</v>
      </c>
      <c r="I363" s="9">
        <v>3.37</v>
      </c>
      <c r="J363" s="9">
        <v>0.91</v>
      </c>
      <c r="K363" s="9">
        <v>9.9</v>
      </c>
      <c r="L363" s="9">
        <v>6</v>
      </c>
    </row>
    <row r="364" spans="1:12" x14ac:dyDescent="0.3">
      <c r="A364" s="9">
        <v>11.9</v>
      </c>
      <c r="B364" s="9">
        <v>0.57999999999999996</v>
      </c>
      <c r="C364" s="9">
        <v>0.66</v>
      </c>
      <c r="D364" s="9">
        <v>2.5</v>
      </c>
      <c r="E364" s="9">
        <v>7.1999999999999995E-2</v>
      </c>
      <c r="F364" s="9">
        <v>6</v>
      </c>
      <c r="G364" s="9">
        <v>37</v>
      </c>
      <c r="H364" s="9">
        <v>0.99919999999999998</v>
      </c>
      <c r="I364" s="9">
        <v>3.05</v>
      </c>
      <c r="J364" s="9">
        <v>0.56000000000000005</v>
      </c>
      <c r="K364" s="9">
        <v>10</v>
      </c>
      <c r="L364" s="9">
        <v>5</v>
      </c>
    </row>
    <row r="365" spans="1:12" x14ac:dyDescent="0.3">
      <c r="A365" s="9">
        <v>12.5</v>
      </c>
      <c r="B365" s="9">
        <v>0.46</v>
      </c>
      <c r="C365" s="9">
        <v>0.63</v>
      </c>
      <c r="D365" s="9">
        <v>2</v>
      </c>
      <c r="E365" s="9">
        <v>7.0999999999999994E-2</v>
      </c>
      <c r="F365" s="9">
        <v>6</v>
      </c>
      <c r="G365" s="9">
        <v>15</v>
      </c>
      <c r="H365" s="9">
        <v>0.99880000000000002</v>
      </c>
      <c r="I365" s="9">
        <v>2.99</v>
      </c>
      <c r="J365" s="9">
        <v>0.87</v>
      </c>
      <c r="K365" s="9">
        <v>10.199999999999999</v>
      </c>
      <c r="L365" s="9">
        <v>5</v>
      </c>
    </row>
    <row r="366" spans="1:12" x14ac:dyDescent="0.3">
      <c r="A366" s="9">
        <v>12.8</v>
      </c>
      <c r="B366" s="9">
        <v>0.61499999999999999</v>
      </c>
      <c r="C366" s="9">
        <v>0.66</v>
      </c>
      <c r="D366" s="9">
        <v>5.8</v>
      </c>
      <c r="E366" s="9">
        <v>8.3000000000000004E-2</v>
      </c>
      <c r="F366" s="9">
        <v>7</v>
      </c>
      <c r="G366" s="9">
        <v>42</v>
      </c>
      <c r="H366" s="9">
        <v>1.0022</v>
      </c>
      <c r="I366" s="9">
        <v>3.07</v>
      </c>
      <c r="J366" s="9">
        <v>0.73</v>
      </c>
      <c r="K366" s="9">
        <v>10</v>
      </c>
      <c r="L366" s="9">
        <v>7</v>
      </c>
    </row>
    <row r="367" spans="1:12" x14ac:dyDescent="0.3">
      <c r="A367" s="9">
        <v>10</v>
      </c>
      <c r="B367" s="9">
        <v>0.42</v>
      </c>
      <c r="C367" s="9">
        <v>0.5</v>
      </c>
      <c r="D367" s="9">
        <v>3.4</v>
      </c>
      <c r="E367" s="9">
        <v>0.107</v>
      </c>
      <c r="F367" s="9">
        <v>7</v>
      </c>
      <c r="G367" s="9">
        <v>21</v>
      </c>
      <c r="H367" s="9">
        <v>0.99790000000000001</v>
      </c>
      <c r="I367" s="9">
        <v>3.26</v>
      </c>
      <c r="J367" s="9">
        <v>0.93</v>
      </c>
      <c r="K367" s="9">
        <v>11.8</v>
      </c>
      <c r="L367" s="9">
        <v>6</v>
      </c>
    </row>
    <row r="368" spans="1:12" x14ac:dyDescent="0.3">
      <c r="A368" s="9">
        <v>12.8</v>
      </c>
      <c r="B368" s="9">
        <v>0.61499999999999999</v>
      </c>
      <c r="C368" s="9">
        <v>0.66</v>
      </c>
      <c r="D368" s="9">
        <v>5.8</v>
      </c>
      <c r="E368" s="9">
        <v>8.3000000000000004E-2</v>
      </c>
      <c r="F368" s="9">
        <v>7</v>
      </c>
      <c r="G368" s="9">
        <v>42</v>
      </c>
      <c r="H368" s="9">
        <v>1.0022</v>
      </c>
      <c r="I368" s="9">
        <v>3.07</v>
      </c>
      <c r="J368" s="9">
        <v>0.73</v>
      </c>
      <c r="K368" s="9">
        <v>10</v>
      </c>
      <c r="L368" s="9">
        <v>7</v>
      </c>
    </row>
    <row r="369" spans="1:12" x14ac:dyDescent="0.3">
      <c r="A369" s="9">
        <v>10.4</v>
      </c>
      <c r="B369" s="9">
        <v>0.57499999999999996</v>
      </c>
      <c r="C369" s="9">
        <v>0.61</v>
      </c>
      <c r="D369" s="9">
        <v>2.6</v>
      </c>
      <c r="E369" s="9">
        <v>7.5999999999999998E-2</v>
      </c>
      <c r="F369" s="9">
        <v>11</v>
      </c>
      <c r="G369" s="9">
        <v>24</v>
      </c>
      <c r="H369" s="9">
        <v>1</v>
      </c>
      <c r="I369" s="9">
        <v>3.16</v>
      </c>
      <c r="J369" s="9">
        <v>0.69</v>
      </c>
      <c r="K369" s="9">
        <v>9</v>
      </c>
      <c r="L369" s="9">
        <v>5</v>
      </c>
    </row>
    <row r="370" spans="1:12" x14ac:dyDescent="0.3">
      <c r="A370" s="9">
        <v>10.3</v>
      </c>
      <c r="B370" s="9">
        <v>0.34</v>
      </c>
      <c r="C370" s="9">
        <v>0.52</v>
      </c>
      <c r="D370" s="9">
        <v>2.8</v>
      </c>
      <c r="E370" s="9">
        <v>0.159</v>
      </c>
      <c r="F370" s="9">
        <v>15</v>
      </c>
      <c r="G370" s="9">
        <v>75</v>
      </c>
      <c r="H370" s="9">
        <v>0.99980000000000002</v>
      </c>
      <c r="I370" s="9">
        <v>3.18</v>
      </c>
      <c r="J370" s="9">
        <v>0.64</v>
      </c>
      <c r="K370" s="9">
        <v>9.4</v>
      </c>
      <c r="L370" s="9">
        <v>5</v>
      </c>
    </row>
    <row r="371" spans="1:12" x14ac:dyDescent="0.3">
      <c r="A371" s="9">
        <v>9.4</v>
      </c>
      <c r="B371" s="9">
        <v>0.27</v>
      </c>
      <c r="C371" s="9">
        <v>0.53</v>
      </c>
      <c r="D371" s="9">
        <v>2.4</v>
      </c>
      <c r="E371" s="9">
        <v>7.3999999999999996E-2</v>
      </c>
      <c r="F371" s="9">
        <v>6</v>
      </c>
      <c r="G371" s="9">
        <v>18</v>
      </c>
      <c r="H371" s="9">
        <v>0.99619999999999997</v>
      </c>
      <c r="I371" s="9">
        <v>3.2</v>
      </c>
      <c r="J371" s="9">
        <v>1.1299999999999999</v>
      </c>
      <c r="K371" s="9">
        <v>12</v>
      </c>
      <c r="L371" s="9">
        <v>7</v>
      </c>
    </row>
    <row r="372" spans="1:12" x14ac:dyDescent="0.3">
      <c r="A372" s="9">
        <v>6.9</v>
      </c>
      <c r="B372" s="9">
        <v>0.76500000000000001</v>
      </c>
      <c r="C372" s="9">
        <v>0.02</v>
      </c>
      <c r="D372" s="9">
        <v>2.2999999999999998</v>
      </c>
      <c r="E372" s="9">
        <v>6.3E-2</v>
      </c>
      <c r="F372" s="9">
        <v>35</v>
      </c>
      <c r="G372" s="9">
        <v>63</v>
      </c>
      <c r="H372" s="9">
        <v>0.99750000000000005</v>
      </c>
      <c r="I372" s="9">
        <v>3.57</v>
      </c>
      <c r="J372" s="9">
        <v>0.78</v>
      </c>
      <c r="K372" s="9">
        <v>9.9</v>
      </c>
      <c r="L372" s="9">
        <v>5</v>
      </c>
    </row>
    <row r="373" spans="1:12" x14ac:dyDescent="0.3">
      <c r="A373" s="9">
        <v>7.9</v>
      </c>
      <c r="B373" s="9">
        <v>0.24</v>
      </c>
      <c r="C373" s="9">
        <v>0.4</v>
      </c>
      <c r="D373" s="9">
        <v>1.6</v>
      </c>
      <c r="E373" s="9">
        <v>5.6000000000000001E-2</v>
      </c>
      <c r="F373" s="9">
        <v>11</v>
      </c>
      <c r="G373" s="9">
        <v>25</v>
      </c>
      <c r="H373" s="9">
        <v>0.99670000000000003</v>
      </c>
      <c r="I373" s="9">
        <v>3.32</v>
      </c>
      <c r="J373" s="9">
        <v>0.87</v>
      </c>
      <c r="K373" s="9">
        <v>8.6999999999999993</v>
      </c>
      <c r="L373" s="9">
        <v>6</v>
      </c>
    </row>
    <row r="374" spans="1:12" x14ac:dyDescent="0.3">
      <c r="A374" s="9">
        <v>9.1</v>
      </c>
      <c r="B374" s="9">
        <v>0.28000000000000003</v>
      </c>
      <c r="C374" s="9">
        <v>0.48</v>
      </c>
      <c r="D374" s="9">
        <v>1.8</v>
      </c>
      <c r="E374" s="9">
        <v>6.7000000000000004E-2</v>
      </c>
      <c r="F374" s="9">
        <v>26</v>
      </c>
      <c r="G374" s="9">
        <v>46</v>
      </c>
      <c r="H374" s="9">
        <v>0.99670000000000003</v>
      </c>
      <c r="I374" s="9">
        <v>3.32</v>
      </c>
      <c r="J374" s="9">
        <v>1.04</v>
      </c>
      <c r="K374" s="9">
        <v>10.6</v>
      </c>
      <c r="L374" s="9">
        <v>6</v>
      </c>
    </row>
    <row r="375" spans="1:12" x14ac:dyDescent="0.3">
      <c r="A375" s="9">
        <v>7.4</v>
      </c>
      <c r="B375" s="9">
        <v>0.55000000000000004</v>
      </c>
      <c r="C375" s="9">
        <v>0.22</v>
      </c>
      <c r="D375" s="9">
        <v>2.2000000000000002</v>
      </c>
      <c r="E375" s="9">
        <v>0.106</v>
      </c>
      <c r="F375" s="9">
        <v>12</v>
      </c>
      <c r="G375" s="9">
        <v>72</v>
      </c>
      <c r="H375" s="9">
        <v>0.99590000000000001</v>
      </c>
      <c r="I375" s="9">
        <v>3.05</v>
      </c>
      <c r="J375" s="9">
        <v>0.63</v>
      </c>
      <c r="K375" s="9">
        <v>9.1999999999999993</v>
      </c>
      <c r="L375" s="9">
        <v>5</v>
      </c>
    </row>
    <row r="376" spans="1:12" x14ac:dyDescent="0.3">
      <c r="A376" s="9">
        <v>14</v>
      </c>
      <c r="B376" s="9">
        <v>0.41</v>
      </c>
      <c r="C376" s="9">
        <v>0.63</v>
      </c>
      <c r="D376" s="9">
        <v>3.8</v>
      </c>
      <c r="E376" s="9">
        <v>8.8999999999999996E-2</v>
      </c>
      <c r="F376" s="9">
        <v>6</v>
      </c>
      <c r="G376" s="9">
        <v>47</v>
      </c>
      <c r="H376" s="9">
        <v>1.0014000000000001</v>
      </c>
      <c r="I376" s="9">
        <v>3.01</v>
      </c>
      <c r="J376" s="9">
        <v>0.81</v>
      </c>
      <c r="K376" s="9">
        <v>10.8</v>
      </c>
      <c r="L376" s="9">
        <v>6</v>
      </c>
    </row>
    <row r="377" spans="1:12" x14ac:dyDescent="0.3">
      <c r="A377" s="9">
        <v>11.5</v>
      </c>
      <c r="B377" s="9">
        <v>0.54</v>
      </c>
      <c r="C377" s="9">
        <v>0.71</v>
      </c>
      <c r="D377" s="9">
        <v>4.4000000000000004</v>
      </c>
      <c r="E377" s="9">
        <v>0.124</v>
      </c>
      <c r="F377" s="9">
        <v>6</v>
      </c>
      <c r="G377" s="9">
        <v>15</v>
      </c>
      <c r="H377" s="9">
        <v>0.99839999999999995</v>
      </c>
      <c r="I377" s="9">
        <v>3.01</v>
      </c>
      <c r="J377" s="9">
        <v>0.83</v>
      </c>
      <c r="K377" s="9">
        <v>11.8</v>
      </c>
      <c r="L377" s="9">
        <v>7</v>
      </c>
    </row>
    <row r="378" spans="1:12" x14ac:dyDescent="0.3">
      <c r="A378" s="9">
        <v>11.5</v>
      </c>
      <c r="B378" s="9">
        <v>0.45</v>
      </c>
      <c r="C378" s="9">
        <v>0.5</v>
      </c>
      <c r="D378" s="9">
        <v>3</v>
      </c>
      <c r="E378" s="9">
        <v>7.8E-2</v>
      </c>
      <c r="F378" s="9">
        <v>19</v>
      </c>
      <c r="G378" s="9">
        <v>47</v>
      </c>
      <c r="H378" s="9">
        <v>1.0003</v>
      </c>
      <c r="I378" s="9">
        <v>3.26</v>
      </c>
      <c r="J378" s="9">
        <v>1.1100000000000001</v>
      </c>
      <c r="K378" s="9">
        <v>11</v>
      </c>
      <c r="L378" s="9">
        <v>6</v>
      </c>
    </row>
    <row r="379" spans="1:12" x14ac:dyDescent="0.3">
      <c r="A379" s="9">
        <v>9.4</v>
      </c>
      <c r="B379" s="9">
        <v>0.27</v>
      </c>
      <c r="C379" s="9">
        <v>0.53</v>
      </c>
      <c r="D379" s="9">
        <v>2.4</v>
      </c>
      <c r="E379" s="9">
        <v>7.3999999999999996E-2</v>
      </c>
      <c r="F379" s="9">
        <v>6</v>
      </c>
      <c r="G379" s="9">
        <v>18</v>
      </c>
      <c r="H379" s="9">
        <v>0.99619999999999997</v>
      </c>
      <c r="I379" s="9">
        <v>3.2</v>
      </c>
      <c r="J379" s="9">
        <v>1.1299999999999999</v>
      </c>
      <c r="K379" s="9">
        <v>12</v>
      </c>
      <c r="L379" s="9">
        <v>7</v>
      </c>
    </row>
    <row r="380" spans="1:12" x14ac:dyDescent="0.3">
      <c r="A380" s="9">
        <v>11.4</v>
      </c>
      <c r="B380" s="9">
        <v>0.625</v>
      </c>
      <c r="C380" s="9">
        <v>0.66</v>
      </c>
      <c r="D380" s="9">
        <v>6.2</v>
      </c>
      <c r="E380" s="9">
        <v>8.7999999999999995E-2</v>
      </c>
      <c r="F380" s="9">
        <v>6</v>
      </c>
      <c r="G380" s="9">
        <v>24</v>
      </c>
      <c r="H380" s="9">
        <v>0.99880000000000002</v>
      </c>
      <c r="I380" s="9">
        <v>3.11</v>
      </c>
      <c r="J380" s="9">
        <v>0.99</v>
      </c>
      <c r="K380" s="9">
        <v>13.3</v>
      </c>
      <c r="L380" s="9">
        <v>6</v>
      </c>
    </row>
    <row r="381" spans="1:12" x14ac:dyDescent="0.3">
      <c r="A381" s="9">
        <v>8.3000000000000007</v>
      </c>
      <c r="B381" s="9">
        <v>0.42</v>
      </c>
      <c r="C381" s="9">
        <v>0.38</v>
      </c>
      <c r="D381" s="9">
        <v>2.5</v>
      </c>
      <c r="E381" s="9">
        <v>9.4E-2</v>
      </c>
      <c r="F381" s="9">
        <v>24</v>
      </c>
      <c r="G381" s="9">
        <v>60</v>
      </c>
      <c r="H381" s="9">
        <v>0.99790000000000001</v>
      </c>
      <c r="I381" s="9">
        <v>3.31</v>
      </c>
      <c r="J381" s="9">
        <v>0.7</v>
      </c>
      <c r="K381" s="9">
        <v>10.8</v>
      </c>
      <c r="L381" s="9">
        <v>6</v>
      </c>
    </row>
    <row r="382" spans="1:12" x14ac:dyDescent="0.3">
      <c r="A382" s="9">
        <v>8.3000000000000007</v>
      </c>
      <c r="B382" s="9">
        <v>0.26</v>
      </c>
      <c r="C382" s="9">
        <v>0.42</v>
      </c>
      <c r="D382" s="9">
        <v>2</v>
      </c>
      <c r="E382" s="9">
        <v>0.08</v>
      </c>
      <c r="F382" s="9">
        <v>11</v>
      </c>
      <c r="G382" s="9">
        <v>27</v>
      </c>
      <c r="H382" s="9">
        <v>0.99739999999999995</v>
      </c>
      <c r="I382" s="9">
        <v>3.21</v>
      </c>
      <c r="J382" s="9">
        <v>0.8</v>
      </c>
      <c r="K382" s="9">
        <v>9.4</v>
      </c>
      <c r="L382" s="9">
        <v>6</v>
      </c>
    </row>
    <row r="383" spans="1:12" x14ac:dyDescent="0.3">
      <c r="A383" s="9">
        <v>13.7</v>
      </c>
      <c r="B383" s="9">
        <v>0.41499999999999998</v>
      </c>
      <c r="C383" s="9">
        <v>0.68</v>
      </c>
      <c r="D383" s="9">
        <v>2.9</v>
      </c>
      <c r="E383" s="9">
        <v>8.5000000000000006E-2</v>
      </c>
      <c r="F383" s="9">
        <v>17</v>
      </c>
      <c r="G383" s="9">
        <v>43</v>
      </c>
      <c r="H383" s="9">
        <v>1.0014000000000001</v>
      </c>
      <c r="I383" s="9">
        <v>3.06</v>
      </c>
      <c r="J383" s="9">
        <v>0.8</v>
      </c>
      <c r="K383" s="9">
        <v>10</v>
      </c>
      <c r="L383" s="9">
        <v>6</v>
      </c>
    </row>
    <row r="384" spans="1:12" x14ac:dyDescent="0.3">
      <c r="A384" s="9">
        <v>8.3000000000000007</v>
      </c>
      <c r="B384" s="9">
        <v>0.26</v>
      </c>
      <c r="C384" s="9">
        <v>0.42</v>
      </c>
      <c r="D384" s="9">
        <v>2</v>
      </c>
      <c r="E384" s="9">
        <v>0.08</v>
      </c>
      <c r="F384" s="9">
        <v>11</v>
      </c>
      <c r="G384" s="9">
        <v>27</v>
      </c>
      <c r="H384" s="9">
        <v>0.99739999999999995</v>
      </c>
      <c r="I384" s="9">
        <v>3.21</v>
      </c>
      <c r="J384" s="9">
        <v>0.8</v>
      </c>
      <c r="K384" s="9">
        <v>9.4</v>
      </c>
      <c r="L384" s="9">
        <v>6</v>
      </c>
    </row>
    <row r="385" spans="1:12" x14ac:dyDescent="0.3">
      <c r="A385" s="9">
        <v>8.3000000000000007</v>
      </c>
      <c r="B385" s="9">
        <v>0.26</v>
      </c>
      <c r="C385" s="9">
        <v>0.42</v>
      </c>
      <c r="D385" s="9">
        <v>2</v>
      </c>
      <c r="E385" s="9">
        <v>0.08</v>
      </c>
      <c r="F385" s="9">
        <v>11</v>
      </c>
      <c r="G385" s="9">
        <v>27</v>
      </c>
      <c r="H385" s="9">
        <v>0.99739999999999995</v>
      </c>
      <c r="I385" s="9">
        <v>3.21</v>
      </c>
      <c r="J385" s="9">
        <v>0.8</v>
      </c>
      <c r="K385" s="9">
        <v>9.4</v>
      </c>
      <c r="L385" s="9">
        <v>6</v>
      </c>
    </row>
    <row r="386" spans="1:12" x14ac:dyDescent="0.3">
      <c r="A386" s="9">
        <v>7.7</v>
      </c>
      <c r="B386" s="9">
        <v>0.51</v>
      </c>
      <c r="C386" s="9">
        <v>0.28000000000000003</v>
      </c>
      <c r="D386" s="9">
        <v>2.1</v>
      </c>
      <c r="E386" s="9">
        <v>8.6999999999999994E-2</v>
      </c>
      <c r="F386" s="9">
        <v>23</v>
      </c>
      <c r="G386" s="9">
        <v>54</v>
      </c>
      <c r="H386" s="9">
        <v>0.998</v>
      </c>
      <c r="I386" s="9">
        <v>3.42</v>
      </c>
      <c r="J386" s="9">
        <v>0.74</v>
      </c>
      <c r="K386" s="9">
        <v>9.1999999999999993</v>
      </c>
      <c r="L386" s="9">
        <v>5</v>
      </c>
    </row>
    <row r="387" spans="1:12" x14ac:dyDescent="0.3">
      <c r="A387" s="9">
        <v>7.4</v>
      </c>
      <c r="B387" s="9">
        <v>0.63</v>
      </c>
      <c r="C387" s="9">
        <v>7.0000000000000007E-2</v>
      </c>
      <c r="D387" s="9">
        <v>2.4</v>
      </c>
      <c r="E387" s="9">
        <v>0.09</v>
      </c>
      <c r="F387" s="9">
        <v>11</v>
      </c>
      <c r="G387" s="9">
        <v>37</v>
      </c>
      <c r="H387" s="9">
        <v>0.99790000000000001</v>
      </c>
      <c r="I387" s="9">
        <v>3.43</v>
      </c>
      <c r="J387" s="9">
        <v>0.76</v>
      </c>
      <c r="K387" s="9">
        <v>9.6999999999999993</v>
      </c>
      <c r="L387" s="9">
        <v>6</v>
      </c>
    </row>
    <row r="388" spans="1:12" x14ac:dyDescent="0.3">
      <c r="A388" s="9">
        <v>7.8</v>
      </c>
      <c r="B388" s="9">
        <v>0.54</v>
      </c>
      <c r="C388" s="9">
        <v>0.26</v>
      </c>
      <c r="D388" s="9">
        <v>2</v>
      </c>
      <c r="E388" s="9">
        <v>8.7999999999999995E-2</v>
      </c>
      <c r="F388" s="9">
        <v>23</v>
      </c>
      <c r="G388" s="9">
        <v>48</v>
      </c>
      <c r="H388" s="9">
        <v>0.99809999999999999</v>
      </c>
      <c r="I388" s="9">
        <v>3.41</v>
      </c>
      <c r="J388" s="9">
        <v>0.74</v>
      </c>
      <c r="K388" s="9">
        <v>9.1999999999999993</v>
      </c>
      <c r="L388" s="9">
        <v>6</v>
      </c>
    </row>
    <row r="389" spans="1:12" x14ac:dyDescent="0.3">
      <c r="A389" s="9">
        <v>8.3000000000000007</v>
      </c>
      <c r="B389" s="9">
        <v>0.66</v>
      </c>
      <c r="C389" s="9">
        <v>0.15</v>
      </c>
      <c r="D389" s="9">
        <v>1.9</v>
      </c>
      <c r="E389" s="9">
        <v>7.9000000000000001E-2</v>
      </c>
      <c r="F389" s="9">
        <v>17</v>
      </c>
      <c r="G389" s="9">
        <v>42</v>
      </c>
      <c r="H389" s="9">
        <v>0.99719999999999998</v>
      </c>
      <c r="I389" s="9">
        <v>3.31</v>
      </c>
      <c r="J389" s="9">
        <v>0.54</v>
      </c>
      <c r="K389" s="9">
        <v>9.6</v>
      </c>
      <c r="L389" s="9">
        <v>6</v>
      </c>
    </row>
    <row r="390" spans="1:12" x14ac:dyDescent="0.3">
      <c r="A390" s="9">
        <v>7.8</v>
      </c>
      <c r="B390" s="9">
        <v>0.46</v>
      </c>
      <c r="C390" s="9">
        <v>0.26</v>
      </c>
      <c r="D390" s="9">
        <v>1.9</v>
      </c>
      <c r="E390" s="9">
        <v>8.7999999999999995E-2</v>
      </c>
      <c r="F390" s="9">
        <v>23</v>
      </c>
      <c r="G390" s="9">
        <v>53</v>
      </c>
      <c r="H390" s="9">
        <v>0.99809999999999999</v>
      </c>
      <c r="I390" s="9">
        <v>3.43</v>
      </c>
      <c r="J390" s="9">
        <v>0.74</v>
      </c>
      <c r="K390" s="9">
        <v>9.1999999999999993</v>
      </c>
      <c r="L390" s="9">
        <v>6</v>
      </c>
    </row>
    <row r="391" spans="1:12" x14ac:dyDescent="0.3">
      <c r="A391" s="9">
        <v>9.6</v>
      </c>
      <c r="B391" s="9">
        <v>0.38</v>
      </c>
      <c r="C391" s="9">
        <v>0.31</v>
      </c>
      <c r="D391" s="9">
        <v>2.5</v>
      </c>
      <c r="E391" s="9">
        <v>9.6000000000000002E-2</v>
      </c>
      <c r="F391" s="9">
        <v>16</v>
      </c>
      <c r="G391" s="9">
        <v>49</v>
      </c>
      <c r="H391" s="9">
        <v>0.99819999999999998</v>
      </c>
      <c r="I391" s="9">
        <v>3.19</v>
      </c>
      <c r="J391" s="9">
        <v>0.7</v>
      </c>
      <c r="K391" s="9">
        <v>10</v>
      </c>
      <c r="L391" s="9">
        <v>7</v>
      </c>
    </row>
    <row r="392" spans="1:12" x14ac:dyDescent="0.3">
      <c r="A392" s="9">
        <v>5.6</v>
      </c>
      <c r="B392" s="9">
        <v>0.85</v>
      </c>
      <c r="C392" s="9">
        <v>0.05</v>
      </c>
      <c r="D392" s="9">
        <v>1.4</v>
      </c>
      <c r="E392" s="9">
        <v>4.4999999999999998E-2</v>
      </c>
      <c r="F392" s="9">
        <v>12</v>
      </c>
      <c r="G392" s="9">
        <v>88</v>
      </c>
      <c r="H392" s="9">
        <v>0.99239999999999995</v>
      </c>
      <c r="I392" s="9">
        <v>3.56</v>
      </c>
      <c r="J392" s="9">
        <v>0.82</v>
      </c>
      <c r="K392" s="9">
        <v>12.9</v>
      </c>
      <c r="L392" s="9">
        <v>8</v>
      </c>
    </row>
    <row r="393" spans="1:12" x14ac:dyDescent="0.3">
      <c r="A393" s="9">
        <v>13.7</v>
      </c>
      <c r="B393" s="9">
        <v>0.41499999999999998</v>
      </c>
      <c r="C393" s="9">
        <v>0.68</v>
      </c>
      <c r="D393" s="9">
        <v>2.9</v>
      </c>
      <c r="E393" s="9">
        <v>8.5000000000000006E-2</v>
      </c>
      <c r="F393" s="9">
        <v>17</v>
      </c>
      <c r="G393" s="9">
        <v>43</v>
      </c>
      <c r="H393" s="9">
        <v>1.0014000000000001</v>
      </c>
      <c r="I393" s="9">
        <v>3.06</v>
      </c>
      <c r="J393" s="9">
        <v>0.8</v>
      </c>
      <c r="K393" s="9">
        <v>10</v>
      </c>
      <c r="L393" s="9">
        <v>6</v>
      </c>
    </row>
    <row r="394" spans="1:12" x14ac:dyDescent="0.3">
      <c r="A394" s="9">
        <v>9.5</v>
      </c>
      <c r="B394" s="9">
        <v>0.37</v>
      </c>
      <c r="C394" s="9">
        <v>0.52</v>
      </c>
      <c r="D394" s="9">
        <v>2</v>
      </c>
      <c r="E394" s="9">
        <v>8.2000000000000003E-2</v>
      </c>
      <c r="F394" s="9">
        <v>6</v>
      </c>
      <c r="G394" s="9">
        <v>26</v>
      </c>
      <c r="H394" s="9">
        <v>0.998</v>
      </c>
      <c r="I394" s="9">
        <v>3.18</v>
      </c>
      <c r="J394" s="9">
        <v>0.51</v>
      </c>
      <c r="K394" s="9">
        <v>9.5</v>
      </c>
      <c r="L394" s="9">
        <v>5</v>
      </c>
    </row>
    <row r="395" spans="1:12" x14ac:dyDescent="0.3">
      <c r="A395" s="9">
        <v>8.4</v>
      </c>
      <c r="B395" s="9">
        <v>0.66500000000000004</v>
      </c>
      <c r="C395" s="9">
        <v>0.61</v>
      </c>
      <c r="D395" s="9">
        <v>2</v>
      </c>
      <c r="E395" s="9">
        <v>0.112</v>
      </c>
      <c r="F395" s="9">
        <v>13</v>
      </c>
      <c r="G395" s="9">
        <v>95</v>
      </c>
      <c r="H395" s="9">
        <v>0.997</v>
      </c>
      <c r="I395" s="9">
        <v>3.16</v>
      </c>
      <c r="J395" s="9">
        <v>0.54</v>
      </c>
      <c r="K395" s="9">
        <v>9.1</v>
      </c>
      <c r="L395" s="9">
        <v>5</v>
      </c>
    </row>
    <row r="396" spans="1:12" x14ac:dyDescent="0.3">
      <c r="A396" s="9">
        <v>12.7</v>
      </c>
      <c r="B396" s="9">
        <v>0.6</v>
      </c>
      <c r="C396" s="9">
        <v>0.65</v>
      </c>
      <c r="D396" s="9">
        <v>2.2999999999999998</v>
      </c>
      <c r="E396" s="9">
        <v>6.3E-2</v>
      </c>
      <c r="F396" s="9">
        <v>6</v>
      </c>
      <c r="G396" s="9">
        <v>25</v>
      </c>
      <c r="H396" s="9">
        <v>0.99970000000000003</v>
      </c>
      <c r="I396" s="9">
        <v>3.03</v>
      </c>
      <c r="J396" s="9">
        <v>0.56999999999999995</v>
      </c>
      <c r="K396" s="9">
        <v>9.9</v>
      </c>
      <c r="L396" s="9">
        <v>5</v>
      </c>
    </row>
    <row r="397" spans="1:12" x14ac:dyDescent="0.3">
      <c r="A397" s="9">
        <v>12</v>
      </c>
      <c r="B397" s="9">
        <v>0.37</v>
      </c>
      <c r="C397" s="9">
        <v>0.76</v>
      </c>
      <c r="D397" s="9">
        <v>4.2</v>
      </c>
      <c r="E397" s="9">
        <v>6.6000000000000003E-2</v>
      </c>
      <c r="F397" s="9">
        <v>7</v>
      </c>
      <c r="G397" s="9">
        <v>38</v>
      </c>
      <c r="H397" s="9">
        <v>1.0004</v>
      </c>
      <c r="I397" s="9">
        <v>3.22</v>
      </c>
      <c r="J397" s="9">
        <v>0.6</v>
      </c>
      <c r="K397" s="9">
        <v>13</v>
      </c>
      <c r="L397" s="9">
        <v>7</v>
      </c>
    </row>
    <row r="398" spans="1:12" x14ac:dyDescent="0.3">
      <c r="A398" s="9">
        <v>6.6</v>
      </c>
      <c r="B398" s="9">
        <v>0.73499999999999999</v>
      </c>
      <c r="C398" s="9">
        <v>0.02</v>
      </c>
      <c r="D398" s="9">
        <v>7.9</v>
      </c>
      <c r="E398" s="9">
        <v>0.122</v>
      </c>
      <c r="F398" s="9">
        <v>68</v>
      </c>
      <c r="G398" s="9">
        <v>124</v>
      </c>
      <c r="H398" s="9">
        <v>0.99939999999999996</v>
      </c>
      <c r="I398" s="9">
        <v>3.47</v>
      </c>
      <c r="J398" s="9">
        <v>0.53</v>
      </c>
      <c r="K398" s="9">
        <v>9.9</v>
      </c>
      <c r="L398" s="9">
        <v>5</v>
      </c>
    </row>
    <row r="399" spans="1:12" x14ac:dyDescent="0.3">
      <c r="A399" s="9">
        <v>11.5</v>
      </c>
      <c r="B399" s="9">
        <v>0.59</v>
      </c>
      <c r="C399" s="9">
        <v>0.59</v>
      </c>
      <c r="D399" s="9">
        <v>2.6</v>
      </c>
      <c r="E399" s="9">
        <v>8.6999999999999994E-2</v>
      </c>
      <c r="F399" s="9">
        <v>13</v>
      </c>
      <c r="G399" s="9">
        <v>49</v>
      </c>
      <c r="H399" s="9">
        <v>0.99880000000000002</v>
      </c>
      <c r="I399" s="9">
        <v>3.18</v>
      </c>
      <c r="J399" s="9">
        <v>0.65</v>
      </c>
      <c r="K399" s="9">
        <v>11</v>
      </c>
      <c r="L399" s="9">
        <v>6</v>
      </c>
    </row>
    <row r="400" spans="1:12" x14ac:dyDescent="0.3">
      <c r="A400" s="9">
        <v>11.5</v>
      </c>
      <c r="B400" s="9">
        <v>0.59</v>
      </c>
      <c r="C400" s="9">
        <v>0.59</v>
      </c>
      <c r="D400" s="9">
        <v>2.6</v>
      </c>
      <c r="E400" s="9">
        <v>8.6999999999999994E-2</v>
      </c>
      <c r="F400" s="9">
        <v>13</v>
      </c>
      <c r="G400" s="9">
        <v>49</v>
      </c>
      <c r="H400" s="9">
        <v>0.99880000000000002</v>
      </c>
      <c r="I400" s="9">
        <v>3.18</v>
      </c>
      <c r="J400" s="9">
        <v>0.65</v>
      </c>
      <c r="K400" s="9">
        <v>11</v>
      </c>
      <c r="L400" s="9">
        <v>6</v>
      </c>
    </row>
    <row r="401" spans="1:12" x14ac:dyDescent="0.3">
      <c r="A401" s="9">
        <v>8.6999999999999993</v>
      </c>
      <c r="B401" s="9">
        <v>0.76500000000000001</v>
      </c>
      <c r="C401" s="9">
        <v>0.22</v>
      </c>
      <c r="D401" s="9">
        <v>2.2999999999999998</v>
      </c>
      <c r="E401" s="9">
        <v>6.4000000000000001E-2</v>
      </c>
      <c r="F401" s="9">
        <v>9</v>
      </c>
      <c r="G401" s="9">
        <v>42</v>
      </c>
      <c r="H401" s="9">
        <v>0.99629999999999996</v>
      </c>
      <c r="I401" s="9">
        <v>3.1</v>
      </c>
      <c r="J401" s="9">
        <v>0.55000000000000004</v>
      </c>
      <c r="K401" s="9">
        <v>9.4</v>
      </c>
      <c r="L401" s="9">
        <v>5</v>
      </c>
    </row>
    <row r="402" spans="1:12" x14ac:dyDescent="0.3">
      <c r="A402" s="9">
        <v>6.6</v>
      </c>
      <c r="B402" s="9">
        <v>0.73499999999999999</v>
      </c>
      <c r="C402" s="9">
        <v>0.02</v>
      </c>
      <c r="D402" s="9">
        <v>7.9</v>
      </c>
      <c r="E402" s="9">
        <v>0.122</v>
      </c>
      <c r="F402" s="9">
        <v>68</v>
      </c>
      <c r="G402" s="9">
        <v>124</v>
      </c>
      <c r="H402" s="9">
        <v>0.99939999999999996</v>
      </c>
      <c r="I402" s="9">
        <v>3.47</v>
      </c>
      <c r="J402" s="9">
        <v>0.53</v>
      </c>
      <c r="K402" s="9">
        <v>9.9</v>
      </c>
      <c r="L402" s="9">
        <v>5</v>
      </c>
    </row>
    <row r="403" spans="1:12" x14ac:dyDescent="0.3">
      <c r="A403" s="9">
        <v>7.7</v>
      </c>
      <c r="B403" s="9">
        <v>0.26</v>
      </c>
      <c r="C403" s="9">
        <v>0.3</v>
      </c>
      <c r="D403" s="9">
        <v>1.7</v>
      </c>
      <c r="E403" s="9">
        <v>5.8999999999999997E-2</v>
      </c>
      <c r="F403" s="9">
        <v>20</v>
      </c>
      <c r="G403" s="9">
        <v>38</v>
      </c>
      <c r="H403" s="9">
        <v>0.99490000000000001</v>
      </c>
      <c r="I403" s="9">
        <v>3.29</v>
      </c>
      <c r="J403" s="9">
        <v>0.47</v>
      </c>
      <c r="K403" s="9">
        <v>10.8</v>
      </c>
      <c r="L403" s="9">
        <v>6</v>
      </c>
    </row>
    <row r="404" spans="1:12" x14ac:dyDescent="0.3">
      <c r="A404" s="9">
        <v>12.2</v>
      </c>
      <c r="B404" s="9">
        <v>0.48</v>
      </c>
      <c r="C404" s="9">
        <v>0.54</v>
      </c>
      <c r="D404" s="9">
        <v>2.6</v>
      </c>
      <c r="E404" s="9">
        <v>8.5000000000000006E-2</v>
      </c>
      <c r="F404" s="9">
        <v>19</v>
      </c>
      <c r="G404" s="9">
        <v>64</v>
      </c>
      <c r="H404" s="9">
        <v>1</v>
      </c>
      <c r="I404" s="9">
        <v>3.1</v>
      </c>
      <c r="J404" s="9">
        <v>0.61</v>
      </c>
      <c r="K404" s="9">
        <v>10.5</v>
      </c>
      <c r="L404" s="9">
        <v>6</v>
      </c>
    </row>
    <row r="405" spans="1:12" x14ac:dyDescent="0.3">
      <c r="A405" s="9">
        <v>11.4</v>
      </c>
      <c r="B405" s="9">
        <v>0.6</v>
      </c>
      <c r="C405" s="9">
        <v>0.49</v>
      </c>
      <c r="D405" s="9">
        <v>2.7</v>
      </c>
      <c r="E405" s="9">
        <v>8.5000000000000006E-2</v>
      </c>
      <c r="F405" s="9">
        <v>10</v>
      </c>
      <c r="G405" s="9">
        <v>41</v>
      </c>
      <c r="H405" s="9">
        <v>0.99939999999999996</v>
      </c>
      <c r="I405" s="9">
        <v>3.15</v>
      </c>
      <c r="J405" s="9">
        <v>0.63</v>
      </c>
      <c r="K405" s="9">
        <v>10.5</v>
      </c>
      <c r="L405" s="9">
        <v>6</v>
      </c>
    </row>
    <row r="406" spans="1:12" x14ac:dyDescent="0.3">
      <c r="A406" s="9">
        <v>7.7</v>
      </c>
      <c r="B406" s="9">
        <v>0.69</v>
      </c>
      <c r="C406" s="9">
        <v>0.05</v>
      </c>
      <c r="D406" s="9">
        <v>2.7</v>
      </c>
      <c r="E406" s="9">
        <v>7.4999999999999997E-2</v>
      </c>
      <c r="F406" s="9">
        <v>15</v>
      </c>
      <c r="G406" s="9">
        <v>27</v>
      </c>
      <c r="H406" s="9">
        <v>0.99739999999999995</v>
      </c>
      <c r="I406" s="9">
        <v>3.26</v>
      </c>
      <c r="J406" s="9">
        <v>0.61</v>
      </c>
      <c r="K406" s="9">
        <v>9.1</v>
      </c>
      <c r="L406" s="9">
        <v>5</v>
      </c>
    </row>
    <row r="407" spans="1:12" x14ac:dyDescent="0.3">
      <c r="A407" s="9">
        <v>8.6999999999999993</v>
      </c>
      <c r="B407" s="9">
        <v>0.31</v>
      </c>
      <c r="C407" s="9">
        <v>0.46</v>
      </c>
      <c r="D407" s="9">
        <v>1.4</v>
      </c>
      <c r="E407" s="9">
        <v>5.8999999999999997E-2</v>
      </c>
      <c r="F407" s="9">
        <v>11</v>
      </c>
      <c r="G407" s="9">
        <v>25</v>
      </c>
      <c r="H407" s="9">
        <v>0.99660000000000004</v>
      </c>
      <c r="I407" s="9">
        <v>3.36</v>
      </c>
      <c r="J407" s="9">
        <v>0.76</v>
      </c>
      <c r="K407" s="9">
        <v>10.1</v>
      </c>
      <c r="L407" s="9">
        <v>6</v>
      </c>
    </row>
    <row r="408" spans="1:12" x14ac:dyDescent="0.3">
      <c r="A408" s="9">
        <v>9.8000000000000007</v>
      </c>
      <c r="B408" s="9">
        <v>0.44</v>
      </c>
      <c r="C408" s="9">
        <v>0.47</v>
      </c>
      <c r="D408" s="9">
        <v>2.5</v>
      </c>
      <c r="E408" s="9">
        <v>6.3E-2</v>
      </c>
      <c r="F408" s="9">
        <v>9</v>
      </c>
      <c r="G408" s="9">
        <v>28</v>
      </c>
      <c r="H408" s="9">
        <v>0.99809999999999999</v>
      </c>
      <c r="I408" s="9">
        <v>3.24</v>
      </c>
      <c r="J408" s="9">
        <v>0.65</v>
      </c>
      <c r="K408" s="9">
        <v>10.8</v>
      </c>
      <c r="L408" s="9">
        <v>6</v>
      </c>
    </row>
    <row r="409" spans="1:12" x14ac:dyDescent="0.3">
      <c r="A409" s="9">
        <v>12</v>
      </c>
      <c r="B409" s="9">
        <v>0.39</v>
      </c>
      <c r="C409" s="9">
        <v>0.66</v>
      </c>
      <c r="D409" s="9">
        <v>3</v>
      </c>
      <c r="E409" s="9">
        <v>9.2999999999999999E-2</v>
      </c>
      <c r="F409" s="9">
        <v>12</v>
      </c>
      <c r="G409" s="9">
        <v>30</v>
      </c>
      <c r="H409" s="9">
        <v>0.99960000000000004</v>
      </c>
      <c r="I409" s="9">
        <v>3.18</v>
      </c>
      <c r="J409" s="9">
        <v>0.63</v>
      </c>
      <c r="K409" s="9">
        <v>10.8</v>
      </c>
      <c r="L409" s="9">
        <v>7</v>
      </c>
    </row>
    <row r="410" spans="1:12" x14ac:dyDescent="0.3">
      <c r="A410" s="9">
        <v>10.4</v>
      </c>
      <c r="B410" s="9">
        <v>0.34</v>
      </c>
      <c r="C410" s="9">
        <v>0.57999999999999996</v>
      </c>
      <c r="D410" s="9">
        <v>3.7</v>
      </c>
      <c r="E410" s="9">
        <v>0.17399999999999999</v>
      </c>
      <c r="F410" s="9">
        <v>6</v>
      </c>
      <c r="G410" s="9">
        <v>16</v>
      </c>
      <c r="H410" s="9">
        <v>0.997</v>
      </c>
      <c r="I410" s="9">
        <v>3.19</v>
      </c>
      <c r="J410" s="9">
        <v>0.7</v>
      </c>
      <c r="K410" s="9">
        <v>11.3</v>
      </c>
      <c r="L410" s="9">
        <v>6</v>
      </c>
    </row>
    <row r="411" spans="1:12" x14ac:dyDescent="0.3">
      <c r="A411" s="9">
        <v>12.5</v>
      </c>
      <c r="B411" s="9">
        <v>0.46</v>
      </c>
      <c r="C411" s="9">
        <v>0.49</v>
      </c>
      <c r="D411" s="9">
        <v>4.5</v>
      </c>
      <c r="E411" s="9">
        <v>7.0000000000000007E-2</v>
      </c>
      <c r="F411" s="9">
        <v>26</v>
      </c>
      <c r="G411" s="9">
        <v>49</v>
      </c>
      <c r="H411" s="9">
        <v>0.99809999999999999</v>
      </c>
      <c r="I411" s="9">
        <v>3.05</v>
      </c>
      <c r="J411" s="9">
        <v>0.56999999999999995</v>
      </c>
      <c r="K411" s="9">
        <v>9.6</v>
      </c>
      <c r="L411" s="9">
        <v>4</v>
      </c>
    </row>
    <row r="412" spans="1:12" x14ac:dyDescent="0.3">
      <c r="A412" s="9">
        <v>9</v>
      </c>
      <c r="B412" s="9">
        <v>0.43</v>
      </c>
      <c r="C412" s="9">
        <v>0.34</v>
      </c>
      <c r="D412" s="9">
        <v>2.5</v>
      </c>
      <c r="E412" s="9">
        <v>0.08</v>
      </c>
      <c r="F412" s="9">
        <v>26</v>
      </c>
      <c r="G412" s="9">
        <v>86</v>
      </c>
      <c r="H412" s="9">
        <v>0.99870000000000003</v>
      </c>
      <c r="I412" s="9">
        <v>3.38</v>
      </c>
      <c r="J412" s="9">
        <v>0.62</v>
      </c>
      <c r="K412" s="9">
        <v>9.5</v>
      </c>
      <c r="L412" s="9">
        <v>6</v>
      </c>
    </row>
    <row r="413" spans="1:12" x14ac:dyDescent="0.3">
      <c r="A413" s="9">
        <v>9.1</v>
      </c>
      <c r="B413" s="9">
        <v>0.45</v>
      </c>
      <c r="C413" s="9">
        <v>0.35</v>
      </c>
      <c r="D413" s="9">
        <v>2.4</v>
      </c>
      <c r="E413" s="9">
        <v>0.08</v>
      </c>
      <c r="F413" s="9">
        <v>23</v>
      </c>
      <c r="G413" s="9">
        <v>78</v>
      </c>
      <c r="H413" s="9">
        <v>0.99870000000000003</v>
      </c>
      <c r="I413" s="9">
        <v>3.38</v>
      </c>
      <c r="J413" s="9">
        <v>0.62</v>
      </c>
      <c r="K413" s="9">
        <v>9.5</v>
      </c>
      <c r="L413" s="9">
        <v>5</v>
      </c>
    </row>
    <row r="414" spans="1:12" x14ac:dyDescent="0.3">
      <c r="A414" s="9">
        <v>7.1</v>
      </c>
      <c r="B414" s="9">
        <v>0.73499999999999999</v>
      </c>
      <c r="C414" s="9">
        <v>0.16</v>
      </c>
      <c r="D414" s="9">
        <v>1.9</v>
      </c>
      <c r="E414" s="9">
        <v>0.1</v>
      </c>
      <c r="F414" s="9">
        <v>15</v>
      </c>
      <c r="G414" s="9">
        <v>77</v>
      </c>
      <c r="H414" s="9">
        <v>0.99660000000000004</v>
      </c>
      <c r="I414" s="9">
        <v>3.27</v>
      </c>
      <c r="J414" s="9">
        <v>0.64</v>
      </c>
      <c r="K414" s="9">
        <v>9.3000000000000007</v>
      </c>
      <c r="L414" s="9">
        <v>5</v>
      </c>
    </row>
    <row r="415" spans="1:12" x14ac:dyDescent="0.3">
      <c r="A415" s="9">
        <v>9.9</v>
      </c>
      <c r="B415" s="9">
        <v>0.4</v>
      </c>
      <c r="C415" s="9">
        <v>0.53</v>
      </c>
      <c r="D415" s="9">
        <v>6.7</v>
      </c>
      <c r="E415" s="9">
        <v>9.7000000000000003E-2</v>
      </c>
      <c r="F415" s="9">
        <v>6</v>
      </c>
      <c r="G415" s="9">
        <v>19</v>
      </c>
      <c r="H415" s="9">
        <v>0.99860000000000004</v>
      </c>
      <c r="I415" s="9">
        <v>3.27</v>
      </c>
      <c r="J415" s="9">
        <v>0.82</v>
      </c>
      <c r="K415" s="9">
        <v>11.7</v>
      </c>
      <c r="L415" s="9">
        <v>7</v>
      </c>
    </row>
    <row r="416" spans="1:12" x14ac:dyDescent="0.3">
      <c r="A416" s="9">
        <v>8.8000000000000007</v>
      </c>
      <c r="B416" s="9">
        <v>0.52</v>
      </c>
      <c r="C416" s="9">
        <v>0.34</v>
      </c>
      <c r="D416" s="9">
        <v>2.7</v>
      </c>
      <c r="E416" s="9">
        <v>8.6999999999999994E-2</v>
      </c>
      <c r="F416" s="9">
        <v>24</v>
      </c>
      <c r="G416" s="9">
        <v>122</v>
      </c>
      <c r="H416" s="9">
        <v>0.99819999999999998</v>
      </c>
      <c r="I416" s="9">
        <v>3.26</v>
      </c>
      <c r="J416" s="9">
        <v>0.61</v>
      </c>
      <c r="K416" s="9">
        <v>9.5</v>
      </c>
      <c r="L416" s="9">
        <v>5</v>
      </c>
    </row>
    <row r="417" spans="1:12" x14ac:dyDescent="0.3">
      <c r="A417" s="9">
        <v>8.6</v>
      </c>
      <c r="B417" s="9">
        <v>0.72499999999999998</v>
      </c>
      <c r="C417" s="9">
        <v>0.24</v>
      </c>
      <c r="D417" s="9">
        <v>6.6</v>
      </c>
      <c r="E417" s="9">
        <v>0.11700000000000001</v>
      </c>
      <c r="F417" s="9">
        <v>31</v>
      </c>
      <c r="G417" s="9">
        <v>134</v>
      </c>
      <c r="H417" s="9">
        <v>1.0014000000000001</v>
      </c>
      <c r="I417" s="9">
        <v>3.32</v>
      </c>
      <c r="J417" s="9">
        <v>1.07</v>
      </c>
      <c r="K417" s="9">
        <v>9.3000000000000007</v>
      </c>
      <c r="L417" s="9">
        <v>5</v>
      </c>
    </row>
    <row r="418" spans="1:12" x14ac:dyDescent="0.3">
      <c r="A418" s="9">
        <v>10.6</v>
      </c>
      <c r="B418" s="9">
        <v>0.48</v>
      </c>
      <c r="C418" s="9">
        <v>0.64</v>
      </c>
      <c r="D418" s="9">
        <v>2.2000000000000002</v>
      </c>
      <c r="E418" s="9">
        <v>0.111</v>
      </c>
      <c r="F418" s="9">
        <v>6</v>
      </c>
      <c r="G418" s="9">
        <v>20</v>
      </c>
      <c r="H418" s="9">
        <v>0.997</v>
      </c>
      <c r="I418" s="9">
        <v>3.26</v>
      </c>
      <c r="J418" s="9">
        <v>0.66</v>
      </c>
      <c r="K418" s="9">
        <v>11.7</v>
      </c>
      <c r="L418" s="9">
        <v>6</v>
      </c>
    </row>
    <row r="419" spans="1:12" x14ac:dyDescent="0.3">
      <c r="A419" s="9">
        <v>7</v>
      </c>
      <c r="B419" s="9">
        <v>0.57999999999999996</v>
      </c>
      <c r="C419" s="9">
        <v>0.12</v>
      </c>
      <c r="D419" s="9">
        <v>1.9</v>
      </c>
      <c r="E419" s="9">
        <v>9.0999999999999998E-2</v>
      </c>
      <c r="F419" s="9">
        <v>34</v>
      </c>
      <c r="G419" s="9">
        <v>124</v>
      </c>
      <c r="H419" s="9">
        <v>0.99560000000000004</v>
      </c>
      <c r="I419" s="9">
        <v>3.44</v>
      </c>
      <c r="J419" s="9">
        <v>0.48</v>
      </c>
      <c r="K419" s="9">
        <v>10.5</v>
      </c>
      <c r="L419" s="9">
        <v>5</v>
      </c>
    </row>
    <row r="420" spans="1:12" x14ac:dyDescent="0.3">
      <c r="A420" s="9">
        <v>11.9</v>
      </c>
      <c r="B420" s="9">
        <v>0.38</v>
      </c>
      <c r="C420" s="9">
        <v>0.51</v>
      </c>
      <c r="D420" s="9">
        <v>2</v>
      </c>
      <c r="E420" s="9">
        <v>0.121</v>
      </c>
      <c r="F420" s="9">
        <v>7</v>
      </c>
      <c r="G420" s="9">
        <v>20</v>
      </c>
      <c r="H420" s="9">
        <v>0.99960000000000004</v>
      </c>
      <c r="I420" s="9">
        <v>3.24</v>
      </c>
      <c r="J420" s="9">
        <v>0.76</v>
      </c>
      <c r="K420" s="9">
        <v>10.4</v>
      </c>
      <c r="L420" s="9">
        <v>6</v>
      </c>
    </row>
    <row r="421" spans="1:12" x14ac:dyDescent="0.3">
      <c r="A421" s="9">
        <v>6.8</v>
      </c>
      <c r="B421" s="9">
        <v>0.77</v>
      </c>
      <c r="C421" s="9">
        <v>0</v>
      </c>
      <c r="D421" s="9">
        <v>1.8</v>
      </c>
      <c r="E421" s="9">
        <v>6.6000000000000003E-2</v>
      </c>
      <c r="F421" s="9">
        <v>34</v>
      </c>
      <c r="G421" s="9">
        <v>52</v>
      </c>
      <c r="H421" s="9">
        <v>0.99760000000000004</v>
      </c>
      <c r="I421" s="9">
        <v>3.62</v>
      </c>
      <c r="J421" s="9">
        <v>0.68</v>
      </c>
      <c r="K421" s="9">
        <v>9.9</v>
      </c>
      <c r="L421" s="9">
        <v>5</v>
      </c>
    </row>
    <row r="422" spans="1:12" x14ac:dyDescent="0.3">
      <c r="A422" s="9">
        <v>9.5</v>
      </c>
      <c r="B422" s="9">
        <v>0.56000000000000005</v>
      </c>
      <c r="C422" s="9">
        <v>0.33</v>
      </c>
      <c r="D422" s="9">
        <v>2.4</v>
      </c>
      <c r="E422" s="9">
        <v>8.8999999999999996E-2</v>
      </c>
      <c r="F422" s="9">
        <v>35</v>
      </c>
      <c r="G422" s="9">
        <v>67</v>
      </c>
      <c r="H422" s="9">
        <v>0.99719999999999998</v>
      </c>
      <c r="I422" s="9">
        <v>3.28</v>
      </c>
      <c r="J422" s="9">
        <v>0.73</v>
      </c>
      <c r="K422" s="9">
        <v>11.8</v>
      </c>
      <c r="L422" s="9">
        <v>7</v>
      </c>
    </row>
    <row r="423" spans="1:12" x14ac:dyDescent="0.3">
      <c r="A423" s="9">
        <v>6.6</v>
      </c>
      <c r="B423" s="9">
        <v>0.84</v>
      </c>
      <c r="C423" s="9">
        <v>0.03</v>
      </c>
      <c r="D423" s="9">
        <v>2.2999999999999998</v>
      </c>
      <c r="E423" s="9">
        <v>5.8999999999999997E-2</v>
      </c>
      <c r="F423" s="9">
        <v>32</v>
      </c>
      <c r="G423" s="9">
        <v>48</v>
      </c>
      <c r="H423" s="9">
        <v>0.99519999999999997</v>
      </c>
      <c r="I423" s="9">
        <v>3.52</v>
      </c>
      <c r="J423" s="9">
        <v>0.56000000000000005</v>
      </c>
      <c r="K423" s="9">
        <v>12.3</v>
      </c>
      <c r="L423" s="9">
        <v>7</v>
      </c>
    </row>
    <row r="424" spans="1:12" x14ac:dyDescent="0.3">
      <c r="A424" s="9">
        <v>7.7</v>
      </c>
      <c r="B424" s="9">
        <v>0.96</v>
      </c>
      <c r="C424" s="9">
        <v>0.2</v>
      </c>
      <c r="D424" s="9">
        <v>2</v>
      </c>
      <c r="E424" s="9">
        <v>4.7E-2</v>
      </c>
      <c r="F424" s="9">
        <v>15</v>
      </c>
      <c r="G424" s="9">
        <v>60</v>
      </c>
      <c r="H424" s="9">
        <v>0.99550000000000005</v>
      </c>
      <c r="I424" s="9">
        <v>3.36</v>
      </c>
      <c r="J424" s="9">
        <v>0.44</v>
      </c>
      <c r="K424" s="9">
        <v>10.9</v>
      </c>
      <c r="L424" s="9">
        <v>5</v>
      </c>
    </row>
    <row r="425" spans="1:12" x14ac:dyDescent="0.3">
      <c r="A425" s="9">
        <v>10.5</v>
      </c>
      <c r="B425" s="9">
        <v>0.24</v>
      </c>
      <c r="C425" s="9">
        <v>0.47</v>
      </c>
      <c r="D425" s="9">
        <v>2.1</v>
      </c>
      <c r="E425" s="9">
        <v>6.6000000000000003E-2</v>
      </c>
      <c r="F425" s="9">
        <v>6</v>
      </c>
      <c r="G425" s="9">
        <v>24</v>
      </c>
      <c r="H425" s="9">
        <v>0.99780000000000002</v>
      </c>
      <c r="I425" s="9">
        <v>3.15</v>
      </c>
      <c r="J425" s="9">
        <v>0.9</v>
      </c>
      <c r="K425" s="9">
        <v>11</v>
      </c>
      <c r="L425" s="9">
        <v>7</v>
      </c>
    </row>
    <row r="426" spans="1:12" x14ac:dyDescent="0.3">
      <c r="A426" s="9">
        <v>7.7</v>
      </c>
      <c r="B426" s="9">
        <v>0.96</v>
      </c>
      <c r="C426" s="9">
        <v>0.2</v>
      </c>
      <c r="D426" s="9">
        <v>2</v>
      </c>
      <c r="E426" s="9">
        <v>4.7E-2</v>
      </c>
      <c r="F426" s="9">
        <v>15</v>
      </c>
      <c r="G426" s="9">
        <v>60</v>
      </c>
      <c r="H426" s="9">
        <v>0.99550000000000005</v>
      </c>
      <c r="I426" s="9">
        <v>3.36</v>
      </c>
      <c r="J426" s="9">
        <v>0.44</v>
      </c>
      <c r="K426" s="9">
        <v>10.9</v>
      </c>
      <c r="L426" s="9">
        <v>5</v>
      </c>
    </row>
    <row r="427" spans="1:12" x14ac:dyDescent="0.3">
      <c r="A427" s="9">
        <v>6.6</v>
      </c>
      <c r="B427" s="9">
        <v>0.84</v>
      </c>
      <c r="C427" s="9">
        <v>0.03</v>
      </c>
      <c r="D427" s="9">
        <v>2.2999999999999998</v>
      </c>
      <c r="E427" s="9">
        <v>5.8999999999999997E-2</v>
      </c>
      <c r="F427" s="9">
        <v>32</v>
      </c>
      <c r="G427" s="9">
        <v>48</v>
      </c>
      <c r="H427" s="9">
        <v>0.99519999999999997</v>
      </c>
      <c r="I427" s="9">
        <v>3.52</v>
      </c>
      <c r="J427" s="9">
        <v>0.56000000000000005</v>
      </c>
      <c r="K427" s="9">
        <v>12.3</v>
      </c>
      <c r="L427" s="9">
        <v>7</v>
      </c>
    </row>
    <row r="428" spans="1:12" x14ac:dyDescent="0.3">
      <c r="A428" s="9">
        <v>6.4</v>
      </c>
      <c r="B428" s="9">
        <v>0.67</v>
      </c>
      <c r="C428" s="9">
        <v>0.08</v>
      </c>
      <c r="D428" s="9">
        <v>2.1</v>
      </c>
      <c r="E428" s="9">
        <v>4.4999999999999998E-2</v>
      </c>
      <c r="F428" s="9">
        <v>19</v>
      </c>
      <c r="G428" s="9">
        <v>48</v>
      </c>
      <c r="H428" s="9">
        <v>0.99490000000000001</v>
      </c>
      <c r="I428" s="9">
        <v>3.49</v>
      </c>
      <c r="J428" s="9">
        <v>0.49</v>
      </c>
      <c r="K428" s="9">
        <v>11.4</v>
      </c>
      <c r="L428" s="9">
        <v>6</v>
      </c>
    </row>
    <row r="429" spans="1:12" x14ac:dyDescent="0.3">
      <c r="A429" s="9">
        <v>9.5</v>
      </c>
      <c r="B429" s="9">
        <v>0.78</v>
      </c>
      <c r="C429" s="9">
        <v>0.22</v>
      </c>
      <c r="D429" s="9">
        <v>1.9</v>
      </c>
      <c r="E429" s="9">
        <v>7.6999999999999999E-2</v>
      </c>
      <c r="F429" s="9">
        <v>6</v>
      </c>
      <c r="G429" s="9">
        <v>32</v>
      </c>
      <c r="H429" s="9">
        <v>0.99880000000000002</v>
      </c>
      <c r="I429" s="9">
        <v>3.26</v>
      </c>
      <c r="J429" s="9">
        <v>0.56000000000000005</v>
      </c>
      <c r="K429" s="9">
        <v>10.6</v>
      </c>
      <c r="L429" s="9">
        <v>6</v>
      </c>
    </row>
    <row r="430" spans="1:12" x14ac:dyDescent="0.3">
      <c r="A430" s="9">
        <v>9.1</v>
      </c>
      <c r="B430" s="9">
        <v>0.52</v>
      </c>
      <c r="C430" s="9">
        <v>0.33</v>
      </c>
      <c r="D430" s="9">
        <v>1.3</v>
      </c>
      <c r="E430" s="9">
        <v>7.0000000000000007E-2</v>
      </c>
      <c r="F430" s="9">
        <v>9</v>
      </c>
      <c r="G430" s="9">
        <v>30</v>
      </c>
      <c r="H430" s="9">
        <v>0.99780000000000002</v>
      </c>
      <c r="I430" s="9">
        <v>3.24</v>
      </c>
      <c r="J430" s="9">
        <v>0.6</v>
      </c>
      <c r="K430" s="9">
        <v>9.3000000000000007</v>
      </c>
      <c r="L430" s="9">
        <v>5</v>
      </c>
    </row>
    <row r="431" spans="1:12" x14ac:dyDescent="0.3">
      <c r="A431" s="9">
        <v>12.8</v>
      </c>
      <c r="B431" s="9">
        <v>0.84</v>
      </c>
      <c r="C431" s="9">
        <v>0.63</v>
      </c>
      <c r="D431" s="9">
        <v>2.4</v>
      </c>
      <c r="E431" s="9">
        <v>8.7999999999999995E-2</v>
      </c>
      <c r="F431" s="9">
        <v>13</v>
      </c>
      <c r="G431" s="9">
        <v>35</v>
      </c>
      <c r="H431" s="9">
        <v>0.99970000000000003</v>
      </c>
      <c r="I431" s="9">
        <v>3.1</v>
      </c>
      <c r="J431" s="9">
        <v>0.6</v>
      </c>
      <c r="K431" s="9">
        <v>10.4</v>
      </c>
      <c r="L431" s="9">
        <v>6</v>
      </c>
    </row>
    <row r="432" spans="1:12" x14ac:dyDescent="0.3">
      <c r="A432" s="9">
        <v>10.5</v>
      </c>
      <c r="B432" s="9">
        <v>0.24</v>
      </c>
      <c r="C432" s="9">
        <v>0.47</v>
      </c>
      <c r="D432" s="9">
        <v>2.1</v>
      </c>
      <c r="E432" s="9">
        <v>6.6000000000000003E-2</v>
      </c>
      <c r="F432" s="9">
        <v>6</v>
      </c>
      <c r="G432" s="9">
        <v>24</v>
      </c>
      <c r="H432" s="9">
        <v>0.99780000000000002</v>
      </c>
      <c r="I432" s="9">
        <v>3.15</v>
      </c>
      <c r="J432" s="9">
        <v>0.9</v>
      </c>
      <c r="K432" s="9">
        <v>11</v>
      </c>
      <c r="L432" s="9">
        <v>7</v>
      </c>
    </row>
    <row r="433" spans="1:12" x14ac:dyDescent="0.3">
      <c r="A433" s="9">
        <v>7.8</v>
      </c>
      <c r="B433" s="9">
        <v>0.55000000000000004</v>
      </c>
      <c r="C433" s="9">
        <v>0.35</v>
      </c>
      <c r="D433" s="9">
        <v>2.2000000000000002</v>
      </c>
      <c r="E433" s="9">
        <v>7.3999999999999996E-2</v>
      </c>
      <c r="F433" s="9">
        <v>21</v>
      </c>
      <c r="G433" s="9">
        <v>66</v>
      </c>
      <c r="H433" s="9">
        <v>0.99739999999999995</v>
      </c>
      <c r="I433" s="9">
        <v>3.25</v>
      </c>
      <c r="J433" s="9">
        <v>0.56000000000000005</v>
      </c>
      <c r="K433" s="9">
        <v>9.1999999999999993</v>
      </c>
      <c r="L433" s="9">
        <v>5</v>
      </c>
    </row>
    <row r="434" spans="1:12" x14ac:dyDescent="0.3">
      <c r="A434" s="9">
        <v>11.9</v>
      </c>
      <c r="B434" s="9">
        <v>0.37</v>
      </c>
      <c r="C434" s="9">
        <v>0.69</v>
      </c>
      <c r="D434" s="9">
        <v>2.2999999999999998</v>
      </c>
      <c r="E434" s="9">
        <v>7.8E-2</v>
      </c>
      <c r="F434" s="9">
        <v>12</v>
      </c>
      <c r="G434" s="9">
        <v>24</v>
      </c>
      <c r="H434" s="9">
        <v>0.99580000000000002</v>
      </c>
      <c r="I434" s="9">
        <v>3</v>
      </c>
      <c r="J434" s="9">
        <v>0.65</v>
      </c>
      <c r="K434" s="9">
        <v>12.8</v>
      </c>
      <c r="L434" s="9">
        <v>6</v>
      </c>
    </row>
    <row r="435" spans="1:12" x14ac:dyDescent="0.3">
      <c r="A435" s="9">
        <v>12.3</v>
      </c>
      <c r="B435" s="9">
        <v>0.39</v>
      </c>
      <c r="C435" s="9">
        <v>0.63</v>
      </c>
      <c r="D435" s="9">
        <v>2.2999999999999998</v>
      </c>
      <c r="E435" s="9">
        <v>9.0999999999999998E-2</v>
      </c>
      <c r="F435" s="9">
        <v>6</v>
      </c>
      <c r="G435" s="9">
        <v>18</v>
      </c>
      <c r="H435" s="9">
        <v>1.0004</v>
      </c>
      <c r="I435" s="9">
        <v>3.16</v>
      </c>
      <c r="J435" s="9">
        <v>0.49</v>
      </c>
      <c r="K435" s="9">
        <v>9.5</v>
      </c>
      <c r="L435" s="9">
        <v>5</v>
      </c>
    </row>
    <row r="436" spans="1:12" x14ac:dyDescent="0.3">
      <c r="A436" s="9">
        <v>10.4</v>
      </c>
      <c r="B436" s="9">
        <v>0.41</v>
      </c>
      <c r="C436" s="9">
        <v>0.55000000000000004</v>
      </c>
      <c r="D436" s="9">
        <v>3.2</v>
      </c>
      <c r="E436" s="9">
        <v>7.5999999999999998E-2</v>
      </c>
      <c r="F436" s="9">
        <v>22</v>
      </c>
      <c r="G436" s="9">
        <v>54</v>
      </c>
      <c r="H436" s="9">
        <v>0.99960000000000004</v>
      </c>
      <c r="I436" s="9">
        <v>3.15</v>
      </c>
      <c r="J436" s="9">
        <v>0.89</v>
      </c>
      <c r="K436" s="9">
        <v>9.9</v>
      </c>
      <c r="L436" s="9">
        <v>6</v>
      </c>
    </row>
    <row r="437" spans="1:12" x14ac:dyDescent="0.3">
      <c r="A437" s="9">
        <v>12.3</v>
      </c>
      <c r="B437" s="9">
        <v>0.39</v>
      </c>
      <c r="C437" s="9">
        <v>0.63</v>
      </c>
      <c r="D437" s="9">
        <v>2.2999999999999998</v>
      </c>
      <c r="E437" s="9">
        <v>9.0999999999999998E-2</v>
      </c>
      <c r="F437" s="9">
        <v>6</v>
      </c>
      <c r="G437" s="9">
        <v>18</v>
      </c>
      <c r="H437" s="9">
        <v>1.0004</v>
      </c>
      <c r="I437" s="9">
        <v>3.16</v>
      </c>
      <c r="J437" s="9">
        <v>0.49</v>
      </c>
      <c r="K437" s="9">
        <v>9.5</v>
      </c>
      <c r="L437" s="9">
        <v>5</v>
      </c>
    </row>
    <row r="438" spans="1:12" x14ac:dyDescent="0.3">
      <c r="A438" s="9">
        <v>8</v>
      </c>
      <c r="B438" s="9">
        <v>0.67</v>
      </c>
      <c r="C438" s="9">
        <v>0.3</v>
      </c>
      <c r="D438" s="9">
        <v>2</v>
      </c>
      <c r="E438" s="9">
        <v>0.06</v>
      </c>
      <c r="F438" s="9">
        <v>38</v>
      </c>
      <c r="G438" s="9">
        <v>62</v>
      </c>
      <c r="H438" s="9">
        <v>0.99580000000000002</v>
      </c>
      <c r="I438" s="9">
        <v>3.26</v>
      </c>
      <c r="J438" s="9">
        <v>0.56000000000000005</v>
      </c>
      <c r="K438" s="9">
        <v>10.199999999999999</v>
      </c>
      <c r="L438" s="9">
        <v>6</v>
      </c>
    </row>
    <row r="439" spans="1:12" x14ac:dyDescent="0.3">
      <c r="A439" s="9">
        <v>11.1</v>
      </c>
      <c r="B439" s="9">
        <v>0.45</v>
      </c>
      <c r="C439" s="9">
        <v>0.73</v>
      </c>
      <c r="D439" s="9">
        <v>3.2</v>
      </c>
      <c r="E439" s="9">
        <v>6.6000000000000003E-2</v>
      </c>
      <c r="F439" s="9">
        <v>6</v>
      </c>
      <c r="G439" s="9">
        <v>22</v>
      </c>
      <c r="H439" s="9">
        <v>0.99860000000000004</v>
      </c>
      <c r="I439" s="9">
        <v>3.17</v>
      </c>
      <c r="J439" s="9">
        <v>0.66</v>
      </c>
      <c r="K439" s="9">
        <v>11.2</v>
      </c>
      <c r="L439" s="9">
        <v>6</v>
      </c>
    </row>
    <row r="440" spans="1:12" x14ac:dyDescent="0.3">
      <c r="A440" s="9">
        <v>10.4</v>
      </c>
      <c r="B440" s="9">
        <v>0.41</v>
      </c>
      <c r="C440" s="9">
        <v>0.55000000000000004</v>
      </c>
      <c r="D440" s="9">
        <v>3.2</v>
      </c>
      <c r="E440" s="9">
        <v>7.5999999999999998E-2</v>
      </c>
      <c r="F440" s="9">
        <v>22</v>
      </c>
      <c r="G440" s="9">
        <v>54</v>
      </c>
      <c r="H440" s="9">
        <v>0.99960000000000004</v>
      </c>
      <c r="I440" s="9">
        <v>3.15</v>
      </c>
      <c r="J440" s="9">
        <v>0.89</v>
      </c>
      <c r="K440" s="9">
        <v>9.9</v>
      </c>
      <c r="L440" s="9">
        <v>6</v>
      </c>
    </row>
    <row r="441" spans="1:12" x14ac:dyDescent="0.3">
      <c r="A441" s="9">
        <v>7</v>
      </c>
      <c r="B441" s="9">
        <v>0.62</v>
      </c>
      <c r="C441" s="9">
        <v>0.18</v>
      </c>
      <c r="D441" s="9">
        <v>1.5</v>
      </c>
      <c r="E441" s="9">
        <v>6.2E-2</v>
      </c>
      <c r="F441" s="9">
        <v>7</v>
      </c>
      <c r="G441" s="9">
        <v>50</v>
      </c>
      <c r="H441" s="9">
        <v>0.99509999999999998</v>
      </c>
      <c r="I441" s="9">
        <v>3.08</v>
      </c>
      <c r="J441" s="9">
        <v>0.6</v>
      </c>
      <c r="K441" s="9">
        <v>9.3000000000000007</v>
      </c>
      <c r="L441" s="9">
        <v>5</v>
      </c>
    </row>
    <row r="442" spans="1:12" x14ac:dyDescent="0.3">
      <c r="A442" s="9">
        <v>12.6</v>
      </c>
      <c r="B442" s="9">
        <v>0.31</v>
      </c>
      <c r="C442" s="9">
        <v>0.72</v>
      </c>
      <c r="D442" s="9">
        <v>2.2000000000000002</v>
      </c>
      <c r="E442" s="9">
        <v>7.1999999999999995E-2</v>
      </c>
      <c r="F442" s="9">
        <v>6</v>
      </c>
      <c r="G442" s="9">
        <v>29</v>
      </c>
      <c r="H442" s="9">
        <v>0.99870000000000003</v>
      </c>
      <c r="I442" s="9">
        <v>2.88</v>
      </c>
      <c r="J442" s="9">
        <v>0.82</v>
      </c>
      <c r="K442" s="9">
        <v>9.8000000000000007</v>
      </c>
      <c r="L442" s="9">
        <v>8</v>
      </c>
    </row>
    <row r="443" spans="1:12" x14ac:dyDescent="0.3">
      <c r="A443" s="9">
        <v>11.9</v>
      </c>
      <c r="B443" s="9">
        <v>0.4</v>
      </c>
      <c r="C443" s="9">
        <v>0.65</v>
      </c>
      <c r="D443" s="9">
        <v>2.15</v>
      </c>
      <c r="E443" s="9">
        <v>6.8000000000000005E-2</v>
      </c>
      <c r="F443" s="9">
        <v>7</v>
      </c>
      <c r="G443" s="9">
        <v>27</v>
      </c>
      <c r="H443" s="9">
        <v>0.99880000000000002</v>
      </c>
      <c r="I443" s="9">
        <v>3.06</v>
      </c>
      <c r="J443" s="9">
        <v>0.68</v>
      </c>
      <c r="K443" s="9">
        <v>11.3</v>
      </c>
      <c r="L443" s="9">
        <v>6</v>
      </c>
    </row>
    <row r="444" spans="1:12" x14ac:dyDescent="0.3">
      <c r="A444" s="9">
        <v>15.6</v>
      </c>
      <c r="B444" s="9">
        <v>0.68500000000000005</v>
      </c>
      <c r="C444" s="9">
        <v>0.76</v>
      </c>
      <c r="D444" s="9">
        <v>3.7</v>
      </c>
      <c r="E444" s="9">
        <v>0.1</v>
      </c>
      <c r="F444" s="9">
        <v>6</v>
      </c>
      <c r="G444" s="9">
        <v>43</v>
      </c>
      <c r="H444" s="9">
        <v>1.0032000000000001</v>
      </c>
      <c r="I444" s="9">
        <v>2.95</v>
      </c>
      <c r="J444" s="9">
        <v>0.68</v>
      </c>
      <c r="K444" s="9">
        <v>11.2</v>
      </c>
      <c r="L444" s="9">
        <v>7</v>
      </c>
    </row>
    <row r="445" spans="1:12" x14ac:dyDescent="0.3">
      <c r="A445" s="9">
        <v>10</v>
      </c>
      <c r="B445" s="9">
        <v>0.44</v>
      </c>
      <c r="C445" s="9">
        <v>0.49</v>
      </c>
      <c r="D445" s="9">
        <v>2.7</v>
      </c>
      <c r="E445" s="9">
        <v>7.6999999999999999E-2</v>
      </c>
      <c r="F445" s="9">
        <v>11</v>
      </c>
      <c r="G445" s="9">
        <v>19</v>
      </c>
      <c r="H445" s="9">
        <v>0.99629999999999996</v>
      </c>
      <c r="I445" s="9">
        <v>3.23</v>
      </c>
      <c r="J445" s="9">
        <v>0.63</v>
      </c>
      <c r="K445" s="9">
        <v>11.6</v>
      </c>
      <c r="L445" s="9">
        <v>7</v>
      </c>
    </row>
    <row r="446" spans="1:12" x14ac:dyDescent="0.3">
      <c r="A446" s="9">
        <v>5.3</v>
      </c>
      <c r="B446" s="9">
        <v>0.56999999999999995</v>
      </c>
      <c r="C446" s="9">
        <v>0.01</v>
      </c>
      <c r="D446" s="9">
        <v>1.7</v>
      </c>
      <c r="E446" s="9">
        <v>5.3999999999999999E-2</v>
      </c>
      <c r="F446" s="9">
        <v>5</v>
      </c>
      <c r="G446" s="9">
        <v>27</v>
      </c>
      <c r="H446" s="9">
        <v>0.99339999999999995</v>
      </c>
      <c r="I446" s="9">
        <v>3.57</v>
      </c>
      <c r="J446" s="9">
        <v>0.84</v>
      </c>
      <c r="K446" s="9">
        <v>12.5</v>
      </c>
      <c r="L446" s="9">
        <v>7</v>
      </c>
    </row>
    <row r="447" spans="1:12" x14ac:dyDescent="0.3">
      <c r="A447" s="9">
        <v>9.5</v>
      </c>
      <c r="B447" s="9">
        <v>0.73499999999999999</v>
      </c>
      <c r="C447" s="9">
        <v>0.1</v>
      </c>
      <c r="D447" s="9">
        <v>2.1</v>
      </c>
      <c r="E447" s="9">
        <v>7.9000000000000001E-2</v>
      </c>
      <c r="F447" s="9">
        <v>6</v>
      </c>
      <c r="G447" s="9">
        <v>31</v>
      </c>
      <c r="H447" s="9">
        <v>0.99860000000000004</v>
      </c>
      <c r="I447" s="9">
        <v>3.23</v>
      </c>
      <c r="J447" s="9">
        <v>0.56000000000000005</v>
      </c>
      <c r="K447" s="9">
        <v>10.1</v>
      </c>
      <c r="L447" s="9">
        <v>6</v>
      </c>
    </row>
    <row r="448" spans="1:12" x14ac:dyDescent="0.3">
      <c r="A448" s="9">
        <v>12.5</v>
      </c>
      <c r="B448" s="9">
        <v>0.38</v>
      </c>
      <c r="C448" s="9">
        <v>0.6</v>
      </c>
      <c r="D448" s="9">
        <v>2.6</v>
      </c>
      <c r="E448" s="9">
        <v>8.1000000000000003E-2</v>
      </c>
      <c r="F448" s="9">
        <v>31</v>
      </c>
      <c r="G448" s="9">
        <v>72</v>
      </c>
      <c r="H448" s="9">
        <v>0.99960000000000004</v>
      </c>
      <c r="I448" s="9">
        <v>3.1</v>
      </c>
      <c r="J448" s="9">
        <v>0.73</v>
      </c>
      <c r="K448" s="9">
        <v>10.5</v>
      </c>
      <c r="L448" s="9">
        <v>5</v>
      </c>
    </row>
    <row r="449" spans="1:12" x14ac:dyDescent="0.3">
      <c r="A449" s="9">
        <v>9.3000000000000007</v>
      </c>
      <c r="B449" s="9">
        <v>0.48</v>
      </c>
      <c r="C449" s="9">
        <v>0.28999999999999998</v>
      </c>
      <c r="D449" s="9">
        <v>2.1</v>
      </c>
      <c r="E449" s="9">
        <v>0.127</v>
      </c>
      <c r="F449" s="9">
        <v>6</v>
      </c>
      <c r="G449" s="9">
        <v>16</v>
      </c>
      <c r="H449" s="9">
        <v>0.99680000000000002</v>
      </c>
      <c r="I449" s="9">
        <v>3.22</v>
      </c>
      <c r="J449" s="9">
        <v>0.72</v>
      </c>
      <c r="K449" s="9">
        <v>11.2</v>
      </c>
      <c r="L449" s="9">
        <v>5</v>
      </c>
    </row>
    <row r="450" spans="1:12" x14ac:dyDescent="0.3">
      <c r="A450" s="9">
        <v>8.6</v>
      </c>
      <c r="B450" s="9">
        <v>0.53</v>
      </c>
      <c r="C450" s="9">
        <v>0.22</v>
      </c>
      <c r="D450" s="9">
        <v>2</v>
      </c>
      <c r="E450" s="9">
        <v>0.1</v>
      </c>
      <c r="F450" s="9">
        <v>7</v>
      </c>
      <c r="G450" s="9">
        <v>27</v>
      </c>
      <c r="H450" s="9">
        <v>0.99670000000000003</v>
      </c>
      <c r="I450" s="9">
        <v>3.2</v>
      </c>
      <c r="J450" s="9">
        <v>0.56000000000000005</v>
      </c>
      <c r="K450" s="9">
        <v>10.199999999999999</v>
      </c>
      <c r="L450" s="9">
        <v>6</v>
      </c>
    </row>
    <row r="451" spans="1:12" x14ac:dyDescent="0.3">
      <c r="A451" s="9">
        <v>11.9</v>
      </c>
      <c r="B451" s="9">
        <v>0.39</v>
      </c>
      <c r="C451" s="9">
        <v>0.69</v>
      </c>
      <c r="D451" s="9">
        <v>2.8</v>
      </c>
      <c r="E451" s="9">
        <v>9.5000000000000001E-2</v>
      </c>
      <c r="F451" s="9">
        <v>17</v>
      </c>
      <c r="G451" s="9">
        <v>35</v>
      </c>
      <c r="H451" s="9">
        <v>0.99939999999999996</v>
      </c>
      <c r="I451" s="9">
        <v>3.1</v>
      </c>
      <c r="J451" s="9">
        <v>0.61</v>
      </c>
      <c r="K451" s="9">
        <v>10.8</v>
      </c>
      <c r="L451" s="9">
        <v>6</v>
      </c>
    </row>
    <row r="452" spans="1:12" x14ac:dyDescent="0.3">
      <c r="A452" s="9">
        <v>11.9</v>
      </c>
      <c r="B452" s="9">
        <v>0.39</v>
      </c>
      <c r="C452" s="9">
        <v>0.69</v>
      </c>
      <c r="D452" s="9">
        <v>2.8</v>
      </c>
      <c r="E452" s="9">
        <v>9.5000000000000001E-2</v>
      </c>
      <c r="F452" s="9">
        <v>17</v>
      </c>
      <c r="G452" s="9">
        <v>35</v>
      </c>
      <c r="H452" s="9">
        <v>0.99939999999999996</v>
      </c>
      <c r="I452" s="9">
        <v>3.1</v>
      </c>
      <c r="J452" s="9">
        <v>0.61</v>
      </c>
      <c r="K452" s="9">
        <v>10.8</v>
      </c>
      <c r="L452" s="9">
        <v>6</v>
      </c>
    </row>
    <row r="453" spans="1:12" x14ac:dyDescent="0.3">
      <c r="A453" s="9">
        <v>8.4</v>
      </c>
      <c r="B453" s="9">
        <v>0.37</v>
      </c>
      <c r="C453" s="9">
        <v>0.53</v>
      </c>
      <c r="D453" s="9">
        <v>1.8</v>
      </c>
      <c r="E453" s="9">
        <v>0.41299999999999998</v>
      </c>
      <c r="F453" s="9">
        <v>9</v>
      </c>
      <c r="G453" s="9">
        <v>26</v>
      </c>
      <c r="H453" s="9">
        <v>0.99790000000000001</v>
      </c>
      <c r="I453" s="9">
        <v>3.06</v>
      </c>
      <c r="J453" s="9">
        <v>1.06</v>
      </c>
      <c r="K453" s="9">
        <v>9.1</v>
      </c>
      <c r="L453" s="9">
        <v>6</v>
      </c>
    </row>
    <row r="454" spans="1:12" x14ac:dyDescent="0.3">
      <c r="A454" s="9">
        <v>6.8</v>
      </c>
      <c r="B454" s="9">
        <v>0.56000000000000005</v>
      </c>
      <c r="C454" s="9">
        <v>0.03</v>
      </c>
      <c r="D454" s="9">
        <v>1.7</v>
      </c>
      <c r="E454" s="9">
        <v>8.4000000000000005E-2</v>
      </c>
      <c r="F454" s="9">
        <v>18</v>
      </c>
      <c r="G454" s="9">
        <v>35</v>
      </c>
      <c r="H454" s="9">
        <v>0.99680000000000002</v>
      </c>
      <c r="I454" s="9">
        <v>3.44</v>
      </c>
      <c r="J454" s="9">
        <v>0.63</v>
      </c>
      <c r="K454" s="9">
        <v>10</v>
      </c>
      <c r="L454" s="9">
        <v>6</v>
      </c>
    </row>
    <row r="455" spans="1:12" x14ac:dyDescent="0.3">
      <c r="A455" s="9">
        <v>10.4</v>
      </c>
      <c r="B455" s="9">
        <v>0.33</v>
      </c>
      <c r="C455" s="9">
        <v>0.63</v>
      </c>
      <c r="D455" s="9">
        <v>2.8</v>
      </c>
      <c r="E455" s="9">
        <v>8.4000000000000005E-2</v>
      </c>
      <c r="F455" s="9">
        <v>5</v>
      </c>
      <c r="G455" s="9">
        <v>22</v>
      </c>
      <c r="H455" s="9">
        <v>0.99980000000000002</v>
      </c>
      <c r="I455" s="9">
        <v>3.26</v>
      </c>
      <c r="J455" s="9">
        <v>0.74</v>
      </c>
      <c r="K455" s="9">
        <v>11.2</v>
      </c>
      <c r="L455" s="9">
        <v>7</v>
      </c>
    </row>
    <row r="456" spans="1:12" x14ac:dyDescent="0.3">
      <c r="A456" s="9">
        <v>7</v>
      </c>
      <c r="B456" s="9">
        <v>0.23</v>
      </c>
      <c r="C456" s="9">
        <v>0.4</v>
      </c>
      <c r="D456" s="9">
        <v>1.6</v>
      </c>
      <c r="E456" s="9">
        <v>6.3E-2</v>
      </c>
      <c r="F456" s="9">
        <v>21</v>
      </c>
      <c r="G456" s="9">
        <v>67</v>
      </c>
      <c r="H456" s="9">
        <v>0.99519999999999997</v>
      </c>
      <c r="I456" s="9">
        <v>3.5</v>
      </c>
      <c r="J456" s="9">
        <v>0.63</v>
      </c>
      <c r="K456" s="9">
        <v>11.1</v>
      </c>
      <c r="L456" s="9">
        <v>5</v>
      </c>
    </row>
    <row r="457" spans="1:12" x14ac:dyDescent="0.3">
      <c r="A457" s="9">
        <v>11.3</v>
      </c>
      <c r="B457" s="9">
        <v>0.62</v>
      </c>
      <c r="C457" s="9">
        <v>0.67</v>
      </c>
      <c r="D457" s="9">
        <v>5.2</v>
      </c>
      <c r="E457" s="9">
        <v>8.5999999999999993E-2</v>
      </c>
      <c r="F457" s="9">
        <v>6</v>
      </c>
      <c r="G457" s="9">
        <v>19</v>
      </c>
      <c r="H457" s="9">
        <v>0.99880000000000002</v>
      </c>
      <c r="I457" s="9">
        <v>3.22</v>
      </c>
      <c r="J457" s="9">
        <v>0.69</v>
      </c>
      <c r="K457" s="9">
        <v>13.4</v>
      </c>
      <c r="L457" s="9">
        <v>8</v>
      </c>
    </row>
    <row r="458" spans="1:12" x14ac:dyDescent="0.3">
      <c r="A458" s="9">
        <v>8.9</v>
      </c>
      <c r="B458" s="9">
        <v>0.59</v>
      </c>
      <c r="C458" s="9">
        <v>0.39</v>
      </c>
      <c r="D458" s="9">
        <v>2.2999999999999998</v>
      </c>
      <c r="E458" s="9">
        <v>9.5000000000000001E-2</v>
      </c>
      <c r="F458" s="9">
        <v>5</v>
      </c>
      <c r="G458" s="9">
        <v>22</v>
      </c>
      <c r="H458" s="9">
        <v>0.99860000000000004</v>
      </c>
      <c r="I458" s="9">
        <v>3.37</v>
      </c>
      <c r="J458" s="9">
        <v>0.57999999999999996</v>
      </c>
      <c r="K458" s="9">
        <v>10.3</v>
      </c>
      <c r="L458" s="9">
        <v>5</v>
      </c>
    </row>
    <row r="459" spans="1:12" x14ac:dyDescent="0.3">
      <c r="A459" s="9">
        <v>9.1999999999999993</v>
      </c>
      <c r="B459" s="9">
        <v>0.63</v>
      </c>
      <c r="C459" s="9">
        <v>0.21</v>
      </c>
      <c r="D459" s="9">
        <v>2.7</v>
      </c>
      <c r="E459" s="9">
        <v>9.7000000000000003E-2</v>
      </c>
      <c r="F459" s="9">
        <v>29</v>
      </c>
      <c r="G459" s="9">
        <v>65</v>
      </c>
      <c r="H459" s="9">
        <v>0.99880000000000002</v>
      </c>
      <c r="I459" s="9">
        <v>3.28</v>
      </c>
      <c r="J459" s="9">
        <v>0.57999999999999996</v>
      </c>
      <c r="K459" s="9">
        <v>9.6</v>
      </c>
      <c r="L459" s="9">
        <v>5</v>
      </c>
    </row>
    <row r="460" spans="1:12" x14ac:dyDescent="0.3">
      <c r="A460" s="9">
        <v>10.4</v>
      </c>
      <c r="B460" s="9">
        <v>0.33</v>
      </c>
      <c r="C460" s="9">
        <v>0.63</v>
      </c>
      <c r="D460" s="9">
        <v>2.8</v>
      </c>
      <c r="E460" s="9">
        <v>8.4000000000000005E-2</v>
      </c>
      <c r="F460" s="9">
        <v>5</v>
      </c>
      <c r="G460" s="9">
        <v>22</v>
      </c>
      <c r="H460" s="9">
        <v>0.99980000000000002</v>
      </c>
      <c r="I460" s="9">
        <v>3.26</v>
      </c>
      <c r="J460" s="9">
        <v>0.74</v>
      </c>
      <c r="K460" s="9">
        <v>11.2</v>
      </c>
      <c r="L460" s="9">
        <v>7</v>
      </c>
    </row>
    <row r="461" spans="1:12" x14ac:dyDescent="0.3">
      <c r="A461" s="9">
        <v>11.6</v>
      </c>
      <c r="B461" s="9">
        <v>0.57999999999999996</v>
      </c>
      <c r="C461" s="9">
        <v>0.66</v>
      </c>
      <c r="D461" s="9">
        <v>2.2000000000000002</v>
      </c>
      <c r="E461" s="9">
        <v>7.3999999999999996E-2</v>
      </c>
      <c r="F461" s="9">
        <v>10</v>
      </c>
      <c r="G461" s="9">
        <v>47</v>
      </c>
      <c r="H461" s="9">
        <v>1.0007999999999999</v>
      </c>
      <c r="I461" s="9">
        <v>3.25</v>
      </c>
      <c r="J461" s="9">
        <v>0.56999999999999995</v>
      </c>
      <c r="K461" s="9">
        <v>9</v>
      </c>
      <c r="L461" s="9">
        <v>3</v>
      </c>
    </row>
    <row r="462" spans="1:12" x14ac:dyDescent="0.3">
      <c r="A462" s="9">
        <v>9.1999999999999993</v>
      </c>
      <c r="B462" s="9">
        <v>0.43</v>
      </c>
      <c r="C462" s="9">
        <v>0.52</v>
      </c>
      <c r="D462" s="9">
        <v>2.2999999999999998</v>
      </c>
      <c r="E462" s="9">
        <v>8.3000000000000004E-2</v>
      </c>
      <c r="F462" s="9">
        <v>14</v>
      </c>
      <c r="G462" s="9">
        <v>23</v>
      </c>
      <c r="H462" s="9">
        <v>0.99760000000000004</v>
      </c>
      <c r="I462" s="9">
        <v>3.35</v>
      </c>
      <c r="J462" s="9">
        <v>0.61</v>
      </c>
      <c r="K462" s="9">
        <v>11.3</v>
      </c>
      <c r="L462" s="9">
        <v>6</v>
      </c>
    </row>
    <row r="463" spans="1:12" x14ac:dyDescent="0.3">
      <c r="A463" s="9">
        <v>8.3000000000000007</v>
      </c>
      <c r="B463" s="9">
        <v>0.61499999999999999</v>
      </c>
      <c r="C463" s="9">
        <v>0.22</v>
      </c>
      <c r="D463" s="9">
        <v>2.6</v>
      </c>
      <c r="E463" s="9">
        <v>8.6999999999999994E-2</v>
      </c>
      <c r="F463" s="9">
        <v>6</v>
      </c>
      <c r="G463" s="9">
        <v>19</v>
      </c>
      <c r="H463" s="9">
        <v>0.99819999999999998</v>
      </c>
      <c r="I463" s="9">
        <v>3.26</v>
      </c>
      <c r="J463" s="9">
        <v>0.61</v>
      </c>
      <c r="K463" s="9">
        <v>9.3000000000000007</v>
      </c>
      <c r="L463" s="9">
        <v>5</v>
      </c>
    </row>
    <row r="464" spans="1:12" x14ac:dyDescent="0.3">
      <c r="A464" s="9">
        <v>11</v>
      </c>
      <c r="B464" s="9">
        <v>0.26</v>
      </c>
      <c r="C464" s="9">
        <v>0.68</v>
      </c>
      <c r="D464" s="9">
        <v>2.5499999999999998</v>
      </c>
      <c r="E464" s="9">
        <v>8.5000000000000006E-2</v>
      </c>
      <c r="F464" s="9">
        <v>10</v>
      </c>
      <c r="G464" s="9">
        <v>25</v>
      </c>
      <c r="H464" s="9">
        <v>0.997</v>
      </c>
      <c r="I464" s="9">
        <v>3.18</v>
      </c>
      <c r="J464" s="9">
        <v>0.61</v>
      </c>
      <c r="K464" s="9">
        <v>11.8</v>
      </c>
      <c r="L464" s="9">
        <v>5</v>
      </c>
    </row>
    <row r="465" spans="1:12" x14ac:dyDescent="0.3">
      <c r="A465" s="9">
        <v>8.1</v>
      </c>
      <c r="B465" s="9">
        <v>0.66</v>
      </c>
      <c r="C465" s="9">
        <v>0.7</v>
      </c>
      <c r="D465" s="9">
        <v>2.2000000000000002</v>
      </c>
      <c r="E465" s="9">
        <v>9.8000000000000004E-2</v>
      </c>
      <c r="F465" s="9">
        <v>25</v>
      </c>
      <c r="G465" s="9">
        <v>129</v>
      </c>
      <c r="H465" s="9">
        <v>0.99719999999999998</v>
      </c>
      <c r="I465" s="9">
        <v>3.08</v>
      </c>
      <c r="J465" s="9">
        <v>0.53</v>
      </c>
      <c r="K465" s="9">
        <v>9</v>
      </c>
      <c r="L465" s="9">
        <v>5</v>
      </c>
    </row>
    <row r="466" spans="1:12" x14ac:dyDescent="0.3">
      <c r="A466" s="9">
        <v>11.5</v>
      </c>
      <c r="B466" s="9">
        <v>0.315</v>
      </c>
      <c r="C466" s="9">
        <v>0.54</v>
      </c>
      <c r="D466" s="9">
        <v>2.1</v>
      </c>
      <c r="E466" s="9">
        <v>8.4000000000000005E-2</v>
      </c>
      <c r="F466" s="9">
        <v>5</v>
      </c>
      <c r="G466" s="9">
        <v>15</v>
      </c>
      <c r="H466" s="9">
        <v>0.99870000000000003</v>
      </c>
      <c r="I466" s="9">
        <v>2.98</v>
      </c>
      <c r="J466" s="9">
        <v>0.7</v>
      </c>
      <c r="K466" s="9">
        <v>9.1999999999999993</v>
      </c>
      <c r="L466" s="9">
        <v>6</v>
      </c>
    </row>
    <row r="467" spans="1:12" x14ac:dyDescent="0.3">
      <c r="A467" s="9">
        <v>10</v>
      </c>
      <c r="B467" s="9">
        <v>0.28999999999999998</v>
      </c>
      <c r="C467" s="9">
        <v>0.4</v>
      </c>
      <c r="D467" s="9">
        <v>2.9</v>
      </c>
      <c r="E467" s="9">
        <v>9.8000000000000004E-2</v>
      </c>
      <c r="F467" s="9">
        <v>10</v>
      </c>
      <c r="G467" s="9">
        <v>26</v>
      </c>
      <c r="H467" s="9">
        <v>1.0005999999999999</v>
      </c>
      <c r="I467" s="9">
        <v>3.48</v>
      </c>
      <c r="J467" s="9">
        <v>0.91</v>
      </c>
      <c r="K467" s="9">
        <v>9.6999999999999993</v>
      </c>
      <c r="L467" s="9">
        <v>5</v>
      </c>
    </row>
    <row r="468" spans="1:12" x14ac:dyDescent="0.3">
      <c r="A468" s="9">
        <v>10.3</v>
      </c>
      <c r="B468" s="9">
        <v>0.5</v>
      </c>
      <c r="C468" s="9">
        <v>0.42</v>
      </c>
      <c r="D468" s="9">
        <v>2</v>
      </c>
      <c r="E468" s="9">
        <v>6.9000000000000006E-2</v>
      </c>
      <c r="F468" s="9">
        <v>21</v>
      </c>
      <c r="G468" s="9">
        <v>51</v>
      </c>
      <c r="H468" s="9">
        <v>0.99819999999999998</v>
      </c>
      <c r="I468" s="9">
        <v>3.16</v>
      </c>
      <c r="J468" s="9">
        <v>0.72</v>
      </c>
      <c r="K468" s="9">
        <v>11.5</v>
      </c>
      <c r="L468" s="9">
        <v>6</v>
      </c>
    </row>
    <row r="469" spans="1:12" x14ac:dyDescent="0.3">
      <c r="A469" s="9">
        <v>8.8000000000000007</v>
      </c>
      <c r="B469" s="9">
        <v>0.46</v>
      </c>
      <c r="C469" s="9">
        <v>0.45</v>
      </c>
      <c r="D469" s="9">
        <v>2.6</v>
      </c>
      <c r="E469" s="9">
        <v>6.5000000000000002E-2</v>
      </c>
      <c r="F469" s="9">
        <v>7</v>
      </c>
      <c r="G469" s="9">
        <v>18</v>
      </c>
      <c r="H469" s="9">
        <v>0.99470000000000003</v>
      </c>
      <c r="I469" s="9">
        <v>3.32</v>
      </c>
      <c r="J469" s="9">
        <v>0.79</v>
      </c>
      <c r="K469" s="9">
        <v>14</v>
      </c>
      <c r="L469" s="9">
        <v>6</v>
      </c>
    </row>
    <row r="470" spans="1:12" x14ac:dyDescent="0.3">
      <c r="A470" s="9">
        <v>11.4</v>
      </c>
      <c r="B470" s="9">
        <v>0.36</v>
      </c>
      <c r="C470" s="9">
        <v>0.69</v>
      </c>
      <c r="D470" s="9">
        <v>2.1</v>
      </c>
      <c r="E470" s="9">
        <v>0.09</v>
      </c>
      <c r="F470" s="9">
        <v>6</v>
      </c>
      <c r="G470" s="9">
        <v>21</v>
      </c>
      <c r="H470" s="9">
        <v>1</v>
      </c>
      <c r="I470" s="9">
        <v>3.17</v>
      </c>
      <c r="J470" s="9">
        <v>0.62</v>
      </c>
      <c r="K470" s="9">
        <v>9.1999999999999993</v>
      </c>
      <c r="L470" s="9">
        <v>6</v>
      </c>
    </row>
    <row r="471" spans="1:12" x14ac:dyDescent="0.3">
      <c r="A471" s="9">
        <v>8.6999999999999993</v>
      </c>
      <c r="B471" s="9">
        <v>0.82</v>
      </c>
      <c r="C471" s="9">
        <v>0.02</v>
      </c>
      <c r="D471" s="9">
        <v>1.2</v>
      </c>
      <c r="E471" s="9">
        <v>7.0000000000000007E-2</v>
      </c>
      <c r="F471" s="9">
        <v>36</v>
      </c>
      <c r="G471" s="9">
        <v>48</v>
      </c>
      <c r="H471" s="9">
        <v>0.99519999999999997</v>
      </c>
      <c r="I471" s="9">
        <v>3.2</v>
      </c>
      <c r="J471" s="9">
        <v>0.57999999999999996</v>
      </c>
      <c r="K471" s="9">
        <v>9.8000000000000007</v>
      </c>
      <c r="L471" s="9">
        <v>5</v>
      </c>
    </row>
    <row r="472" spans="1:12" x14ac:dyDescent="0.3">
      <c r="A472" s="9">
        <v>13</v>
      </c>
      <c r="B472" s="9">
        <v>0.32</v>
      </c>
      <c r="C472" s="9">
        <v>0.65</v>
      </c>
      <c r="D472" s="9">
        <v>2.6</v>
      </c>
      <c r="E472" s="9">
        <v>9.2999999999999999E-2</v>
      </c>
      <c r="F472" s="9">
        <v>15</v>
      </c>
      <c r="G472" s="9">
        <v>47</v>
      </c>
      <c r="H472" s="9">
        <v>0.99960000000000004</v>
      </c>
      <c r="I472" s="9">
        <v>3.05</v>
      </c>
      <c r="J472" s="9">
        <v>0.61</v>
      </c>
      <c r="K472" s="9">
        <v>10.6</v>
      </c>
      <c r="L472" s="9">
        <v>5</v>
      </c>
    </row>
    <row r="473" spans="1:12" x14ac:dyDescent="0.3">
      <c r="A473" s="9">
        <v>9.6</v>
      </c>
      <c r="B473" s="9">
        <v>0.54</v>
      </c>
      <c r="C473" s="9">
        <v>0.42</v>
      </c>
      <c r="D473" s="9">
        <v>2.4</v>
      </c>
      <c r="E473" s="9">
        <v>8.1000000000000003E-2</v>
      </c>
      <c r="F473" s="9">
        <v>25</v>
      </c>
      <c r="G473" s="9">
        <v>52</v>
      </c>
      <c r="H473" s="9">
        <v>0.997</v>
      </c>
      <c r="I473" s="9">
        <v>3.2</v>
      </c>
      <c r="J473" s="9">
        <v>0.71</v>
      </c>
      <c r="K473" s="9">
        <v>11.4</v>
      </c>
      <c r="L473" s="9">
        <v>6</v>
      </c>
    </row>
    <row r="474" spans="1:12" x14ac:dyDescent="0.3">
      <c r="A474" s="9">
        <v>12.5</v>
      </c>
      <c r="B474" s="9">
        <v>0.37</v>
      </c>
      <c r="C474" s="9">
        <v>0.55000000000000004</v>
      </c>
      <c r="D474" s="9">
        <v>2.6</v>
      </c>
      <c r="E474" s="9">
        <v>8.3000000000000004E-2</v>
      </c>
      <c r="F474" s="9">
        <v>25</v>
      </c>
      <c r="G474" s="9">
        <v>68</v>
      </c>
      <c r="H474" s="9">
        <v>0.99950000000000006</v>
      </c>
      <c r="I474" s="9">
        <v>3.15</v>
      </c>
      <c r="J474" s="9">
        <v>0.82</v>
      </c>
      <c r="K474" s="9">
        <v>10.4</v>
      </c>
      <c r="L474" s="9">
        <v>6</v>
      </c>
    </row>
    <row r="475" spans="1:12" x14ac:dyDescent="0.3">
      <c r="A475" s="9">
        <v>9.9</v>
      </c>
      <c r="B475" s="9">
        <v>0.35</v>
      </c>
      <c r="C475" s="9">
        <v>0.55000000000000004</v>
      </c>
      <c r="D475" s="9">
        <v>2.1</v>
      </c>
      <c r="E475" s="9">
        <v>6.2E-2</v>
      </c>
      <c r="F475" s="9">
        <v>5</v>
      </c>
      <c r="G475" s="9">
        <v>14</v>
      </c>
      <c r="H475" s="9">
        <v>0.99709999999999999</v>
      </c>
      <c r="I475" s="9">
        <v>3.26</v>
      </c>
      <c r="J475" s="9">
        <v>0.79</v>
      </c>
      <c r="K475" s="9">
        <v>10.6</v>
      </c>
      <c r="L475" s="9">
        <v>5</v>
      </c>
    </row>
    <row r="476" spans="1:12" x14ac:dyDescent="0.3">
      <c r="A476" s="9">
        <v>10.5</v>
      </c>
      <c r="B476" s="9">
        <v>0.28000000000000003</v>
      </c>
      <c r="C476" s="9">
        <v>0.51</v>
      </c>
      <c r="D476" s="9">
        <v>1.7</v>
      </c>
      <c r="E476" s="9">
        <v>0.08</v>
      </c>
      <c r="F476" s="9">
        <v>10</v>
      </c>
      <c r="G476" s="9">
        <v>24</v>
      </c>
      <c r="H476" s="9">
        <v>0.99819999999999998</v>
      </c>
      <c r="I476" s="9">
        <v>3.2</v>
      </c>
      <c r="J476" s="9">
        <v>0.89</v>
      </c>
      <c r="K476" s="9">
        <v>9.4</v>
      </c>
      <c r="L476" s="9">
        <v>6</v>
      </c>
    </row>
    <row r="477" spans="1:12" x14ac:dyDescent="0.3">
      <c r="A477" s="9">
        <v>9.6</v>
      </c>
      <c r="B477" s="9">
        <v>0.68</v>
      </c>
      <c r="C477" s="9">
        <v>0.24</v>
      </c>
      <c r="D477" s="9">
        <v>2.2000000000000002</v>
      </c>
      <c r="E477" s="9">
        <v>8.6999999999999994E-2</v>
      </c>
      <c r="F477" s="9">
        <v>5</v>
      </c>
      <c r="G477" s="9">
        <v>28</v>
      </c>
      <c r="H477" s="9">
        <v>0.99880000000000002</v>
      </c>
      <c r="I477" s="9">
        <v>3.14</v>
      </c>
      <c r="J477" s="9">
        <v>0.6</v>
      </c>
      <c r="K477" s="9">
        <v>10.199999999999999</v>
      </c>
      <c r="L477" s="9">
        <v>5</v>
      </c>
    </row>
    <row r="478" spans="1:12" x14ac:dyDescent="0.3">
      <c r="A478" s="9">
        <v>9.3000000000000007</v>
      </c>
      <c r="B478" s="9">
        <v>0.27</v>
      </c>
      <c r="C478" s="9">
        <v>0.41</v>
      </c>
      <c r="D478" s="9">
        <v>2</v>
      </c>
      <c r="E478" s="9">
        <v>9.0999999999999998E-2</v>
      </c>
      <c r="F478" s="9">
        <v>6</v>
      </c>
      <c r="G478" s="9">
        <v>16</v>
      </c>
      <c r="H478" s="9">
        <v>0.998</v>
      </c>
      <c r="I478" s="9">
        <v>3.28</v>
      </c>
      <c r="J478" s="9">
        <v>0.7</v>
      </c>
      <c r="K478" s="9">
        <v>9.6999999999999993</v>
      </c>
      <c r="L478" s="9">
        <v>5</v>
      </c>
    </row>
    <row r="479" spans="1:12" x14ac:dyDescent="0.3">
      <c r="A479" s="9">
        <v>10.4</v>
      </c>
      <c r="B479" s="9">
        <v>0.24</v>
      </c>
      <c r="C479" s="9">
        <v>0.49</v>
      </c>
      <c r="D479" s="9">
        <v>1.8</v>
      </c>
      <c r="E479" s="9">
        <v>7.4999999999999997E-2</v>
      </c>
      <c r="F479" s="9">
        <v>6</v>
      </c>
      <c r="G479" s="9">
        <v>20</v>
      </c>
      <c r="H479" s="9">
        <v>0.99770000000000003</v>
      </c>
      <c r="I479" s="9">
        <v>3.18</v>
      </c>
      <c r="J479" s="9">
        <v>1.06</v>
      </c>
      <c r="K479" s="9">
        <v>11</v>
      </c>
      <c r="L479" s="9">
        <v>6</v>
      </c>
    </row>
    <row r="480" spans="1:12" x14ac:dyDescent="0.3">
      <c r="A480" s="9">
        <v>9.6</v>
      </c>
      <c r="B480" s="9">
        <v>0.68</v>
      </c>
      <c r="C480" s="9">
        <v>0.24</v>
      </c>
      <c r="D480" s="9">
        <v>2.2000000000000002</v>
      </c>
      <c r="E480" s="9">
        <v>8.6999999999999994E-2</v>
      </c>
      <c r="F480" s="9">
        <v>5</v>
      </c>
      <c r="G480" s="9">
        <v>28</v>
      </c>
      <c r="H480" s="9">
        <v>0.99880000000000002</v>
      </c>
      <c r="I480" s="9">
        <v>3.14</v>
      </c>
      <c r="J480" s="9">
        <v>0.6</v>
      </c>
      <c r="K480" s="9">
        <v>10.199999999999999</v>
      </c>
      <c r="L480" s="9">
        <v>5</v>
      </c>
    </row>
    <row r="481" spans="1:12" x14ac:dyDescent="0.3">
      <c r="A481" s="9">
        <v>9.4</v>
      </c>
      <c r="B481" s="9">
        <v>0.68500000000000005</v>
      </c>
      <c r="C481" s="9">
        <v>0.11</v>
      </c>
      <c r="D481" s="9">
        <v>2.7</v>
      </c>
      <c r="E481" s="9">
        <v>7.6999999999999999E-2</v>
      </c>
      <c r="F481" s="9">
        <v>6</v>
      </c>
      <c r="G481" s="9">
        <v>31</v>
      </c>
      <c r="H481" s="9">
        <v>0.99839999999999995</v>
      </c>
      <c r="I481" s="9">
        <v>3.19</v>
      </c>
      <c r="J481" s="9">
        <v>0.7</v>
      </c>
      <c r="K481" s="9">
        <v>10.1</v>
      </c>
      <c r="L481" s="9">
        <v>6</v>
      </c>
    </row>
    <row r="482" spans="1:12" x14ac:dyDescent="0.3">
      <c r="A482" s="9">
        <v>10.6</v>
      </c>
      <c r="B482" s="9">
        <v>0.28000000000000003</v>
      </c>
      <c r="C482" s="9">
        <v>0.39</v>
      </c>
      <c r="D482" s="9">
        <v>15.5</v>
      </c>
      <c r="E482" s="9">
        <v>6.9000000000000006E-2</v>
      </c>
      <c r="F482" s="9">
        <v>6</v>
      </c>
      <c r="G482" s="9">
        <v>23</v>
      </c>
      <c r="H482" s="9">
        <v>1.0025999999999999</v>
      </c>
      <c r="I482" s="9">
        <v>3.12</v>
      </c>
      <c r="J482" s="9">
        <v>0.66</v>
      </c>
      <c r="K482" s="9">
        <v>9.1999999999999993</v>
      </c>
      <c r="L482" s="9">
        <v>5</v>
      </c>
    </row>
    <row r="483" spans="1:12" x14ac:dyDescent="0.3">
      <c r="A483" s="9">
        <v>9.4</v>
      </c>
      <c r="B483" s="9">
        <v>0.3</v>
      </c>
      <c r="C483" s="9">
        <v>0.56000000000000005</v>
      </c>
      <c r="D483" s="9">
        <v>2.8</v>
      </c>
      <c r="E483" s="9">
        <v>0.08</v>
      </c>
      <c r="F483" s="9">
        <v>6</v>
      </c>
      <c r="G483" s="9">
        <v>17</v>
      </c>
      <c r="H483" s="9">
        <v>0.99639999999999995</v>
      </c>
      <c r="I483" s="9">
        <v>3.15</v>
      </c>
      <c r="J483" s="9">
        <v>0.92</v>
      </c>
      <c r="K483" s="9">
        <v>11.7</v>
      </c>
      <c r="L483" s="9">
        <v>8</v>
      </c>
    </row>
    <row r="484" spans="1:12" x14ac:dyDescent="0.3">
      <c r="A484" s="9">
        <v>10.6</v>
      </c>
      <c r="B484" s="9">
        <v>0.36</v>
      </c>
      <c r="C484" s="9">
        <v>0.59</v>
      </c>
      <c r="D484" s="9">
        <v>2.2000000000000002</v>
      </c>
      <c r="E484" s="9">
        <v>0.152</v>
      </c>
      <c r="F484" s="9">
        <v>6</v>
      </c>
      <c r="G484" s="9">
        <v>18</v>
      </c>
      <c r="H484" s="9">
        <v>0.99860000000000004</v>
      </c>
      <c r="I484" s="9">
        <v>3.04</v>
      </c>
      <c r="J484" s="9">
        <v>1.05</v>
      </c>
      <c r="K484" s="9">
        <v>9.4</v>
      </c>
      <c r="L484" s="9">
        <v>5</v>
      </c>
    </row>
    <row r="485" spans="1:12" x14ac:dyDescent="0.3">
      <c r="A485" s="9">
        <v>10.6</v>
      </c>
      <c r="B485" s="9">
        <v>0.36</v>
      </c>
      <c r="C485" s="9">
        <v>0.6</v>
      </c>
      <c r="D485" s="9">
        <v>2.2000000000000002</v>
      </c>
      <c r="E485" s="9">
        <v>0.152</v>
      </c>
      <c r="F485" s="9">
        <v>7</v>
      </c>
      <c r="G485" s="9">
        <v>18</v>
      </c>
      <c r="H485" s="9">
        <v>0.99860000000000004</v>
      </c>
      <c r="I485" s="9">
        <v>3.04</v>
      </c>
      <c r="J485" s="9">
        <v>1.06</v>
      </c>
      <c r="K485" s="9">
        <v>9.4</v>
      </c>
      <c r="L485" s="9">
        <v>5</v>
      </c>
    </row>
    <row r="486" spans="1:12" x14ac:dyDescent="0.3">
      <c r="A486" s="9">
        <v>10.6</v>
      </c>
      <c r="B486" s="9">
        <v>0.44</v>
      </c>
      <c r="C486" s="9">
        <v>0.68</v>
      </c>
      <c r="D486" s="9">
        <v>4.0999999999999996</v>
      </c>
      <c r="E486" s="9">
        <v>0.114</v>
      </c>
      <c r="F486" s="9">
        <v>6</v>
      </c>
      <c r="G486" s="9">
        <v>24</v>
      </c>
      <c r="H486" s="9">
        <v>0.997</v>
      </c>
      <c r="I486" s="9">
        <v>3.06</v>
      </c>
      <c r="J486" s="9">
        <v>0.66</v>
      </c>
      <c r="K486" s="9">
        <v>13.4</v>
      </c>
      <c r="L486" s="9">
        <v>6</v>
      </c>
    </row>
    <row r="487" spans="1:12" x14ac:dyDescent="0.3">
      <c r="A487" s="9">
        <v>10.199999999999999</v>
      </c>
      <c r="B487" s="9">
        <v>0.67</v>
      </c>
      <c r="C487" s="9">
        <v>0.39</v>
      </c>
      <c r="D487" s="9">
        <v>1.9</v>
      </c>
      <c r="E487" s="9">
        <v>5.3999999999999999E-2</v>
      </c>
      <c r="F487" s="9">
        <v>6</v>
      </c>
      <c r="G487" s="9">
        <v>17</v>
      </c>
      <c r="H487" s="9">
        <v>0.99760000000000004</v>
      </c>
      <c r="I487" s="9">
        <v>3.17</v>
      </c>
      <c r="J487" s="9">
        <v>0.47</v>
      </c>
      <c r="K487" s="9">
        <v>10</v>
      </c>
      <c r="L487" s="9">
        <v>5</v>
      </c>
    </row>
    <row r="488" spans="1:12" x14ac:dyDescent="0.3">
      <c r="A488" s="9">
        <v>10.199999999999999</v>
      </c>
      <c r="B488" s="9">
        <v>0.67</v>
      </c>
      <c r="C488" s="9">
        <v>0.39</v>
      </c>
      <c r="D488" s="9">
        <v>1.9</v>
      </c>
      <c r="E488" s="9">
        <v>5.3999999999999999E-2</v>
      </c>
      <c r="F488" s="9">
        <v>6</v>
      </c>
      <c r="G488" s="9">
        <v>17</v>
      </c>
      <c r="H488" s="9">
        <v>0.99760000000000004</v>
      </c>
      <c r="I488" s="9">
        <v>3.17</v>
      </c>
      <c r="J488" s="9">
        <v>0.47</v>
      </c>
      <c r="K488" s="9">
        <v>10</v>
      </c>
      <c r="L488" s="9">
        <v>5</v>
      </c>
    </row>
    <row r="489" spans="1:12" x14ac:dyDescent="0.3">
      <c r="A489" s="9">
        <v>10.199999999999999</v>
      </c>
      <c r="B489" s="9">
        <v>0.64500000000000002</v>
      </c>
      <c r="C489" s="9">
        <v>0.36</v>
      </c>
      <c r="D489" s="9">
        <v>1.8</v>
      </c>
      <c r="E489" s="9">
        <v>5.2999999999999999E-2</v>
      </c>
      <c r="F489" s="9">
        <v>5</v>
      </c>
      <c r="G489" s="9">
        <v>14</v>
      </c>
      <c r="H489" s="9">
        <v>0.99819999999999998</v>
      </c>
      <c r="I489" s="9">
        <v>3.17</v>
      </c>
      <c r="J489" s="9">
        <v>0.42</v>
      </c>
      <c r="K489" s="9">
        <v>10</v>
      </c>
      <c r="L489" s="9">
        <v>6</v>
      </c>
    </row>
    <row r="490" spans="1:12" x14ac:dyDescent="0.3">
      <c r="A490" s="9">
        <v>11.6</v>
      </c>
      <c r="B490" s="9">
        <v>0.32</v>
      </c>
      <c r="C490" s="9">
        <v>0.55000000000000004</v>
      </c>
      <c r="D490" s="9">
        <v>2.8</v>
      </c>
      <c r="E490" s="9">
        <v>8.1000000000000003E-2</v>
      </c>
      <c r="F490" s="9">
        <v>35</v>
      </c>
      <c r="G490" s="9">
        <v>67</v>
      </c>
      <c r="H490" s="9">
        <v>1.0002</v>
      </c>
      <c r="I490" s="9">
        <v>3.32</v>
      </c>
      <c r="J490" s="9">
        <v>0.92</v>
      </c>
      <c r="K490" s="9">
        <v>10.8</v>
      </c>
      <c r="L490" s="9">
        <v>7</v>
      </c>
    </row>
    <row r="491" spans="1:12" x14ac:dyDescent="0.3">
      <c r="A491" s="9">
        <v>9.3000000000000007</v>
      </c>
      <c r="B491" s="9">
        <v>0.39</v>
      </c>
      <c r="C491" s="9">
        <v>0.4</v>
      </c>
      <c r="D491" s="9">
        <v>2.6</v>
      </c>
      <c r="E491" s="9">
        <v>7.2999999999999995E-2</v>
      </c>
      <c r="F491" s="9">
        <v>10</v>
      </c>
      <c r="G491" s="9">
        <v>26</v>
      </c>
      <c r="H491" s="9">
        <v>0.99839999999999995</v>
      </c>
      <c r="I491" s="9">
        <v>3.34</v>
      </c>
      <c r="J491" s="9">
        <v>0.75</v>
      </c>
      <c r="K491" s="9">
        <v>10.199999999999999</v>
      </c>
      <c r="L491" s="9">
        <v>6</v>
      </c>
    </row>
    <row r="492" spans="1:12" x14ac:dyDescent="0.3">
      <c r="A492" s="9">
        <v>9.3000000000000007</v>
      </c>
      <c r="B492" s="9">
        <v>0.77500000000000002</v>
      </c>
      <c r="C492" s="9">
        <v>0.27</v>
      </c>
      <c r="D492" s="9">
        <v>2.8</v>
      </c>
      <c r="E492" s="9">
        <v>7.8E-2</v>
      </c>
      <c r="F492" s="9">
        <v>24</v>
      </c>
      <c r="G492" s="9">
        <v>56</v>
      </c>
      <c r="H492" s="9">
        <v>0.99839999999999995</v>
      </c>
      <c r="I492" s="9">
        <v>3.31</v>
      </c>
      <c r="J492" s="9">
        <v>0.67</v>
      </c>
      <c r="K492" s="9">
        <v>10.6</v>
      </c>
      <c r="L492" s="9">
        <v>6</v>
      </c>
    </row>
    <row r="493" spans="1:12" x14ac:dyDescent="0.3">
      <c r="A493" s="9">
        <v>9.1999999999999993</v>
      </c>
      <c r="B493" s="9">
        <v>0.41</v>
      </c>
      <c r="C493" s="9">
        <v>0.5</v>
      </c>
      <c r="D493" s="9">
        <v>2.5</v>
      </c>
      <c r="E493" s="9">
        <v>5.5E-2</v>
      </c>
      <c r="F493" s="9">
        <v>12</v>
      </c>
      <c r="G493" s="9">
        <v>25</v>
      </c>
      <c r="H493" s="9">
        <v>0.99519999999999997</v>
      </c>
      <c r="I493" s="9">
        <v>3.34</v>
      </c>
      <c r="J493" s="9">
        <v>0.79</v>
      </c>
      <c r="K493" s="9">
        <v>13.3</v>
      </c>
      <c r="L493" s="9">
        <v>7</v>
      </c>
    </row>
    <row r="494" spans="1:12" x14ac:dyDescent="0.3">
      <c r="A494" s="9">
        <v>8.9</v>
      </c>
      <c r="B494" s="9">
        <v>0.4</v>
      </c>
      <c r="C494" s="9">
        <v>0.51</v>
      </c>
      <c r="D494" s="9">
        <v>2.6</v>
      </c>
      <c r="E494" s="9">
        <v>5.1999999999999998E-2</v>
      </c>
      <c r="F494" s="9">
        <v>13</v>
      </c>
      <c r="G494" s="9">
        <v>27</v>
      </c>
      <c r="H494" s="9">
        <v>0.995</v>
      </c>
      <c r="I494" s="9">
        <v>3.32</v>
      </c>
      <c r="J494" s="9">
        <v>0.9</v>
      </c>
      <c r="K494" s="9">
        <v>13.4</v>
      </c>
      <c r="L494" s="9">
        <v>7</v>
      </c>
    </row>
    <row r="495" spans="1:12" x14ac:dyDescent="0.3">
      <c r="A495" s="9">
        <v>8.6999999999999993</v>
      </c>
      <c r="B495" s="9">
        <v>0.69</v>
      </c>
      <c r="C495" s="9">
        <v>0.31</v>
      </c>
      <c r="D495" s="9">
        <v>3</v>
      </c>
      <c r="E495" s="9">
        <v>8.5999999999999993E-2</v>
      </c>
      <c r="F495" s="9">
        <v>23</v>
      </c>
      <c r="G495" s="9">
        <v>81</v>
      </c>
      <c r="H495" s="9">
        <v>1.0002</v>
      </c>
      <c r="I495" s="9">
        <v>3.48</v>
      </c>
      <c r="J495" s="9">
        <v>0.74</v>
      </c>
      <c r="K495" s="9">
        <v>11.6</v>
      </c>
      <c r="L495" s="9">
        <v>6</v>
      </c>
    </row>
    <row r="496" spans="1:12" x14ac:dyDescent="0.3">
      <c r="A496" s="9">
        <v>6.5</v>
      </c>
      <c r="B496" s="9">
        <v>0.39</v>
      </c>
      <c r="C496" s="9">
        <v>0.23</v>
      </c>
      <c r="D496" s="9">
        <v>8.3000000000000007</v>
      </c>
      <c r="E496" s="9">
        <v>5.0999999999999997E-2</v>
      </c>
      <c r="F496" s="9">
        <v>28</v>
      </c>
      <c r="G496" s="9">
        <v>91</v>
      </c>
      <c r="H496" s="9">
        <v>0.99519999999999997</v>
      </c>
      <c r="I496" s="9">
        <v>3.44</v>
      </c>
      <c r="J496" s="9">
        <v>0.55000000000000004</v>
      </c>
      <c r="K496" s="9">
        <v>12.1</v>
      </c>
      <c r="L496" s="9">
        <v>6</v>
      </c>
    </row>
    <row r="497" spans="1:12" x14ac:dyDescent="0.3">
      <c r="A497" s="9">
        <v>10.7</v>
      </c>
      <c r="B497" s="9">
        <v>0.35</v>
      </c>
      <c r="C497" s="9">
        <v>0.53</v>
      </c>
      <c r="D497" s="9">
        <v>2.6</v>
      </c>
      <c r="E497" s="9">
        <v>7.0000000000000007E-2</v>
      </c>
      <c r="F497" s="9">
        <v>5</v>
      </c>
      <c r="G497" s="9">
        <v>16</v>
      </c>
      <c r="H497" s="9">
        <v>0.99719999999999998</v>
      </c>
      <c r="I497" s="9">
        <v>3.15</v>
      </c>
      <c r="J497" s="9">
        <v>0.65</v>
      </c>
      <c r="K497" s="9">
        <v>11</v>
      </c>
      <c r="L497" s="9">
        <v>8</v>
      </c>
    </row>
    <row r="498" spans="1:12" x14ac:dyDescent="0.3">
      <c r="A498" s="9">
        <v>7.8</v>
      </c>
      <c r="B498" s="9">
        <v>0.52</v>
      </c>
      <c r="C498" s="9">
        <v>0.25</v>
      </c>
      <c r="D498" s="9">
        <v>1.9</v>
      </c>
      <c r="E498" s="9">
        <v>8.1000000000000003E-2</v>
      </c>
      <c r="F498" s="9">
        <v>14</v>
      </c>
      <c r="G498" s="9">
        <v>38</v>
      </c>
      <c r="H498" s="9">
        <v>0.99839999999999995</v>
      </c>
      <c r="I498" s="9">
        <v>3.43</v>
      </c>
      <c r="J498" s="9">
        <v>0.65</v>
      </c>
      <c r="K498" s="9">
        <v>9</v>
      </c>
      <c r="L498" s="9">
        <v>6</v>
      </c>
    </row>
    <row r="499" spans="1:12" x14ac:dyDescent="0.3">
      <c r="A499" s="9">
        <v>7.2</v>
      </c>
      <c r="B499" s="9">
        <v>0.34</v>
      </c>
      <c r="C499" s="9">
        <v>0.32</v>
      </c>
      <c r="D499" s="9">
        <v>2.5</v>
      </c>
      <c r="E499" s="9">
        <v>0.09</v>
      </c>
      <c r="F499" s="9">
        <v>43</v>
      </c>
      <c r="G499" s="9">
        <v>113</v>
      </c>
      <c r="H499" s="9">
        <v>0.99660000000000004</v>
      </c>
      <c r="I499" s="9">
        <v>3.32</v>
      </c>
      <c r="J499" s="9">
        <v>0.79</v>
      </c>
      <c r="K499" s="9">
        <v>11.1</v>
      </c>
      <c r="L499" s="9">
        <v>5</v>
      </c>
    </row>
    <row r="500" spans="1:12" x14ac:dyDescent="0.3">
      <c r="A500" s="9">
        <v>10.7</v>
      </c>
      <c r="B500" s="9">
        <v>0.35</v>
      </c>
      <c r="C500" s="9">
        <v>0.53</v>
      </c>
      <c r="D500" s="9">
        <v>2.6</v>
      </c>
      <c r="E500" s="9">
        <v>7.0000000000000007E-2</v>
      </c>
      <c r="F500" s="9">
        <v>5</v>
      </c>
      <c r="G500" s="9">
        <v>16</v>
      </c>
      <c r="H500" s="9">
        <v>0.99719999999999998</v>
      </c>
      <c r="I500" s="9">
        <v>3.15</v>
      </c>
      <c r="J500" s="9">
        <v>0.65</v>
      </c>
      <c r="K500" s="9">
        <v>11</v>
      </c>
      <c r="L500" s="9">
        <v>8</v>
      </c>
    </row>
    <row r="501" spans="1:12" x14ac:dyDescent="0.3">
      <c r="A501" s="9">
        <v>8.6999999999999993</v>
      </c>
      <c r="B501" s="9">
        <v>0.69</v>
      </c>
      <c r="C501" s="9">
        <v>0.31</v>
      </c>
      <c r="D501" s="9">
        <v>3</v>
      </c>
      <c r="E501" s="9">
        <v>8.5999999999999993E-2</v>
      </c>
      <c r="F501" s="9">
        <v>23</v>
      </c>
      <c r="G501" s="9">
        <v>81</v>
      </c>
      <c r="H501" s="9">
        <v>1.0002</v>
      </c>
      <c r="I501" s="9">
        <v>3.48</v>
      </c>
      <c r="J501" s="9">
        <v>0.74</v>
      </c>
      <c r="K501" s="9">
        <v>11.6</v>
      </c>
      <c r="L501" s="9">
        <v>6</v>
      </c>
    </row>
    <row r="502" spans="1:12" x14ac:dyDescent="0.3">
      <c r="A502" s="9">
        <v>7.8</v>
      </c>
      <c r="B502" s="9">
        <v>0.52</v>
      </c>
      <c r="C502" s="9">
        <v>0.25</v>
      </c>
      <c r="D502" s="9">
        <v>1.9</v>
      </c>
      <c r="E502" s="9">
        <v>8.1000000000000003E-2</v>
      </c>
      <c r="F502" s="9">
        <v>14</v>
      </c>
      <c r="G502" s="9">
        <v>38</v>
      </c>
      <c r="H502" s="9">
        <v>0.99839999999999995</v>
      </c>
      <c r="I502" s="9">
        <v>3.43</v>
      </c>
      <c r="J502" s="9">
        <v>0.65</v>
      </c>
      <c r="K502" s="9">
        <v>9</v>
      </c>
      <c r="L502" s="9">
        <v>6</v>
      </c>
    </row>
    <row r="503" spans="1:12" x14ac:dyDescent="0.3">
      <c r="A503" s="9">
        <v>10.4</v>
      </c>
      <c r="B503" s="9">
        <v>0.44</v>
      </c>
      <c r="C503" s="9">
        <v>0.73</v>
      </c>
      <c r="D503" s="9">
        <v>6.55</v>
      </c>
      <c r="E503" s="9">
        <v>7.3999999999999996E-2</v>
      </c>
      <c r="F503" s="9">
        <v>38</v>
      </c>
      <c r="G503" s="9">
        <v>76</v>
      </c>
      <c r="H503" s="9">
        <v>0.999</v>
      </c>
      <c r="I503" s="9">
        <v>3.17</v>
      </c>
      <c r="J503" s="9">
        <v>0.85</v>
      </c>
      <c r="K503" s="9">
        <v>12</v>
      </c>
      <c r="L503" s="9">
        <v>7</v>
      </c>
    </row>
    <row r="504" spans="1:12" x14ac:dyDescent="0.3">
      <c r="A504" s="9">
        <v>10.4</v>
      </c>
      <c r="B504" s="9">
        <v>0.44</v>
      </c>
      <c r="C504" s="9">
        <v>0.73</v>
      </c>
      <c r="D504" s="9">
        <v>6.55</v>
      </c>
      <c r="E504" s="9">
        <v>7.3999999999999996E-2</v>
      </c>
      <c r="F504" s="9">
        <v>38</v>
      </c>
      <c r="G504" s="9">
        <v>76</v>
      </c>
      <c r="H504" s="9">
        <v>0.999</v>
      </c>
      <c r="I504" s="9">
        <v>3.17</v>
      </c>
      <c r="J504" s="9">
        <v>0.85</v>
      </c>
      <c r="K504" s="9">
        <v>12</v>
      </c>
      <c r="L504" s="9">
        <v>7</v>
      </c>
    </row>
    <row r="505" spans="1:12" x14ac:dyDescent="0.3">
      <c r="A505" s="9">
        <v>10.5</v>
      </c>
      <c r="B505" s="9">
        <v>0.26</v>
      </c>
      <c r="C505" s="9">
        <v>0.47</v>
      </c>
      <c r="D505" s="9">
        <v>1.9</v>
      </c>
      <c r="E505" s="9">
        <v>7.8E-2</v>
      </c>
      <c r="F505" s="9">
        <v>6</v>
      </c>
      <c r="G505" s="9">
        <v>24</v>
      </c>
      <c r="H505" s="9">
        <v>0.99760000000000004</v>
      </c>
      <c r="I505" s="9">
        <v>3.18</v>
      </c>
      <c r="J505" s="9">
        <v>1.04</v>
      </c>
      <c r="K505" s="9">
        <v>10.9</v>
      </c>
      <c r="L505" s="9">
        <v>7</v>
      </c>
    </row>
    <row r="506" spans="1:12" x14ac:dyDescent="0.3">
      <c r="A506" s="9">
        <v>10.5</v>
      </c>
      <c r="B506" s="9">
        <v>0.24</v>
      </c>
      <c r="C506" s="9">
        <v>0.42</v>
      </c>
      <c r="D506" s="9">
        <v>1.8</v>
      </c>
      <c r="E506" s="9">
        <v>7.6999999999999999E-2</v>
      </c>
      <c r="F506" s="9">
        <v>6</v>
      </c>
      <c r="G506" s="9">
        <v>22</v>
      </c>
      <c r="H506" s="9">
        <v>0.99760000000000004</v>
      </c>
      <c r="I506" s="9">
        <v>3.21</v>
      </c>
      <c r="J506" s="9">
        <v>1.05</v>
      </c>
      <c r="K506" s="9">
        <v>10.8</v>
      </c>
      <c r="L506" s="9">
        <v>7</v>
      </c>
    </row>
    <row r="507" spans="1:12" x14ac:dyDescent="0.3">
      <c r="A507" s="9">
        <v>10.199999999999999</v>
      </c>
      <c r="B507" s="9">
        <v>0.49</v>
      </c>
      <c r="C507" s="9">
        <v>0.63</v>
      </c>
      <c r="D507" s="9">
        <v>2.9</v>
      </c>
      <c r="E507" s="9">
        <v>7.1999999999999995E-2</v>
      </c>
      <c r="F507" s="9">
        <v>10</v>
      </c>
      <c r="G507" s="9">
        <v>26</v>
      </c>
      <c r="H507" s="9">
        <v>0.99680000000000002</v>
      </c>
      <c r="I507" s="9">
        <v>3.16</v>
      </c>
      <c r="J507" s="9">
        <v>0.78</v>
      </c>
      <c r="K507" s="9">
        <v>12.5</v>
      </c>
      <c r="L507" s="9">
        <v>7</v>
      </c>
    </row>
    <row r="508" spans="1:12" x14ac:dyDescent="0.3">
      <c r="A508" s="9">
        <v>10.4</v>
      </c>
      <c r="B508" s="9">
        <v>0.24</v>
      </c>
      <c r="C508" s="9">
        <v>0.46</v>
      </c>
      <c r="D508" s="9">
        <v>1.8</v>
      </c>
      <c r="E508" s="9">
        <v>7.4999999999999997E-2</v>
      </c>
      <c r="F508" s="9">
        <v>6</v>
      </c>
      <c r="G508" s="9">
        <v>21</v>
      </c>
      <c r="H508" s="9">
        <v>0.99760000000000004</v>
      </c>
      <c r="I508" s="9">
        <v>3.25</v>
      </c>
      <c r="J508" s="9">
        <v>1.02</v>
      </c>
      <c r="K508" s="9">
        <v>10.8</v>
      </c>
      <c r="L508" s="9">
        <v>7</v>
      </c>
    </row>
    <row r="509" spans="1:12" x14ac:dyDescent="0.3">
      <c r="A509" s="9">
        <v>11.2</v>
      </c>
      <c r="B509" s="9">
        <v>0.67</v>
      </c>
      <c r="C509" s="9">
        <v>0.55000000000000004</v>
      </c>
      <c r="D509" s="9">
        <v>2.2999999999999998</v>
      </c>
      <c r="E509" s="9">
        <v>8.4000000000000005E-2</v>
      </c>
      <c r="F509" s="9">
        <v>6</v>
      </c>
      <c r="G509" s="9">
        <v>13</v>
      </c>
      <c r="H509" s="9">
        <v>1</v>
      </c>
      <c r="I509" s="9">
        <v>3.17</v>
      </c>
      <c r="J509" s="9">
        <v>0.71</v>
      </c>
      <c r="K509" s="9">
        <v>9.5</v>
      </c>
      <c r="L509" s="9">
        <v>6</v>
      </c>
    </row>
    <row r="510" spans="1:12" x14ac:dyDescent="0.3">
      <c r="A510" s="9">
        <v>10</v>
      </c>
      <c r="B510" s="9">
        <v>0.59</v>
      </c>
      <c r="C510" s="9">
        <v>0.31</v>
      </c>
      <c r="D510" s="9">
        <v>2.2000000000000002</v>
      </c>
      <c r="E510" s="9">
        <v>0.09</v>
      </c>
      <c r="F510" s="9">
        <v>26</v>
      </c>
      <c r="G510" s="9">
        <v>62</v>
      </c>
      <c r="H510" s="9">
        <v>0.99939999999999996</v>
      </c>
      <c r="I510" s="9">
        <v>3.18</v>
      </c>
      <c r="J510" s="9">
        <v>0.63</v>
      </c>
      <c r="K510" s="9">
        <v>10.199999999999999</v>
      </c>
      <c r="L510" s="9">
        <v>6</v>
      </c>
    </row>
    <row r="511" spans="1:12" x14ac:dyDescent="0.3">
      <c r="A511" s="9">
        <v>13.3</v>
      </c>
      <c r="B511" s="9">
        <v>0.28999999999999998</v>
      </c>
      <c r="C511" s="9">
        <v>0.75</v>
      </c>
      <c r="D511" s="9">
        <v>2.8</v>
      </c>
      <c r="E511" s="9">
        <v>8.4000000000000005E-2</v>
      </c>
      <c r="F511" s="9">
        <v>23</v>
      </c>
      <c r="G511" s="9">
        <v>43</v>
      </c>
      <c r="H511" s="9">
        <v>0.99860000000000004</v>
      </c>
      <c r="I511" s="9">
        <v>3.04</v>
      </c>
      <c r="J511" s="9">
        <v>0.68</v>
      </c>
      <c r="K511" s="9">
        <v>11.4</v>
      </c>
      <c r="L511" s="9">
        <v>7</v>
      </c>
    </row>
    <row r="512" spans="1:12" x14ac:dyDescent="0.3">
      <c r="A512" s="9">
        <v>12.4</v>
      </c>
      <c r="B512" s="9">
        <v>0.42</v>
      </c>
      <c r="C512" s="9">
        <v>0.49</v>
      </c>
      <c r="D512" s="9">
        <v>4.5999999999999996</v>
      </c>
      <c r="E512" s="9">
        <v>7.2999999999999995E-2</v>
      </c>
      <c r="F512" s="9">
        <v>19</v>
      </c>
      <c r="G512" s="9">
        <v>43</v>
      </c>
      <c r="H512" s="9">
        <v>0.99780000000000002</v>
      </c>
      <c r="I512" s="9">
        <v>3.02</v>
      </c>
      <c r="J512" s="9">
        <v>0.61</v>
      </c>
      <c r="K512" s="9">
        <v>9.5</v>
      </c>
      <c r="L512" s="9">
        <v>5</v>
      </c>
    </row>
    <row r="513" spans="1:12" x14ac:dyDescent="0.3">
      <c r="A513" s="9">
        <v>10</v>
      </c>
      <c r="B513" s="9">
        <v>0.59</v>
      </c>
      <c r="C513" s="9">
        <v>0.31</v>
      </c>
      <c r="D513" s="9">
        <v>2.2000000000000002</v>
      </c>
      <c r="E513" s="9">
        <v>0.09</v>
      </c>
      <c r="F513" s="9">
        <v>26</v>
      </c>
      <c r="G513" s="9">
        <v>62</v>
      </c>
      <c r="H513" s="9">
        <v>0.99939999999999996</v>
      </c>
      <c r="I513" s="9">
        <v>3.18</v>
      </c>
      <c r="J513" s="9">
        <v>0.63</v>
      </c>
      <c r="K513" s="9">
        <v>10.199999999999999</v>
      </c>
      <c r="L513" s="9">
        <v>6</v>
      </c>
    </row>
    <row r="514" spans="1:12" x14ac:dyDescent="0.3">
      <c r="A514" s="9">
        <v>10.7</v>
      </c>
      <c r="B514" s="9">
        <v>0.4</v>
      </c>
      <c r="C514" s="9">
        <v>0.48</v>
      </c>
      <c r="D514" s="9">
        <v>2.1</v>
      </c>
      <c r="E514" s="9">
        <v>0.125</v>
      </c>
      <c r="F514" s="9">
        <v>15</v>
      </c>
      <c r="G514" s="9">
        <v>49</v>
      </c>
      <c r="H514" s="9">
        <v>0.998</v>
      </c>
      <c r="I514" s="9">
        <v>3.03</v>
      </c>
      <c r="J514" s="9">
        <v>0.81</v>
      </c>
      <c r="K514" s="9">
        <v>9.6999999999999993</v>
      </c>
      <c r="L514" s="9">
        <v>6</v>
      </c>
    </row>
    <row r="515" spans="1:12" x14ac:dyDescent="0.3">
      <c r="A515" s="9">
        <v>10.5</v>
      </c>
      <c r="B515" s="9">
        <v>0.51</v>
      </c>
      <c r="C515" s="9">
        <v>0.64</v>
      </c>
      <c r="D515" s="9">
        <v>2.4</v>
      </c>
      <c r="E515" s="9">
        <v>0.107</v>
      </c>
      <c r="F515" s="9">
        <v>6</v>
      </c>
      <c r="G515" s="9">
        <v>15</v>
      </c>
      <c r="H515" s="9">
        <v>0.99729999999999996</v>
      </c>
      <c r="I515" s="9">
        <v>3.09</v>
      </c>
      <c r="J515" s="9">
        <v>0.66</v>
      </c>
      <c r="K515" s="9">
        <v>11.8</v>
      </c>
      <c r="L515" s="9">
        <v>7</v>
      </c>
    </row>
    <row r="516" spans="1:12" x14ac:dyDescent="0.3">
      <c r="A516" s="9">
        <v>10.5</v>
      </c>
      <c r="B516" s="9">
        <v>0.51</v>
      </c>
      <c r="C516" s="9">
        <v>0.64</v>
      </c>
      <c r="D516" s="9">
        <v>2.4</v>
      </c>
      <c r="E516" s="9">
        <v>0.107</v>
      </c>
      <c r="F516" s="9">
        <v>6</v>
      </c>
      <c r="G516" s="9">
        <v>15</v>
      </c>
      <c r="H516" s="9">
        <v>0.99729999999999996</v>
      </c>
      <c r="I516" s="9">
        <v>3.09</v>
      </c>
      <c r="J516" s="9">
        <v>0.66</v>
      </c>
      <c r="K516" s="9">
        <v>11.8</v>
      </c>
      <c r="L516" s="9">
        <v>7</v>
      </c>
    </row>
    <row r="517" spans="1:12" x14ac:dyDescent="0.3">
      <c r="A517" s="9">
        <v>8.5</v>
      </c>
      <c r="B517" s="9">
        <v>0.65500000000000003</v>
      </c>
      <c r="C517" s="9">
        <v>0.49</v>
      </c>
      <c r="D517" s="9">
        <v>6.1</v>
      </c>
      <c r="E517" s="9">
        <v>0.122</v>
      </c>
      <c r="F517" s="9">
        <v>34</v>
      </c>
      <c r="G517" s="9">
        <v>151</v>
      </c>
      <c r="H517" s="9">
        <v>1.0009999999999999</v>
      </c>
      <c r="I517" s="9">
        <v>3.31</v>
      </c>
      <c r="J517" s="9">
        <v>1.1399999999999999</v>
      </c>
      <c r="K517" s="9">
        <v>9.3000000000000007</v>
      </c>
      <c r="L517" s="9">
        <v>5</v>
      </c>
    </row>
    <row r="518" spans="1:12" x14ac:dyDescent="0.3">
      <c r="A518" s="9">
        <v>12.5</v>
      </c>
      <c r="B518" s="9">
        <v>0.6</v>
      </c>
      <c r="C518" s="9">
        <v>0.49</v>
      </c>
      <c r="D518" s="9">
        <v>4.3</v>
      </c>
      <c r="E518" s="9">
        <v>0.1</v>
      </c>
      <c r="F518" s="9">
        <v>5</v>
      </c>
      <c r="G518" s="9">
        <v>14</v>
      </c>
      <c r="H518" s="9">
        <v>1.0009999999999999</v>
      </c>
      <c r="I518" s="9">
        <v>3.25</v>
      </c>
      <c r="J518" s="9">
        <v>0.74</v>
      </c>
      <c r="K518" s="9">
        <v>11.9</v>
      </c>
      <c r="L518" s="9">
        <v>6</v>
      </c>
    </row>
    <row r="519" spans="1:12" x14ac:dyDescent="0.3">
      <c r="A519" s="9">
        <v>10.4</v>
      </c>
      <c r="B519" s="9">
        <v>0.61</v>
      </c>
      <c r="C519" s="9">
        <v>0.49</v>
      </c>
      <c r="D519" s="9">
        <v>2.1</v>
      </c>
      <c r="E519" s="9">
        <v>0.2</v>
      </c>
      <c r="F519" s="9">
        <v>5</v>
      </c>
      <c r="G519" s="9">
        <v>16</v>
      </c>
      <c r="H519" s="9">
        <v>0.99939999999999996</v>
      </c>
      <c r="I519" s="9">
        <v>3.16</v>
      </c>
      <c r="J519" s="9">
        <v>0.63</v>
      </c>
      <c r="K519" s="9">
        <v>8.4</v>
      </c>
      <c r="L519" s="9">
        <v>3</v>
      </c>
    </row>
    <row r="520" spans="1:12" x14ac:dyDescent="0.3">
      <c r="A520" s="9">
        <v>10.9</v>
      </c>
      <c r="B520" s="9">
        <v>0.21</v>
      </c>
      <c r="C520" s="9">
        <v>0.49</v>
      </c>
      <c r="D520" s="9">
        <v>2.8</v>
      </c>
      <c r="E520" s="9">
        <v>8.7999999999999995E-2</v>
      </c>
      <c r="F520" s="9">
        <v>11</v>
      </c>
      <c r="G520" s="9">
        <v>32</v>
      </c>
      <c r="H520" s="9">
        <v>0.99719999999999998</v>
      </c>
      <c r="I520" s="9">
        <v>3.22</v>
      </c>
      <c r="J520" s="9">
        <v>0.68</v>
      </c>
      <c r="K520" s="9">
        <v>11.7</v>
      </c>
      <c r="L520" s="9">
        <v>6</v>
      </c>
    </row>
    <row r="521" spans="1:12" x14ac:dyDescent="0.3">
      <c r="A521" s="9">
        <v>7.3</v>
      </c>
      <c r="B521" s="9">
        <v>0.36499999999999999</v>
      </c>
      <c r="C521" s="9">
        <v>0.49</v>
      </c>
      <c r="D521" s="9">
        <v>2.5</v>
      </c>
      <c r="E521" s="9">
        <v>8.7999999999999995E-2</v>
      </c>
      <c r="F521" s="9">
        <v>39</v>
      </c>
      <c r="G521" s="9">
        <v>106</v>
      </c>
      <c r="H521" s="9">
        <v>0.99660000000000004</v>
      </c>
      <c r="I521" s="9">
        <v>3.36</v>
      </c>
      <c r="J521" s="9">
        <v>0.78</v>
      </c>
      <c r="K521" s="9">
        <v>11</v>
      </c>
      <c r="L521" s="9">
        <v>5</v>
      </c>
    </row>
    <row r="522" spans="1:12" x14ac:dyDescent="0.3">
      <c r="A522" s="9">
        <v>9.8000000000000007</v>
      </c>
      <c r="B522" s="9">
        <v>0.25</v>
      </c>
      <c r="C522" s="9">
        <v>0.49</v>
      </c>
      <c r="D522" s="9">
        <v>2.7</v>
      </c>
      <c r="E522" s="9">
        <v>8.7999999999999995E-2</v>
      </c>
      <c r="F522" s="9">
        <v>15</v>
      </c>
      <c r="G522" s="9">
        <v>33</v>
      </c>
      <c r="H522" s="9">
        <v>0.99819999999999998</v>
      </c>
      <c r="I522" s="9">
        <v>3.42</v>
      </c>
      <c r="J522" s="9">
        <v>0.9</v>
      </c>
      <c r="K522" s="9">
        <v>10</v>
      </c>
      <c r="L522" s="9">
        <v>6</v>
      </c>
    </row>
    <row r="523" spans="1:12" x14ac:dyDescent="0.3">
      <c r="A523" s="9">
        <v>7.6</v>
      </c>
      <c r="B523" s="9">
        <v>0.41</v>
      </c>
      <c r="C523" s="9">
        <v>0.49</v>
      </c>
      <c r="D523" s="9">
        <v>2</v>
      </c>
      <c r="E523" s="9">
        <v>8.7999999999999995E-2</v>
      </c>
      <c r="F523" s="9">
        <v>16</v>
      </c>
      <c r="G523" s="9">
        <v>43</v>
      </c>
      <c r="H523" s="9">
        <v>0.998</v>
      </c>
      <c r="I523" s="9">
        <v>3.48</v>
      </c>
      <c r="J523" s="9">
        <v>0.64</v>
      </c>
      <c r="K523" s="9">
        <v>9.1</v>
      </c>
      <c r="L523" s="9">
        <v>5</v>
      </c>
    </row>
    <row r="524" spans="1:12" x14ac:dyDescent="0.3">
      <c r="A524" s="9">
        <v>8.1999999999999993</v>
      </c>
      <c r="B524" s="9">
        <v>0.39</v>
      </c>
      <c r="C524" s="9">
        <v>0.49</v>
      </c>
      <c r="D524" s="9">
        <v>2.2999999999999998</v>
      </c>
      <c r="E524" s="9">
        <v>9.9000000000000005E-2</v>
      </c>
      <c r="F524" s="9">
        <v>47</v>
      </c>
      <c r="G524" s="9">
        <v>133</v>
      </c>
      <c r="H524" s="9">
        <v>0.99790000000000001</v>
      </c>
      <c r="I524" s="9">
        <v>3.38</v>
      </c>
      <c r="J524" s="9">
        <v>0.99</v>
      </c>
      <c r="K524" s="9">
        <v>9.8000000000000007</v>
      </c>
      <c r="L524" s="9">
        <v>5</v>
      </c>
    </row>
    <row r="525" spans="1:12" x14ac:dyDescent="0.3">
      <c r="A525" s="9">
        <v>9.3000000000000007</v>
      </c>
      <c r="B525" s="9">
        <v>0.4</v>
      </c>
      <c r="C525" s="9">
        <v>0.49</v>
      </c>
      <c r="D525" s="9">
        <v>2.5</v>
      </c>
      <c r="E525" s="9">
        <v>8.5000000000000006E-2</v>
      </c>
      <c r="F525" s="9">
        <v>38</v>
      </c>
      <c r="G525" s="9">
        <v>142</v>
      </c>
      <c r="H525" s="9">
        <v>0.99780000000000002</v>
      </c>
      <c r="I525" s="9">
        <v>3.22</v>
      </c>
      <c r="J525" s="9">
        <v>0.55000000000000004</v>
      </c>
      <c r="K525" s="9">
        <v>9.4</v>
      </c>
      <c r="L525" s="9">
        <v>5</v>
      </c>
    </row>
    <row r="526" spans="1:12" x14ac:dyDescent="0.3">
      <c r="A526" s="9">
        <v>9.1999999999999993</v>
      </c>
      <c r="B526" s="9">
        <v>0.43</v>
      </c>
      <c r="C526" s="9">
        <v>0.49</v>
      </c>
      <c r="D526" s="9">
        <v>2.4</v>
      </c>
      <c r="E526" s="9">
        <v>8.5999999999999993E-2</v>
      </c>
      <c r="F526" s="9">
        <v>23</v>
      </c>
      <c r="G526" s="9">
        <v>116</v>
      </c>
      <c r="H526" s="9">
        <v>0.99760000000000004</v>
      </c>
      <c r="I526" s="9">
        <v>3.23</v>
      </c>
      <c r="J526" s="9">
        <v>0.64</v>
      </c>
      <c r="K526" s="9">
        <v>9.5</v>
      </c>
      <c r="L526" s="9">
        <v>5</v>
      </c>
    </row>
    <row r="527" spans="1:12" x14ac:dyDescent="0.3">
      <c r="A527" s="9">
        <v>10.4</v>
      </c>
      <c r="B527" s="9">
        <v>0.64</v>
      </c>
      <c r="C527" s="9">
        <v>0.24</v>
      </c>
      <c r="D527" s="9">
        <v>2.8</v>
      </c>
      <c r="E527" s="9">
        <v>0.105</v>
      </c>
      <c r="F527" s="9">
        <v>29</v>
      </c>
      <c r="G527" s="9">
        <v>53</v>
      </c>
      <c r="H527" s="9">
        <v>0.99980000000000002</v>
      </c>
      <c r="I527" s="9">
        <v>3.24</v>
      </c>
      <c r="J527" s="9">
        <v>0.67</v>
      </c>
      <c r="K527" s="9">
        <v>9.9</v>
      </c>
      <c r="L527" s="9">
        <v>5</v>
      </c>
    </row>
    <row r="528" spans="1:12" x14ac:dyDescent="0.3">
      <c r="A528" s="9">
        <v>7.3</v>
      </c>
      <c r="B528" s="9">
        <v>0.36499999999999999</v>
      </c>
      <c r="C528" s="9">
        <v>0.49</v>
      </c>
      <c r="D528" s="9">
        <v>2.5</v>
      </c>
      <c r="E528" s="9">
        <v>8.7999999999999995E-2</v>
      </c>
      <c r="F528" s="9">
        <v>39</v>
      </c>
      <c r="G528" s="9">
        <v>106</v>
      </c>
      <c r="H528" s="9">
        <v>0.99660000000000004</v>
      </c>
      <c r="I528" s="9">
        <v>3.36</v>
      </c>
      <c r="J528" s="9">
        <v>0.78</v>
      </c>
      <c r="K528" s="9">
        <v>11</v>
      </c>
      <c r="L528" s="9">
        <v>5</v>
      </c>
    </row>
    <row r="529" spans="1:12" x14ac:dyDescent="0.3">
      <c r="A529" s="9">
        <v>7</v>
      </c>
      <c r="B529" s="9">
        <v>0.38</v>
      </c>
      <c r="C529" s="9">
        <v>0.49</v>
      </c>
      <c r="D529" s="9">
        <v>2.5</v>
      </c>
      <c r="E529" s="9">
        <v>9.7000000000000003E-2</v>
      </c>
      <c r="F529" s="9">
        <v>33</v>
      </c>
      <c r="G529" s="9">
        <v>85</v>
      </c>
      <c r="H529" s="9">
        <v>0.99619999999999997</v>
      </c>
      <c r="I529" s="9">
        <v>3.39</v>
      </c>
      <c r="J529" s="9">
        <v>0.77</v>
      </c>
      <c r="K529" s="9">
        <v>11.4</v>
      </c>
      <c r="L529" s="9">
        <v>6</v>
      </c>
    </row>
    <row r="530" spans="1:12" x14ac:dyDescent="0.3">
      <c r="A530" s="9">
        <v>8.1999999999999993</v>
      </c>
      <c r="B530" s="9">
        <v>0.42</v>
      </c>
      <c r="C530" s="9">
        <v>0.49</v>
      </c>
      <c r="D530" s="9">
        <v>2.6</v>
      </c>
      <c r="E530" s="9">
        <v>8.4000000000000005E-2</v>
      </c>
      <c r="F530" s="9">
        <v>32</v>
      </c>
      <c r="G530" s="9">
        <v>55</v>
      </c>
      <c r="H530" s="9">
        <v>0.99880000000000002</v>
      </c>
      <c r="I530" s="9">
        <v>3.34</v>
      </c>
      <c r="J530" s="9">
        <v>0.75</v>
      </c>
      <c r="K530" s="9">
        <v>8.6999999999999993</v>
      </c>
      <c r="L530" s="9">
        <v>6</v>
      </c>
    </row>
    <row r="531" spans="1:12" x14ac:dyDescent="0.3">
      <c r="A531" s="9">
        <v>9.9</v>
      </c>
      <c r="B531" s="9">
        <v>0.63</v>
      </c>
      <c r="C531" s="9">
        <v>0.24</v>
      </c>
      <c r="D531" s="9">
        <v>2.4</v>
      </c>
      <c r="E531" s="9">
        <v>7.6999999999999999E-2</v>
      </c>
      <c r="F531" s="9">
        <v>6</v>
      </c>
      <c r="G531" s="9">
        <v>33</v>
      </c>
      <c r="H531" s="9">
        <v>0.99739999999999995</v>
      </c>
      <c r="I531" s="9">
        <v>3.09</v>
      </c>
      <c r="J531" s="9">
        <v>0.56999999999999995</v>
      </c>
      <c r="K531" s="9">
        <v>9.4</v>
      </c>
      <c r="L531" s="9">
        <v>5</v>
      </c>
    </row>
    <row r="532" spans="1:12" x14ac:dyDescent="0.3">
      <c r="A532" s="9">
        <v>9.1</v>
      </c>
      <c r="B532" s="9">
        <v>0.22</v>
      </c>
      <c r="C532" s="9">
        <v>0.24</v>
      </c>
      <c r="D532" s="9">
        <v>2.1</v>
      </c>
      <c r="E532" s="9">
        <v>7.8E-2</v>
      </c>
      <c r="F532" s="9">
        <v>1</v>
      </c>
      <c r="G532" s="9">
        <v>28</v>
      </c>
      <c r="H532" s="9">
        <v>0.999</v>
      </c>
      <c r="I532" s="9">
        <v>3.41</v>
      </c>
      <c r="J532" s="9">
        <v>0.87</v>
      </c>
      <c r="K532" s="9">
        <v>10.3</v>
      </c>
      <c r="L532" s="9">
        <v>6</v>
      </c>
    </row>
    <row r="533" spans="1:12" x14ac:dyDescent="0.3">
      <c r="A533" s="9">
        <v>11.9</v>
      </c>
      <c r="B533" s="9">
        <v>0.38</v>
      </c>
      <c r="C533" s="9">
        <v>0.49</v>
      </c>
      <c r="D533" s="9">
        <v>2.7</v>
      </c>
      <c r="E533" s="9">
        <v>9.8000000000000004E-2</v>
      </c>
      <c r="F533" s="9">
        <v>12</v>
      </c>
      <c r="G533" s="9">
        <v>42</v>
      </c>
      <c r="H533" s="9">
        <v>1.0004</v>
      </c>
      <c r="I533" s="9">
        <v>3.16</v>
      </c>
      <c r="J533" s="9">
        <v>0.61</v>
      </c>
      <c r="K533" s="9">
        <v>10.3</v>
      </c>
      <c r="L533" s="9">
        <v>5</v>
      </c>
    </row>
    <row r="534" spans="1:12" x14ac:dyDescent="0.3">
      <c r="A534" s="9">
        <v>11.9</v>
      </c>
      <c r="B534" s="9">
        <v>0.38</v>
      </c>
      <c r="C534" s="9">
        <v>0.49</v>
      </c>
      <c r="D534" s="9">
        <v>2.7</v>
      </c>
      <c r="E534" s="9">
        <v>9.8000000000000004E-2</v>
      </c>
      <c r="F534" s="9">
        <v>12</v>
      </c>
      <c r="G534" s="9">
        <v>42</v>
      </c>
      <c r="H534" s="9">
        <v>1.0004</v>
      </c>
      <c r="I534" s="9">
        <v>3.16</v>
      </c>
      <c r="J534" s="9">
        <v>0.61</v>
      </c>
      <c r="K534" s="9">
        <v>10.3</v>
      </c>
      <c r="L534" s="9">
        <v>5</v>
      </c>
    </row>
    <row r="535" spans="1:12" x14ac:dyDescent="0.3">
      <c r="A535" s="9">
        <v>10.3</v>
      </c>
      <c r="B535" s="9">
        <v>0.27</v>
      </c>
      <c r="C535" s="9">
        <v>0.24</v>
      </c>
      <c r="D535" s="9">
        <v>2.1</v>
      </c>
      <c r="E535" s="9">
        <v>7.1999999999999995E-2</v>
      </c>
      <c r="F535" s="9">
        <v>15</v>
      </c>
      <c r="G535" s="9">
        <v>33</v>
      </c>
      <c r="H535" s="9">
        <v>0.99560000000000004</v>
      </c>
      <c r="I535" s="9">
        <v>3.22</v>
      </c>
      <c r="J535" s="9">
        <v>0.66</v>
      </c>
      <c r="K535" s="9">
        <v>12.8</v>
      </c>
      <c r="L535" s="9">
        <v>6</v>
      </c>
    </row>
    <row r="536" spans="1:12" x14ac:dyDescent="0.3">
      <c r="A536" s="9">
        <v>10</v>
      </c>
      <c r="B536" s="9">
        <v>0.48</v>
      </c>
      <c r="C536" s="9">
        <v>0.24</v>
      </c>
      <c r="D536" s="9">
        <v>2.7</v>
      </c>
      <c r="E536" s="9">
        <v>0.10199999999999999</v>
      </c>
      <c r="F536" s="9">
        <v>13</v>
      </c>
      <c r="G536" s="9">
        <v>32</v>
      </c>
      <c r="H536" s="9">
        <v>1</v>
      </c>
      <c r="I536" s="9">
        <v>3.28</v>
      </c>
      <c r="J536" s="9">
        <v>0.56000000000000005</v>
      </c>
      <c r="K536" s="9">
        <v>10</v>
      </c>
      <c r="L536" s="9">
        <v>6</v>
      </c>
    </row>
    <row r="537" spans="1:12" x14ac:dyDescent="0.3">
      <c r="A537" s="9">
        <v>9.1</v>
      </c>
      <c r="B537" s="9">
        <v>0.22</v>
      </c>
      <c r="C537" s="9">
        <v>0.24</v>
      </c>
      <c r="D537" s="9">
        <v>2.1</v>
      </c>
      <c r="E537" s="9">
        <v>7.8E-2</v>
      </c>
      <c r="F537" s="9">
        <v>1</v>
      </c>
      <c r="G537" s="9">
        <v>28</v>
      </c>
      <c r="H537" s="9">
        <v>0.999</v>
      </c>
      <c r="I537" s="9">
        <v>3.41</v>
      </c>
      <c r="J537" s="9">
        <v>0.87</v>
      </c>
      <c r="K537" s="9">
        <v>10.3</v>
      </c>
      <c r="L537" s="9">
        <v>6</v>
      </c>
    </row>
    <row r="538" spans="1:12" x14ac:dyDescent="0.3">
      <c r="A538" s="9">
        <v>9.9</v>
      </c>
      <c r="B538" s="9">
        <v>0.63</v>
      </c>
      <c r="C538" s="9">
        <v>0.24</v>
      </c>
      <c r="D538" s="9">
        <v>2.4</v>
      </c>
      <c r="E538" s="9">
        <v>7.6999999999999999E-2</v>
      </c>
      <c r="F538" s="9">
        <v>6</v>
      </c>
      <c r="G538" s="9">
        <v>33</v>
      </c>
      <c r="H538" s="9">
        <v>0.99739999999999995</v>
      </c>
      <c r="I538" s="9">
        <v>3.09</v>
      </c>
      <c r="J538" s="9">
        <v>0.56999999999999995</v>
      </c>
      <c r="K538" s="9">
        <v>9.4</v>
      </c>
      <c r="L538" s="9">
        <v>5</v>
      </c>
    </row>
    <row r="539" spans="1:12" x14ac:dyDescent="0.3">
      <c r="A539" s="9">
        <v>8.1</v>
      </c>
      <c r="B539" s="9">
        <v>0.82499999999999996</v>
      </c>
      <c r="C539" s="9">
        <v>0.24</v>
      </c>
      <c r="D539" s="9">
        <v>2.1</v>
      </c>
      <c r="E539" s="9">
        <v>8.4000000000000005E-2</v>
      </c>
      <c r="F539" s="9">
        <v>5</v>
      </c>
      <c r="G539" s="9">
        <v>13</v>
      </c>
      <c r="H539" s="9">
        <v>0.99719999999999998</v>
      </c>
      <c r="I539" s="9">
        <v>3.37</v>
      </c>
      <c r="J539" s="9">
        <v>0.77</v>
      </c>
      <c r="K539" s="9">
        <v>10.7</v>
      </c>
      <c r="L539" s="9">
        <v>6</v>
      </c>
    </row>
    <row r="540" spans="1:12" x14ac:dyDescent="0.3">
      <c r="A540" s="9">
        <v>12.9</v>
      </c>
      <c r="B540" s="9">
        <v>0.35</v>
      </c>
      <c r="C540" s="9">
        <v>0.49</v>
      </c>
      <c r="D540" s="9">
        <v>5.8</v>
      </c>
      <c r="E540" s="9">
        <v>6.6000000000000003E-2</v>
      </c>
      <c r="F540" s="9">
        <v>5</v>
      </c>
      <c r="G540" s="9">
        <v>35</v>
      </c>
      <c r="H540" s="9">
        <v>1.0014000000000001</v>
      </c>
      <c r="I540" s="9">
        <v>3.2</v>
      </c>
      <c r="J540" s="9">
        <v>0.66</v>
      </c>
      <c r="K540" s="9">
        <v>12</v>
      </c>
      <c r="L540" s="9">
        <v>7</v>
      </c>
    </row>
    <row r="541" spans="1:12" x14ac:dyDescent="0.3">
      <c r="A541" s="9">
        <v>11.2</v>
      </c>
      <c r="B541" s="9">
        <v>0.5</v>
      </c>
      <c r="C541" s="9">
        <v>0.74</v>
      </c>
      <c r="D541" s="9">
        <v>5.15</v>
      </c>
      <c r="E541" s="9">
        <v>0.1</v>
      </c>
      <c r="F541" s="9">
        <v>5</v>
      </c>
      <c r="G541" s="9">
        <v>17</v>
      </c>
      <c r="H541" s="9">
        <v>0.99960000000000004</v>
      </c>
      <c r="I541" s="9">
        <v>3.22</v>
      </c>
      <c r="J541" s="9">
        <v>0.62</v>
      </c>
      <c r="K541" s="9">
        <v>11.2</v>
      </c>
      <c r="L541" s="9">
        <v>5</v>
      </c>
    </row>
    <row r="542" spans="1:12" x14ac:dyDescent="0.3">
      <c r="A542" s="9">
        <v>9.1999999999999993</v>
      </c>
      <c r="B542" s="9">
        <v>0.59</v>
      </c>
      <c r="C542" s="9">
        <v>0.24</v>
      </c>
      <c r="D542" s="9">
        <v>3.3</v>
      </c>
      <c r="E542" s="9">
        <v>0.10100000000000001</v>
      </c>
      <c r="F542" s="9">
        <v>20</v>
      </c>
      <c r="G542" s="9">
        <v>47</v>
      </c>
      <c r="H542" s="9">
        <v>0.99880000000000002</v>
      </c>
      <c r="I542" s="9">
        <v>3.26</v>
      </c>
      <c r="J542" s="9">
        <v>0.67</v>
      </c>
      <c r="K542" s="9">
        <v>9.6</v>
      </c>
      <c r="L542" s="9">
        <v>5</v>
      </c>
    </row>
    <row r="543" spans="1:12" x14ac:dyDescent="0.3">
      <c r="A543" s="9">
        <v>9.5</v>
      </c>
      <c r="B543" s="9">
        <v>0.46</v>
      </c>
      <c r="C543" s="9">
        <v>0.49</v>
      </c>
      <c r="D543" s="9">
        <v>6.3</v>
      </c>
      <c r="E543" s="9">
        <v>6.4000000000000001E-2</v>
      </c>
      <c r="F543" s="9">
        <v>5</v>
      </c>
      <c r="G543" s="9">
        <v>17</v>
      </c>
      <c r="H543" s="9">
        <v>0.99880000000000002</v>
      </c>
      <c r="I543" s="9">
        <v>3.21</v>
      </c>
      <c r="J543" s="9">
        <v>0.73</v>
      </c>
      <c r="K543" s="9">
        <v>11</v>
      </c>
      <c r="L543" s="9">
        <v>6</v>
      </c>
    </row>
    <row r="544" spans="1:12" x14ac:dyDescent="0.3">
      <c r="A544" s="9">
        <v>9.3000000000000007</v>
      </c>
      <c r="B544" s="9">
        <v>0.71499999999999997</v>
      </c>
      <c r="C544" s="9">
        <v>0.24</v>
      </c>
      <c r="D544" s="9">
        <v>2.1</v>
      </c>
      <c r="E544" s="9">
        <v>7.0000000000000007E-2</v>
      </c>
      <c r="F544" s="9">
        <v>5</v>
      </c>
      <c r="G544" s="9">
        <v>20</v>
      </c>
      <c r="H544" s="9">
        <v>0.99660000000000004</v>
      </c>
      <c r="I544" s="9">
        <v>3.12</v>
      </c>
      <c r="J544" s="9">
        <v>0.59</v>
      </c>
      <c r="K544" s="9">
        <v>9.9</v>
      </c>
      <c r="L544" s="9">
        <v>5</v>
      </c>
    </row>
    <row r="545" spans="1:12" x14ac:dyDescent="0.3">
      <c r="A545" s="9">
        <v>11.2</v>
      </c>
      <c r="B545" s="9">
        <v>0.66</v>
      </c>
      <c r="C545" s="9">
        <v>0.24</v>
      </c>
      <c r="D545" s="9">
        <v>2.5</v>
      </c>
      <c r="E545" s="9">
        <v>8.5000000000000006E-2</v>
      </c>
      <c r="F545" s="9">
        <v>16</v>
      </c>
      <c r="G545" s="9">
        <v>53</v>
      </c>
      <c r="H545" s="9">
        <v>0.99929999999999997</v>
      </c>
      <c r="I545" s="9">
        <v>3.06</v>
      </c>
      <c r="J545" s="9">
        <v>0.72</v>
      </c>
      <c r="K545" s="9">
        <v>11</v>
      </c>
      <c r="L545" s="9">
        <v>6</v>
      </c>
    </row>
    <row r="546" spans="1:12" x14ac:dyDescent="0.3">
      <c r="A546" s="9">
        <v>14.3</v>
      </c>
      <c r="B546" s="9">
        <v>0.31</v>
      </c>
      <c r="C546" s="9">
        <v>0.74</v>
      </c>
      <c r="D546" s="9">
        <v>1.8</v>
      </c>
      <c r="E546" s="9">
        <v>7.4999999999999997E-2</v>
      </c>
      <c r="F546" s="9">
        <v>6</v>
      </c>
      <c r="G546" s="9">
        <v>15</v>
      </c>
      <c r="H546" s="9">
        <v>1.0007999999999999</v>
      </c>
      <c r="I546" s="9">
        <v>2.86</v>
      </c>
      <c r="J546" s="9">
        <v>0.79</v>
      </c>
      <c r="K546" s="9">
        <v>8.4</v>
      </c>
      <c r="L546" s="9">
        <v>6</v>
      </c>
    </row>
    <row r="547" spans="1:12" x14ac:dyDescent="0.3">
      <c r="A547" s="9">
        <v>9.1</v>
      </c>
      <c r="B547" s="9">
        <v>0.47</v>
      </c>
      <c r="C547" s="9">
        <v>0.49</v>
      </c>
      <c r="D547" s="9">
        <v>2.6</v>
      </c>
      <c r="E547" s="9">
        <v>9.4E-2</v>
      </c>
      <c r="F547" s="9">
        <v>38</v>
      </c>
      <c r="G547" s="9">
        <v>106</v>
      </c>
      <c r="H547" s="9">
        <v>0.99819999999999998</v>
      </c>
      <c r="I547" s="9">
        <v>3.08</v>
      </c>
      <c r="J547" s="9">
        <v>0.59</v>
      </c>
      <c r="K547" s="9">
        <v>9.1</v>
      </c>
      <c r="L547" s="9">
        <v>5</v>
      </c>
    </row>
    <row r="548" spans="1:12" x14ac:dyDescent="0.3">
      <c r="A548" s="9">
        <v>7.5</v>
      </c>
      <c r="B548" s="9">
        <v>0.55000000000000004</v>
      </c>
      <c r="C548" s="9">
        <v>0.24</v>
      </c>
      <c r="D548" s="9">
        <v>2</v>
      </c>
      <c r="E548" s="9">
        <v>7.8E-2</v>
      </c>
      <c r="F548" s="9">
        <v>10</v>
      </c>
      <c r="G548" s="9">
        <v>28</v>
      </c>
      <c r="H548" s="9">
        <v>0.99829999999999997</v>
      </c>
      <c r="I548" s="9">
        <v>3.45</v>
      </c>
      <c r="J548" s="9">
        <v>0.78</v>
      </c>
      <c r="K548" s="9">
        <v>9.5</v>
      </c>
      <c r="L548" s="9">
        <v>6</v>
      </c>
    </row>
    <row r="549" spans="1:12" x14ac:dyDescent="0.3">
      <c r="A549" s="9">
        <v>10.6</v>
      </c>
      <c r="B549" s="9">
        <v>0.31</v>
      </c>
      <c r="C549" s="9">
        <v>0.49</v>
      </c>
      <c r="D549" s="9">
        <v>2.5</v>
      </c>
      <c r="E549" s="9">
        <v>6.7000000000000004E-2</v>
      </c>
      <c r="F549" s="9">
        <v>6</v>
      </c>
      <c r="G549" s="9">
        <v>21</v>
      </c>
      <c r="H549" s="9">
        <v>0.99870000000000003</v>
      </c>
      <c r="I549" s="9">
        <v>3.26</v>
      </c>
      <c r="J549" s="9">
        <v>0.86</v>
      </c>
      <c r="K549" s="9">
        <v>10.7</v>
      </c>
      <c r="L549" s="9">
        <v>6</v>
      </c>
    </row>
    <row r="550" spans="1:12" x14ac:dyDescent="0.3">
      <c r="A550" s="9">
        <v>12.4</v>
      </c>
      <c r="B550" s="9">
        <v>0.35</v>
      </c>
      <c r="C550" s="9">
        <v>0.49</v>
      </c>
      <c r="D550" s="9">
        <v>2.6</v>
      </c>
      <c r="E550" s="9">
        <v>7.9000000000000001E-2</v>
      </c>
      <c r="F550" s="9">
        <v>27</v>
      </c>
      <c r="G550" s="9">
        <v>69</v>
      </c>
      <c r="H550" s="9">
        <v>0.99939999999999996</v>
      </c>
      <c r="I550" s="9">
        <v>3.12</v>
      </c>
      <c r="J550" s="9">
        <v>0.75</v>
      </c>
      <c r="K550" s="9">
        <v>10.4</v>
      </c>
      <c r="L550" s="9">
        <v>6</v>
      </c>
    </row>
    <row r="551" spans="1:12" x14ac:dyDescent="0.3">
      <c r="A551" s="9">
        <v>9</v>
      </c>
      <c r="B551" s="9">
        <v>0.53</v>
      </c>
      <c r="C551" s="9">
        <v>0.49</v>
      </c>
      <c r="D551" s="9">
        <v>1.9</v>
      </c>
      <c r="E551" s="9">
        <v>0.17100000000000001</v>
      </c>
      <c r="F551" s="9">
        <v>6</v>
      </c>
      <c r="G551" s="9">
        <v>25</v>
      </c>
      <c r="H551" s="9">
        <v>0.99750000000000005</v>
      </c>
      <c r="I551" s="9">
        <v>3.27</v>
      </c>
      <c r="J551" s="9">
        <v>0.61</v>
      </c>
      <c r="K551" s="9">
        <v>9.4</v>
      </c>
      <c r="L551" s="9">
        <v>6</v>
      </c>
    </row>
    <row r="552" spans="1:12" x14ac:dyDescent="0.3">
      <c r="A552" s="9">
        <v>6.8</v>
      </c>
      <c r="B552" s="9">
        <v>0.51</v>
      </c>
      <c r="C552" s="9">
        <v>0.01</v>
      </c>
      <c r="D552" s="9">
        <v>2.1</v>
      </c>
      <c r="E552" s="9">
        <v>7.3999999999999996E-2</v>
      </c>
      <c r="F552" s="9">
        <v>9</v>
      </c>
      <c r="G552" s="9">
        <v>25</v>
      </c>
      <c r="H552" s="9">
        <v>0.99580000000000002</v>
      </c>
      <c r="I552" s="9">
        <v>3.33</v>
      </c>
      <c r="J552" s="9">
        <v>0.56000000000000005</v>
      </c>
      <c r="K552" s="9">
        <v>9.5</v>
      </c>
      <c r="L552" s="9">
        <v>6</v>
      </c>
    </row>
    <row r="553" spans="1:12" x14ac:dyDescent="0.3">
      <c r="A553" s="9">
        <v>9.4</v>
      </c>
      <c r="B553" s="9">
        <v>0.43</v>
      </c>
      <c r="C553" s="9">
        <v>0.24</v>
      </c>
      <c r="D553" s="9">
        <v>2.8</v>
      </c>
      <c r="E553" s="9">
        <v>9.1999999999999998E-2</v>
      </c>
      <c r="F553" s="9">
        <v>14</v>
      </c>
      <c r="G553" s="9">
        <v>45</v>
      </c>
      <c r="H553" s="9">
        <v>0.998</v>
      </c>
      <c r="I553" s="9">
        <v>3.19</v>
      </c>
      <c r="J553" s="9">
        <v>0.73</v>
      </c>
      <c r="K553" s="9">
        <v>10</v>
      </c>
      <c r="L553" s="9">
        <v>6</v>
      </c>
    </row>
    <row r="554" spans="1:12" x14ac:dyDescent="0.3">
      <c r="A554" s="9">
        <v>9.5</v>
      </c>
      <c r="B554" s="9">
        <v>0.46</v>
      </c>
      <c r="C554" s="9">
        <v>0.24</v>
      </c>
      <c r="D554" s="9">
        <v>2.7</v>
      </c>
      <c r="E554" s="9">
        <v>9.1999999999999998E-2</v>
      </c>
      <c r="F554" s="9">
        <v>14</v>
      </c>
      <c r="G554" s="9">
        <v>44</v>
      </c>
      <c r="H554" s="9">
        <v>0.998</v>
      </c>
      <c r="I554" s="9">
        <v>3.12</v>
      </c>
      <c r="J554" s="9">
        <v>0.74</v>
      </c>
      <c r="K554" s="9">
        <v>10</v>
      </c>
      <c r="L554" s="9">
        <v>6</v>
      </c>
    </row>
    <row r="555" spans="1:12" x14ac:dyDescent="0.3">
      <c r="A555" s="9">
        <v>5</v>
      </c>
      <c r="B555" s="9">
        <v>1.04</v>
      </c>
      <c r="C555" s="9">
        <v>0.24</v>
      </c>
      <c r="D555" s="9">
        <v>1.6</v>
      </c>
      <c r="E555" s="9">
        <v>0.05</v>
      </c>
      <c r="F555" s="9">
        <v>32</v>
      </c>
      <c r="G555" s="9">
        <v>96</v>
      </c>
      <c r="H555" s="9">
        <v>0.99339999999999995</v>
      </c>
      <c r="I555" s="9">
        <v>3.74</v>
      </c>
      <c r="J555" s="9">
        <v>0.62</v>
      </c>
      <c r="K555" s="9">
        <v>11.5</v>
      </c>
      <c r="L555" s="9">
        <v>5</v>
      </c>
    </row>
    <row r="556" spans="1:12" x14ac:dyDescent="0.3">
      <c r="A556" s="9">
        <v>15.5</v>
      </c>
      <c r="B556" s="9">
        <v>0.64500000000000002</v>
      </c>
      <c r="C556" s="9">
        <v>0.49</v>
      </c>
      <c r="D556" s="9">
        <v>4.2</v>
      </c>
      <c r="E556" s="9">
        <v>9.5000000000000001E-2</v>
      </c>
      <c r="F556" s="9">
        <v>10</v>
      </c>
      <c r="G556" s="9">
        <v>23</v>
      </c>
      <c r="H556" s="9">
        <v>1.00315</v>
      </c>
      <c r="I556" s="9">
        <v>2.92</v>
      </c>
      <c r="J556" s="9">
        <v>0.74</v>
      </c>
      <c r="K556" s="9">
        <v>11.1</v>
      </c>
      <c r="L556" s="9">
        <v>5</v>
      </c>
    </row>
    <row r="557" spans="1:12" x14ac:dyDescent="0.3">
      <c r="A557" s="9">
        <v>15.5</v>
      </c>
      <c r="B557" s="9">
        <v>0.64500000000000002</v>
      </c>
      <c r="C557" s="9">
        <v>0.49</v>
      </c>
      <c r="D557" s="9">
        <v>4.2</v>
      </c>
      <c r="E557" s="9">
        <v>9.5000000000000001E-2</v>
      </c>
      <c r="F557" s="9">
        <v>10</v>
      </c>
      <c r="G557" s="9">
        <v>23</v>
      </c>
      <c r="H557" s="9">
        <v>1.00315</v>
      </c>
      <c r="I557" s="9">
        <v>2.92</v>
      </c>
      <c r="J557" s="9">
        <v>0.74</v>
      </c>
      <c r="K557" s="9">
        <v>11.1</v>
      </c>
      <c r="L557" s="9">
        <v>5</v>
      </c>
    </row>
    <row r="558" spans="1:12" x14ac:dyDescent="0.3">
      <c r="A558" s="9">
        <v>10.9</v>
      </c>
      <c r="B558" s="9">
        <v>0.53</v>
      </c>
      <c r="C558" s="9">
        <v>0.49</v>
      </c>
      <c r="D558" s="9">
        <v>4.5999999999999996</v>
      </c>
      <c r="E558" s="9">
        <v>0.11799999999999999</v>
      </c>
      <c r="F558" s="9">
        <v>10</v>
      </c>
      <c r="G558" s="9">
        <v>17</v>
      </c>
      <c r="H558" s="9">
        <v>1.0002</v>
      </c>
      <c r="I558" s="9">
        <v>3.07</v>
      </c>
      <c r="J558" s="9">
        <v>0.56000000000000005</v>
      </c>
      <c r="K558" s="9">
        <v>11.7</v>
      </c>
      <c r="L558" s="9">
        <v>6</v>
      </c>
    </row>
    <row r="559" spans="1:12" x14ac:dyDescent="0.3">
      <c r="A559" s="9">
        <v>15.6</v>
      </c>
      <c r="B559" s="9">
        <v>0.64500000000000002</v>
      </c>
      <c r="C559" s="9">
        <v>0.49</v>
      </c>
      <c r="D559" s="9">
        <v>4.2</v>
      </c>
      <c r="E559" s="9">
        <v>9.5000000000000001E-2</v>
      </c>
      <c r="F559" s="9">
        <v>10</v>
      </c>
      <c r="G559" s="9">
        <v>23</v>
      </c>
      <c r="H559" s="9">
        <v>1.00315</v>
      </c>
      <c r="I559" s="9">
        <v>2.92</v>
      </c>
      <c r="J559" s="9">
        <v>0.74</v>
      </c>
      <c r="K559" s="9">
        <v>11.1</v>
      </c>
      <c r="L559" s="9">
        <v>5</v>
      </c>
    </row>
    <row r="560" spans="1:12" x14ac:dyDescent="0.3">
      <c r="A560" s="9">
        <v>10.9</v>
      </c>
      <c r="B560" s="9">
        <v>0.53</v>
      </c>
      <c r="C560" s="9">
        <v>0.49</v>
      </c>
      <c r="D560" s="9">
        <v>4.5999999999999996</v>
      </c>
      <c r="E560" s="9">
        <v>0.11799999999999999</v>
      </c>
      <c r="F560" s="9">
        <v>10</v>
      </c>
      <c r="G560" s="9">
        <v>17</v>
      </c>
      <c r="H560" s="9">
        <v>1.0002</v>
      </c>
      <c r="I560" s="9">
        <v>3.07</v>
      </c>
      <c r="J560" s="9">
        <v>0.56000000000000005</v>
      </c>
      <c r="K560" s="9">
        <v>11.7</v>
      </c>
      <c r="L560" s="9">
        <v>6</v>
      </c>
    </row>
    <row r="561" spans="1:12" x14ac:dyDescent="0.3">
      <c r="A561" s="9">
        <v>13</v>
      </c>
      <c r="B561" s="9">
        <v>0.47</v>
      </c>
      <c r="C561" s="9">
        <v>0.49</v>
      </c>
      <c r="D561" s="9">
        <v>4.3</v>
      </c>
      <c r="E561" s="9">
        <v>8.5000000000000006E-2</v>
      </c>
      <c r="F561" s="9">
        <v>6</v>
      </c>
      <c r="G561" s="9">
        <v>47</v>
      </c>
      <c r="H561" s="9">
        <v>1.0021</v>
      </c>
      <c r="I561" s="9">
        <v>3.3</v>
      </c>
      <c r="J561" s="9">
        <v>0.68</v>
      </c>
      <c r="K561" s="9">
        <v>12.7</v>
      </c>
      <c r="L561" s="9">
        <v>6</v>
      </c>
    </row>
    <row r="562" spans="1:12" x14ac:dyDescent="0.3">
      <c r="A562" s="9">
        <v>12.7</v>
      </c>
      <c r="B562" s="9">
        <v>0.6</v>
      </c>
      <c r="C562" s="9">
        <v>0.49</v>
      </c>
      <c r="D562" s="9">
        <v>2.8</v>
      </c>
      <c r="E562" s="9">
        <v>7.4999999999999997E-2</v>
      </c>
      <c r="F562" s="9">
        <v>5</v>
      </c>
      <c r="G562" s="9">
        <v>19</v>
      </c>
      <c r="H562" s="9">
        <v>0.99939999999999996</v>
      </c>
      <c r="I562" s="9">
        <v>3.14</v>
      </c>
      <c r="J562" s="9">
        <v>0.56999999999999995</v>
      </c>
      <c r="K562" s="9">
        <v>11.4</v>
      </c>
      <c r="L562" s="9">
        <v>5</v>
      </c>
    </row>
    <row r="563" spans="1:12" x14ac:dyDescent="0.3">
      <c r="A563" s="9">
        <v>9</v>
      </c>
      <c r="B563" s="9">
        <v>0.44</v>
      </c>
      <c r="C563" s="9">
        <v>0.49</v>
      </c>
      <c r="D563" s="9">
        <v>2.4</v>
      </c>
      <c r="E563" s="9">
        <v>7.8E-2</v>
      </c>
      <c r="F563" s="9">
        <v>26</v>
      </c>
      <c r="G563" s="9">
        <v>121</v>
      </c>
      <c r="H563" s="9">
        <v>0.99780000000000002</v>
      </c>
      <c r="I563" s="9">
        <v>3.23</v>
      </c>
      <c r="J563" s="9">
        <v>0.57999999999999996</v>
      </c>
      <c r="K563" s="9">
        <v>9.1999999999999993</v>
      </c>
      <c r="L563" s="9">
        <v>5</v>
      </c>
    </row>
    <row r="564" spans="1:12" x14ac:dyDescent="0.3">
      <c r="A564" s="9">
        <v>9</v>
      </c>
      <c r="B564" s="9">
        <v>0.54</v>
      </c>
      <c r="C564" s="9">
        <v>0.49</v>
      </c>
      <c r="D564" s="9">
        <v>2.9</v>
      </c>
      <c r="E564" s="9">
        <v>9.4E-2</v>
      </c>
      <c r="F564" s="9">
        <v>41</v>
      </c>
      <c r="G564" s="9">
        <v>110</v>
      </c>
      <c r="H564" s="9">
        <v>0.99819999999999998</v>
      </c>
      <c r="I564" s="9">
        <v>3.08</v>
      </c>
      <c r="J564" s="9">
        <v>0.61</v>
      </c>
      <c r="K564" s="9">
        <v>9.1999999999999993</v>
      </c>
      <c r="L564" s="9">
        <v>5</v>
      </c>
    </row>
    <row r="565" spans="1:12" x14ac:dyDescent="0.3">
      <c r="A565" s="9">
        <v>7.6</v>
      </c>
      <c r="B565" s="9">
        <v>0.28999999999999998</v>
      </c>
      <c r="C565" s="9">
        <v>0.49</v>
      </c>
      <c r="D565" s="9">
        <v>2.7</v>
      </c>
      <c r="E565" s="9">
        <v>9.1999999999999998E-2</v>
      </c>
      <c r="F565" s="9">
        <v>25</v>
      </c>
      <c r="G565" s="9">
        <v>60</v>
      </c>
      <c r="H565" s="9">
        <v>0.99709999999999999</v>
      </c>
      <c r="I565" s="9">
        <v>3.31</v>
      </c>
      <c r="J565" s="9">
        <v>0.61</v>
      </c>
      <c r="K565" s="9">
        <v>10.1</v>
      </c>
      <c r="L565" s="9">
        <v>6</v>
      </c>
    </row>
    <row r="566" spans="1:12" x14ac:dyDescent="0.3">
      <c r="A566" s="9">
        <v>13</v>
      </c>
      <c r="B566" s="9">
        <v>0.47</v>
      </c>
      <c r="C566" s="9">
        <v>0.49</v>
      </c>
      <c r="D566" s="9">
        <v>4.3</v>
      </c>
      <c r="E566" s="9">
        <v>8.5000000000000006E-2</v>
      </c>
      <c r="F566" s="9">
        <v>6</v>
      </c>
      <c r="G566" s="9">
        <v>47</v>
      </c>
      <c r="H566" s="9">
        <v>1.0021</v>
      </c>
      <c r="I566" s="9">
        <v>3.3</v>
      </c>
      <c r="J566" s="9">
        <v>0.68</v>
      </c>
      <c r="K566" s="9">
        <v>12.7</v>
      </c>
      <c r="L566" s="9">
        <v>6</v>
      </c>
    </row>
    <row r="567" spans="1:12" x14ac:dyDescent="0.3">
      <c r="A567" s="9">
        <v>12.7</v>
      </c>
      <c r="B567" s="9">
        <v>0.6</v>
      </c>
      <c r="C567" s="9">
        <v>0.49</v>
      </c>
      <c r="D567" s="9">
        <v>2.8</v>
      </c>
      <c r="E567" s="9">
        <v>7.4999999999999997E-2</v>
      </c>
      <c r="F567" s="9">
        <v>5</v>
      </c>
      <c r="G567" s="9">
        <v>19</v>
      </c>
      <c r="H567" s="9">
        <v>0.99939999999999996</v>
      </c>
      <c r="I567" s="9">
        <v>3.14</v>
      </c>
      <c r="J567" s="9">
        <v>0.56999999999999995</v>
      </c>
      <c r="K567" s="9">
        <v>11.4</v>
      </c>
      <c r="L567" s="9">
        <v>5</v>
      </c>
    </row>
    <row r="568" spans="1:12" x14ac:dyDescent="0.3">
      <c r="A568" s="9">
        <v>8.6999999999999993</v>
      </c>
      <c r="B568" s="9">
        <v>0.7</v>
      </c>
      <c r="C568" s="9">
        <v>0.24</v>
      </c>
      <c r="D568" s="9">
        <v>2.5</v>
      </c>
      <c r="E568" s="9">
        <v>0.22600000000000001</v>
      </c>
      <c r="F568" s="9">
        <v>5</v>
      </c>
      <c r="G568" s="9">
        <v>15</v>
      </c>
      <c r="H568" s="9">
        <v>0.99909999999999999</v>
      </c>
      <c r="I568" s="9">
        <v>3.32</v>
      </c>
      <c r="J568" s="9">
        <v>0.6</v>
      </c>
      <c r="K568" s="9">
        <v>9</v>
      </c>
      <c r="L568" s="9">
        <v>6</v>
      </c>
    </row>
    <row r="569" spans="1:12" x14ac:dyDescent="0.3">
      <c r="A569" s="9">
        <v>8.6999999999999993</v>
      </c>
      <c r="B569" s="9">
        <v>0.7</v>
      </c>
      <c r="C569" s="9">
        <v>0.24</v>
      </c>
      <c r="D569" s="9">
        <v>2.5</v>
      </c>
      <c r="E569" s="9">
        <v>0.22600000000000001</v>
      </c>
      <c r="F569" s="9">
        <v>5</v>
      </c>
      <c r="G569" s="9">
        <v>15</v>
      </c>
      <c r="H569" s="9">
        <v>0.99909999999999999</v>
      </c>
      <c r="I569" s="9">
        <v>3.32</v>
      </c>
      <c r="J569" s="9">
        <v>0.6</v>
      </c>
      <c r="K569" s="9">
        <v>9</v>
      </c>
      <c r="L569" s="9">
        <v>6</v>
      </c>
    </row>
    <row r="570" spans="1:12" x14ac:dyDescent="0.3">
      <c r="A570" s="9">
        <v>9.8000000000000007</v>
      </c>
      <c r="B570" s="9">
        <v>0.5</v>
      </c>
      <c r="C570" s="9">
        <v>0.49</v>
      </c>
      <c r="D570" s="9">
        <v>2.6</v>
      </c>
      <c r="E570" s="9">
        <v>0.25</v>
      </c>
      <c r="F570" s="9">
        <v>5</v>
      </c>
      <c r="G570" s="9">
        <v>20</v>
      </c>
      <c r="H570" s="9">
        <v>0.999</v>
      </c>
      <c r="I570" s="9">
        <v>3.31</v>
      </c>
      <c r="J570" s="9">
        <v>0.79</v>
      </c>
      <c r="K570" s="9">
        <v>10.7</v>
      </c>
      <c r="L570" s="9">
        <v>6</v>
      </c>
    </row>
    <row r="571" spans="1:12" x14ac:dyDescent="0.3">
      <c r="A571" s="9">
        <v>6.2</v>
      </c>
      <c r="B571" s="9">
        <v>0.36</v>
      </c>
      <c r="C571" s="9">
        <v>0.24</v>
      </c>
      <c r="D571" s="9">
        <v>2.2000000000000002</v>
      </c>
      <c r="E571" s="9">
        <v>9.5000000000000001E-2</v>
      </c>
      <c r="F571" s="9">
        <v>19</v>
      </c>
      <c r="G571" s="9">
        <v>42</v>
      </c>
      <c r="H571" s="9">
        <v>0.99460000000000004</v>
      </c>
      <c r="I571" s="9">
        <v>3.57</v>
      </c>
      <c r="J571" s="9">
        <v>0.56999999999999995</v>
      </c>
      <c r="K571" s="9">
        <v>11.7</v>
      </c>
      <c r="L571" s="9">
        <v>6</v>
      </c>
    </row>
    <row r="572" spans="1:12" x14ac:dyDescent="0.3">
      <c r="A572" s="9">
        <v>11.5</v>
      </c>
      <c r="B572" s="9">
        <v>0.35</v>
      </c>
      <c r="C572" s="9">
        <v>0.49</v>
      </c>
      <c r="D572" s="9">
        <v>3.3</v>
      </c>
      <c r="E572" s="9">
        <v>7.0000000000000007E-2</v>
      </c>
      <c r="F572" s="9">
        <v>10</v>
      </c>
      <c r="G572" s="9">
        <v>37</v>
      </c>
      <c r="H572" s="9">
        <v>1.0003</v>
      </c>
      <c r="I572" s="9">
        <v>3.32</v>
      </c>
      <c r="J572" s="9">
        <v>0.91</v>
      </c>
      <c r="K572" s="9">
        <v>11</v>
      </c>
      <c r="L572" s="9">
        <v>6</v>
      </c>
    </row>
    <row r="573" spans="1:12" x14ac:dyDescent="0.3">
      <c r="A573" s="9">
        <v>6.2</v>
      </c>
      <c r="B573" s="9">
        <v>0.36</v>
      </c>
      <c r="C573" s="9">
        <v>0.24</v>
      </c>
      <c r="D573" s="9">
        <v>2.2000000000000002</v>
      </c>
      <c r="E573" s="9">
        <v>9.5000000000000001E-2</v>
      </c>
      <c r="F573" s="9">
        <v>19</v>
      </c>
      <c r="G573" s="9">
        <v>42</v>
      </c>
      <c r="H573" s="9">
        <v>0.99460000000000004</v>
      </c>
      <c r="I573" s="9">
        <v>3.57</v>
      </c>
      <c r="J573" s="9">
        <v>0.56999999999999995</v>
      </c>
      <c r="K573" s="9">
        <v>11.7</v>
      </c>
      <c r="L573" s="9">
        <v>6</v>
      </c>
    </row>
    <row r="574" spans="1:12" x14ac:dyDescent="0.3">
      <c r="A574" s="9">
        <v>10.199999999999999</v>
      </c>
      <c r="B574" s="9">
        <v>0.24</v>
      </c>
      <c r="C574" s="9">
        <v>0.49</v>
      </c>
      <c r="D574" s="9">
        <v>2.4</v>
      </c>
      <c r="E574" s="9">
        <v>7.4999999999999997E-2</v>
      </c>
      <c r="F574" s="9">
        <v>10</v>
      </c>
      <c r="G574" s="9">
        <v>28</v>
      </c>
      <c r="H574" s="9">
        <v>0.99780000000000002</v>
      </c>
      <c r="I574" s="9">
        <v>3.14</v>
      </c>
      <c r="J574" s="9">
        <v>0.61</v>
      </c>
      <c r="K574" s="9">
        <v>10.4</v>
      </c>
      <c r="L574" s="9">
        <v>5</v>
      </c>
    </row>
    <row r="575" spans="1:12" x14ac:dyDescent="0.3">
      <c r="A575" s="9">
        <v>10.5</v>
      </c>
      <c r="B575" s="9">
        <v>0.59</v>
      </c>
      <c r="C575" s="9">
        <v>0.49</v>
      </c>
      <c r="D575" s="9">
        <v>2.1</v>
      </c>
      <c r="E575" s="9">
        <v>7.0000000000000007E-2</v>
      </c>
      <c r="F575" s="9">
        <v>14</v>
      </c>
      <c r="G575" s="9">
        <v>47</v>
      </c>
      <c r="H575" s="9">
        <v>0.99909999999999999</v>
      </c>
      <c r="I575" s="9">
        <v>3.3</v>
      </c>
      <c r="J575" s="9">
        <v>0.56000000000000005</v>
      </c>
      <c r="K575" s="9">
        <v>9.6</v>
      </c>
      <c r="L575" s="9">
        <v>4</v>
      </c>
    </row>
    <row r="576" spans="1:12" x14ac:dyDescent="0.3">
      <c r="A576" s="9">
        <v>10.6</v>
      </c>
      <c r="B576" s="9">
        <v>0.34</v>
      </c>
      <c r="C576" s="9">
        <v>0.49</v>
      </c>
      <c r="D576" s="9">
        <v>3.2</v>
      </c>
      <c r="E576" s="9">
        <v>7.8E-2</v>
      </c>
      <c r="F576" s="9">
        <v>20</v>
      </c>
      <c r="G576" s="9">
        <v>78</v>
      </c>
      <c r="H576" s="9">
        <v>0.99919999999999998</v>
      </c>
      <c r="I576" s="9">
        <v>3.19</v>
      </c>
      <c r="J576" s="9">
        <v>0.7</v>
      </c>
      <c r="K576" s="9">
        <v>10</v>
      </c>
      <c r="L576" s="9">
        <v>6</v>
      </c>
    </row>
    <row r="577" spans="1:12" x14ac:dyDescent="0.3">
      <c r="A577" s="9">
        <v>12.3</v>
      </c>
      <c r="B577" s="9">
        <v>0.27</v>
      </c>
      <c r="C577" s="9">
        <v>0.49</v>
      </c>
      <c r="D577" s="9">
        <v>3.1</v>
      </c>
      <c r="E577" s="9">
        <v>7.9000000000000001E-2</v>
      </c>
      <c r="F577" s="9">
        <v>28</v>
      </c>
      <c r="G577" s="9">
        <v>46</v>
      </c>
      <c r="H577" s="9">
        <v>0.99929999999999997</v>
      </c>
      <c r="I577" s="9">
        <v>3.2</v>
      </c>
      <c r="J577" s="9">
        <v>0.8</v>
      </c>
      <c r="K577" s="9">
        <v>10.199999999999999</v>
      </c>
      <c r="L577" s="9">
        <v>6</v>
      </c>
    </row>
    <row r="578" spans="1:12" x14ac:dyDescent="0.3">
      <c r="A578" s="9">
        <v>9.9</v>
      </c>
      <c r="B578" s="9">
        <v>0.5</v>
      </c>
      <c r="C578" s="9">
        <v>0.24</v>
      </c>
      <c r="D578" s="9">
        <v>2.2999999999999998</v>
      </c>
      <c r="E578" s="9">
        <v>0.10299999999999999</v>
      </c>
      <c r="F578" s="9">
        <v>6</v>
      </c>
      <c r="G578" s="9">
        <v>14</v>
      </c>
      <c r="H578" s="9">
        <v>0.99780000000000002</v>
      </c>
      <c r="I578" s="9">
        <v>3.34</v>
      </c>
      <c r="J578" s="9">
        <v>0.52</v>
      </c>
      <c r="K578" s="9">
        <v>10</v>
      </c>
      <c r="L578" s="9">
        <v>4</v>
      </c>
    </row>
    <row r="579" spans="1:12" x14ac:dyDescent="0.3">
      <c r="A579" s="9">
        <v>8.8000000000000007</v>
      </c>
      <c r="B579" s="9">
        <v>0.44</v>
      </c>
      <c r="C579" s="9">
        <v>0.49</v>
      </c>
      <c r="D579" s="9">
        <v>2.8</v>
      </c>
      <c r="E579" s="9">
        <v>8.3000000000000004E-2</v>
      </c>
      <c r="F579" s="9">
        <v>18</v>
      </c>
      <c r="G579" s="9">
        <v>111</v>
      </c>
      <c r="H579" s="9">
        <v>0.99819999999999998</v>
      </c>
      <c r="I579" s="9">
        <v>3.3</v>
      </c>
      <c r="J579" s="9">
        <v>0.6</v>
      </c>
      <c r="K579" s="9">
        <v>9.5</v>
      </c>
      <c r="L579" s="9">
        <v>5</v>
      </c>
    </row>
    <row r="580" spans="1:12" x14ac:dyDescent="0.3">
      <c r="A580" s="9">
        <v>8.8000000000000007</v>
      </c>
      <c r="B580" s="9">
        <v>0.47</v>
      </c>
      <c r="C580" s="9">
        <v>0.49</v>
      </c>
      <c r="D580" s="9">
        <v>2.9</v>
      </c>
      <c r="E580" s="9">
        <v>8.5000000000000006E-2</v>
      </c>
      <c r="F580" s="9">
        <v>17</v>
      </c>
      <c r="G580" s="9">
        <v>110</v>
      </c>
      <c r="H580" s="9">
        <v>0.99819999999999998</v>
      </c>
      <c r="I580" s="9">
        <v>3.29</v>
      </c>
      <c r="J580" s="9">
        <v>0.6</v>
      </c>
      <c r="K580" s="9">
        <v>9.8000000000000007</v>
      </c>
      <c r="L580" s="9">
        <v>5</v>
      </c>
    </row>
    <row r="581" spans="1:12" x14ac:dyDescent="0.3">
      <c r="A581" s="9">
        <v>10.6</v>
      </c>
      <c r="B581" s="9">
        <v>0.31</v>
      </c>
      <c r="C581" s="9">
        <v>0.49</v>
      </c>
      <c r="D581" s="9">
        <v>2.2000000000000002</v>
      </c>
      <c r="E581" s="9">
        <v>6.3E-2</v>
      </c>
      <c r="F581" s="9">
        <v>18</v>
      </c>
      <c r="G581" s="9">
        <v>40</v>
      </c>
      <c r="H581" s="9">
        <v>0.99760000000000004</v>
      </c>
      <c r="I581" s="9">
        <v>3.14</v>
      </c>
      <c r="J581" s="9">
        <v>0.51</v>
      </c>
      <c r="K581" s="9">
        <v>9.8000000000000007</v>
      </c>
      <c r="L581" s="9">
        <v>6</v>
      </c>
    </row>
    <row r="582" spans="1:12" x14ac:dyDescent="0.3">
      <c r="A582" s="9">
        <v>12.3</v>
      </c>
      <c r="B582" s="9">
        <v>0.5</v>
      </c>
      <c r="C582" s="9">
        <v>0.49</v>
      </c>
      <c r="D582" s="9">
        <v>2.2000000000000002</v>
      </c>
      <c r="E582" s="9">
        <v>8.8999999999999996E-2</v>
      </c>
      <c r="F582" s="9">
        <v>5</v>
      </c>
      <c r="G582" s="9">
        <v>14</v>
      </c>
      <c r="H582" s="9">
        <v>1.0002</v>
      </c>
      <c r="I582" s="9">
        <v>3.19</v>
      </c>
      <c r="J582" s="9">
        <v>0.44</v>
      </c>
      <c r="K582" s="9">
        <v>9.6</v>
      </c>
      <c r="L582" s="9">
        <v>5</v>
      </c>
    </row>
    <row r="583" spans="1:12" x14ac:dyDescent="0.3">
      <c r="A583" s="9">
        <v>12.3</v>
      </c>
      <c r="B583" s="9">
        <v>0.5</v>
      </c>
      <c r="C583" s="9">
        <v>0.49</v>
      </c>
      <c r="D583" s="9">
        <v>2.2000000000000002</v>
      </c>
      <c r="E583" s="9">
        <v>8.8999999999999996E-2</v>
      </c>
      <c r="F583" s="9">
        <v>5</v>
      </c>
      <c r="G583" s="9">
        <v>14</v>
      </c>
      <c r="H583" s="9">
        <v>1.0002</v>
      </c>
      <c r="I583" s="9">
        <v>3.19</v>
      </c>
      <c r="J583" s="9">
        <v>0.44</v>
      </c>
      <c r="K583" s="9">
        <v>9.6</v>
      </c>
      <c r="L583" s="9">
        <v>5</v>
      </c>
    </row>
    <row r="584" spans="1:12" x14ac:dyDescent="0.3">
      <c r="A584" s="9">
        <v>11.7</v>
      </c>
      <c r="B584" s="9">
        <v>0.49</v>
      </c>
      <c r="C584" s="9">
        <v>0.49</v>
      </c>
      <c r="D584" s="9">
        <v>2.2000000000000002</v>
      </c>
      <c r="E584" s="9">
        <v>8.3000000000000004E-2</v>
      </c>
      <c r="F584" s="9">
        <v>5</v>
      </c>
      <c r="G584" s="9">
        <v>15</v>
      </c>
      <c r="H584" s="9">
        <v>1</v>
      </c>
      <c r="I584" s="9">
        <v>3.19</v>
      </c>
      <c r="J584" s="9">
        <v>0.43</v>
      </c>
      <c r="K584" s="9">
        <v>9.1999999999999993</v>
      </c>
      <c r="L584" s="9">
        <v>5</v>
      </c>
    </row>
    <row r="585" spans="1:12" x14ac:dyDescent="0.3">
      <c r="A585" s="9">
        <v>12</v>
      </c>
      <c r="B585" s="9">
        <v>0.28000000000000003</v>
      </c>
      <c r="C585" s="9">
        <v>0.49</v>
      </c>
      <c r="D585" s="9">
        <v>1.9</v>
      </c>
      <c r="E585" s="9">
        <v>7.3999999999999996E-2</v>
      </c>
      <c r="F585" s="9">
        <v>10</v>
      </c>
      <c r="G585" s="9">
        <v>21</v>
      </c>
      <c r="H585" s="9">
        <v>0.99760000000000004</v>
      </c>
      <c r="I585" s="9">
        <v>2.98</v>
      </c>
      <c r="J585" s="9">
        <v>0.66</v>
      </c>
      <c r="K585" s="9">
        <v>9.9</v>
      </c>
      <c r="L585" s="9">
        <v>7</v>
      </c>
    </row>
    <row r="586" spans="1:12" x14ac:dyDescent="0.3">
      <c r="A586" s="9">
        <v>11.8</v>
      </c>
      <c r="B586" s="9">
        <v>0.33</v>
      </c>
      <c r="C586" s="9">
        <v>0.49</v>
      </c>
      <c r="D586" s="9">
        <v>3.4</v>
      </c>
      <c r="E586" s="9">
        <v>9.2999999999999999E-2</v>
      </c>
      <c r="F586" s="9">
        <v>54</v>
      </c>
      <c r="G586" s="9">
        <v>80</v>
      </c>
      <c r="H586" s="9">
        <v>1.0002</v>
      </c>
      <c r="I586" s="9">
        <v>3.3</v>
      </c>
      <c r="J586" s="9">
        <v>0.76</v>
      </c>
      <c r="K586" s="9">
        <v>10.7</v>
      </c>
      <c r="L586" s="9">
        <v>7</v>
      </c>
    </row>
    <row r="587" spans="1:12" x14ac:dyDescent="0.3">
      <c r="A587" s="9">
        <v>7.6</v>
      </c>
      <c r="B587" s="9">
        <v>0.51</v>
      </c>
      <c r="C587" s="9">
        <v>0.24</v>
      </c>
      <c r="D587" s="9">
        <v>2.4</v>
      </c>
      <c r="E587" s="9">
        <v>9.0999999999999998E-2</v>
      </c>
      <c r="F587" s="9">
        <v>8</v>
      </c>
      <c r="G587" s="9">
        <v>38</v>
      </c>
      <c r="H587" s="9">
        <v>0.998</v>
      </c>
      <c r="I587" s="9">
        <v>3.47</v>
      </c>
      <c r="J587" s="9">
        <v>0.66</v>
      </c>
      <c r="K587" s="9">
        <v>9.6</v>
      </c>
      <c r="L587" s="9">
        <v>6</v>
      </c>
    </row>
    <row r="588" spans="1:12" x14ac:dyDescent="0.3">
      <c r="A588" s="9">
        <v>11.1</v>
      </c>
      <c r="B588" s="9">
        <v>0.31</v>
      </c>
      <c r="C588" s="9">
        <v>0.49</v>
      </c>
      <c r="D588" s="9">
        <v>2.7</v>
      </c>
      <c r="E588" s="9">
        <v>9.4E-2</v>
      </c>
      <c r="F588" s="9">
        <v>16</v>
      </c>
      <c r="G588" s="9">
        <v>47</v>
      </c>
      <c r="H588" s="9">
        <v>0.99860000000000004</v>
      </c>
      <c r="I588" s="9">
        <v>3.12</v>
      </c>
      <c r="J588" s="9">
        <v>1.02</v>
      </c>
      <c r="K588" s="9">
        <v>10.6</v>
      </c>
      <c r="L588" s="9">
        <v>7</v>
      </c>
    </row>
    <row r="589" spans="1:12" x14ac:dyDescent="0.3">
      <c r="A589" s="9">
        <v>7.3</v>
      </c>
      <c r="B589" s="9">
        <v>0.73</v>
      </c>
      <c r="C589" s="9">
        <v>0.24</v>
      </c>
      <c r="D589" s="9">
        <v>1.9</v>
      </c>
      <c r="E589" s="9">
        <v>0.108</v>
      </c>
      <c r="F589" s="9">
        <v>18</v>
      </c>
      <c r="G589" s="9">
        <v>102</v>
      </c>
      <c r="H589" s="9">
        <v>0.99670000000000003</v>
      </c>
      <c r="I589" s="9">
        <v>3.26</v>
      </c>
      <c r="J589" s="9">
        <v>0.59</v>
      </c>
      <c r="K589" s="9">
        <v>9.3000000000000007</v>
      </c>
      <c r="L589" s="9">
        <v>5</v>
      </c>
    </row>
    <row r="590" spans="1:12" x14ac:dyDescent="0.3">
      <c r="A590" s="9">
        <v>5</v>
      </c>
      <c r="B590" s="9">
        <v>0.42</v>
      </c>
      <c r="C590" s="9">
        <v>0.24</v>
      </c>
      <c r="D590" s="9">
        <v>2</v>
      </c>
      <c r="E590" s="9">
        <v>0.06</v>
      </c>
      <c r="F590" s="9">
        <v>19</v>
      </c>
      <c r="G590" s="9">
        <v>50</v>
      </c>
      <c r="H590" s="9">
        <v>0.99170000000000003</v>
      </c>
      <c r="I590" s="9">
        <v>3.72</v>
      </c>
      <c r="J590" s="9">
        <v>0.74</v>
      </c>
      <c r="K590" s="9">
        <v>14</v>
      </c>
      <c r="L590" s="9">
        <v>8</v>
      </c>
    </row>
    <row r="591" spans="1:12" x14ac:dyDescent="0.3">
      <c r="A591" s="9">
        <v>10.199999999999999</v>
      </c>
      <c r="B591" s="9">
        <v>0.28999999999999998</v>
      </c>
      <c r="C591" s="9">
        <v>0.49</v>
      </c>
      <c r="D591" s="9">
        <v>2.6</v>
      </c>
      <c r="E591" s="9">
        <v>5.8999999999999997E-2</v>
      </c>
      <c r="F591" s="9">
        <v>5</v>
      </c>
      <c r="G591" s="9">
        <v>13</v>
      </c>
      <c r="H591" s="9">
        <v>0.99760000000000004</v>
      </c>
      <c r="I591" s="9">
        <v>3.05</v>
      </c>
      <c r="J591" s="9">
        <v>0.74</v>
      </c>
      <c r="K591" s="9">
        <v>10.5</v>
      </c>
      <c r="L591" s="9">
        <v>7</v>
      </c>
    </row>
    <row r="592" spans="1:12" x14ac:dyDescent="0.3">
      <c r="A592" s="9">
        <v>9</v>
      </c>
      <c r="B592" s="9">
        <v>0.45</v>
      </c>
      <c r="C592" s="9">
        <v>0.49</v>
      </c>
      <c r="D592" s="9">
        <v>2.6</v>
      </c>
      <c r="E592" s="9">
        <v>8.4000000000000005E-2</v>
      </c>
      <c r="F592" s="9">
        <v>21</v>
      </c>
      <c r="G592" s="9">
        <v>75</v>
      </c>
      <c r="H592" s="9">
        <v>0.99870000000000003</v>
      </c>
      <c r="I592" s="9">
        <v>3.35</v>
      </c>
      <c r="J592" s="9">
        <v>0.56999999999999995</v>
      </c>
      <c r="K592" s="9">
        <v>9.6999999999999993</v>
      </c>
      <c r="L592" s="9">
        <v>5</v>
      </c>
    </row>
    <row r="593" spans="1:12" x14ac:dyDescent="0.3">
      <c r="A593" s="9">
        <v>6.6</v>
      </c>
      <c r="B593" s="9">
        <v>0.39</v>
      </c>
      <c r="C593" s="9">
        <v>0.49</v>
      </c>
      <c r="D593" s="9">
        <v>1.7</v>
      </c>
      <c r="E593" s="9">
        <v>7.0000000000000007E-2</v>
      </c>
      <c r="F593" s="9">
        <v>23</v>
      </c>
      <c r="G593" s="9">
        <v>149</v>
      </c>
      <c r="H593" s="9">
        <v>0.99219999999999997</v>
      </c>
      <c r="I593" s="9">
        <v>3.12</v>
      </c>
      <c r="J593" s="9">
        <v>0.5</v>
      </c>
      <c r="K593" s="9">
        <v>11.5</v>
      </c>
      <c r="L593" s="9">
        <v>6</v>
      </c>
    </row>
    <row r="594" spans="1:12" x14ac:dyDescent="0.3">
      <c r="A594" s="9">
        <v>9</v>
      </c>
      <c r="B594" s="9">
        <v>0.45</v>
      </c>
      <c r="C594" s="9">
        <v>0.49</v>
      </c>
      <c r="D594" s="9">
        <v>2.6</v>
      </c>
      <c r="E594" s="9">
        <v>8.4000000000000005E-2</v>
      </c>
      <c r="F594" s="9">
        <v>21</v>
      </c>
      <c r="G594" s="9">
        <v>75</v>
      </c>
      <c r="H594" s="9">
        <v>0.99870000000000003</v>
      </c>
      <c r="I594" s="9">
        <v>3.35</v>
      </c>
      <c r="J594" s="9">
        <v>0.56999999999999995</v>
      </c>
      <c r="K594" s="9">
        <v>9.6999999999999993</v>
      </c>
      <c r="L594" s="9">
        <v>5</v>
      </c>
    </row>
    <row r="595" spans="1:12" x14ac:dyDescent="0.3">
      <c r="A595" s="9">
        <v>9.9</v>
      </c>
      <c r="B595" s="9">
        <v>0.49</v>
      </c>
      <c r="C595" s="9">
        <v>0.57999999999999996</v>
      </c>
      <c r="D595" s="9">
        <v>3.5</v>
      </c>
      <c r="E595" s="9">
        <v>9.4E-2</v>
      </c>
      <c r="F595" s="9">
        <v>9</v>
      </c>
      <c r="G595" s="9">
        <v>43</v>
      </c>
      <c r="H595" s="9">
        <v>1.0004</v>
      </c>
      <c r="I595" s="9">
        <v>3.29</v>
      </c>
      <c r="J595" s="9">
        <v>0.57999999999999996</v>
      </c>
      <c r="K595" s="9">
        <v>9</v>
      </c>
      <c r="L595" s="9">
        <v>5</v>
      </c>
    </row>
    <row r="596" spans="1:12" x14ac:dyDescent="0.3">
      <c r="A596" s="9">
        <v>7.9</v>
      </c>
      <c r="B596" s="9">
        <v>0.72</v>
      </c>
      <c r="C596" s="9">
        <v>0.17</v>
      </c>
      <c r="D596" s="9">
        <v>2.6</v>
      </c>
      <c r="E596" s="9">
        <v>9.6000000000000002E-2</v>
      </c>
      <c r="F596" s="9">
        <v>20</v>
      </c>
      <c r="G596" s="9">
        <v>38</v>
      </c>
      <c r="H596" s="9">
        <v>0.99780000000000002</v>
      </c>
      <c r="I596" s="9">
        <v>3.4</v>
      </c>
      <c r="J596" s="9">
        <v>0.53</v>
      </c>
      <c r="K596" s="9">
        <v>9.5</v>
      </c>
      <c r="L596" s="9">
        <v>5</v>
      </c>
    </row>
    <row r="597" spans="1:12" x14ac:dyDescent="0.3">
      <c r="A597" s="9">
        <v>8.9</v>
      </c>
      <c r="B597" s="9">
        <v>0.59499999999999997</v>
      </c>
      <c r="C597" s="9">
        <v>0.41</v>
      </c>
      <c r="D597" s="9">
        <v>7.9</v>
      </c>
      <c r="E597" s="9">
        <v>8.5999999999999993E-2</v>
      </c>
      <c r="F597" s="9">
        <v>30</v>
      </c>
      <c r="G597" s="9">
        <v>109</v>
      </c>
      <c r="H597" s="9">
        <v>0.99980000000000002</v>
      </c>
      <c r="I597" s="9">
        <v>3.27</v>
      </c>
      <c r="J597" s="9">
        <v>0.56999999999999995</v>
      </c>
      <c r="K597" s="9">
        <v>9.3000000000000007</v>
      </c>
      <c r="L597" s="9">
        <v>5</v>
      </c>
    </row>
    <row r="598" spans="1:12" x14ac:dyDescent="0.3">
      <c r="A598" s="9">
        <v>12.4</v>
      </c>
      <c r="B598" s="9">
        <v>0.4</v>
      </c>
      <c r="C598" s="9">
        <v>0.51</v>
      </c>
      <c r="D598" s="9">
        <v>2</v>
      </c>
      <c r="E598" s="9">
        <v>5.8999999999999997E-2</v>
      </c>
      <c r="F598" s="9">
        <v>6</v>
      </c>
      <c r="G598" s="9">
        <v>24</v>
      </c>
      <c r="H598" s="9">
        <v>0.99939999999999996</v>
      </c>
      <c r="I598" s="9">
        <v>3.04</v>
      </c>
      <c r="J598" s="9">
        <v>0.6</v>
      </c>
      <c r="K598" s="9">
        <v>9.3000000000000007</v>
      </c>
      <c r="L598" s="9">
        <v>6</v>
      </c>
    </row>
    <row r="599" spans="1:12" x14ac:dyDescent="0.3">
      <c r="A599" s="9">
        <v>11.9</v>
      </c>
      <c r="B599" s="9">
        <v>0.57999999999999996</v>
      </c>
      <c r="C599" s="9">
        <v>0.57999999999999996</v>
      </c>
      <c r="D599" s="9">
        <v>1.9</v>
      </c>
      <c r="E599" s="9">
        <v>7.0999999999999994E-2</v>
      </c>
      <c r="F599" s="9">
        <v>5</v>
      </c>
      <c r="G599" s="9">
        <v>18</v>
      </c>
      <c r="H599" s="9">
        <v>0.998</v>
      </c>
      <c r="I599" s="9">
        <v>3.09</v>
      </c>
      <c r="J599" s="9">
        <v>0.63</v>
      </c>
      <c r="K599" s="9">
        <v>10</v>
      </c>
      <c r="L599" s="9">
        <v>6</v>
      </c>
    </row>
    <row r="600" spans="1:12" x14ac:dyDescent="0.3">
      <c r="A600" s="9">
        <v>8.5</v>
      </c>
      <c r="B600" s="9">
        <v>0.58499999999999996</v>
      </c>
      <c r="C600" s="9">
        <v>0.18</v>
      </c>
      <c r="D600" s="9">
        <v>2.1</v>
      </c>
      <c r="E600" s="9">
        <v>7.8E-2</v>
      </c>
      <c r="F600" s="9">
        <v>5</v>
      </c>
      <c r="G600" s="9">
        <v>30</v>
      </c>
      <c r="H600" s="9">
        <v>0.99670000000000003</v>
      </c>
      <c r="I600" s="9">
        <v>3.2</v>
      </c>
      <c r="J600" s="9">
        <v>0.48</v>
      </c>
      <c r="K600" s="9">
        <v>9.8000000000000007</v>
      </c>
      <c r="L600" s="9">
        <v>6</v>
      </c>
    </row>
    <row r="601" spans="1:12" x14ac:dyDescent="0.3">
      <c r="A601" s="9">
        <v>12.7</v>
      </c>
      <c r="B601" s="9">
        <v>0.59</v>
      </c>
      <c r="C601" s="9">
        <v>0.45</v>
      </c>
      <c r="D601" s="9">
        <v>2.2999999999999998</v>
      </c>
      <c r="E601" s="9">
        <v>8.2000000000000003E-2</v>
      </c>
      <c r="F601" s="9">
        <v>11</v>
      </c>
      <c r="G601" s="9">
        <v>22</v>
      </c>
      <c r="H601" s="9">
        <v>1</v>
      </c>
      <c r="I601" s="9">
        <v>3</v>
      </c>
      <c r="J601" s="9">
        <v>0.7</v>
      </c>
      <c r="K601" s="9">
        <v>9.3000000000000007</v>
      </c>
      <c r="L601" s="9">
        <v>6</v>
      </c>
    </row>
    <row r="602" spans="1:12" x14ac:dyDescent="0.3">
      <c r="A602" s="9">
        <v>8.1999999999999993</v>
      </c>
      <c r="B602" s="9">
        <v>0.91500000000000004</v>
      </c>
      <c r="C602" s="9">
        <v>0.27</v>
      </c>
      <c r="D602" s="9">
        <v>2.1</v>
      </c>
      <c r="E602" s="9">
        <v>8.7999999999999995E-2</v>
      </c>
      <c r="F602" s="9">
        <v>7</v>
      </c>
      <c r="G602" s="9">
        <v>23</v>
      </c>
      <c r="H602" s="9">
        <v>0.99619999999999997</v>
      </c>
      <c r="I602" s="9">
        <v>3.26</v>
      </c>
      <c r="J602" s="9">
        <v>0.47</v>
      </c>
      <c r="K602" s="9">
        <v>10</v>
      </c>
      <c r="L602" s="9">
        <v>4</v>
      </c>
    </row>
    <row r="603" spans="1:12" x14ac:dyDescent="0.3">
      <c r="A603" s="9">
        <v>13.2</v>
      </c>
      <c r="B603" s="9">
        <v>0.46</v>
      </c>
      <c r="C603" s="9">
        <v>0.52</v>
      </c>
      <c r="D603" s="9">
        <v>2.2000000000000002</v>
      </c>
      <c r="E603" s="9">
        <v>7.0999999999999994E-2</v>
      </c>
      <c r="F603" s="9">
        <v>12</v>
      </c>
      <c r="G603" s="9">
        <v>35</v>
      </c>
      <c r="H603" s="9">
        <v>1.0005999999999999</v>
      </c>
      <c r="I603" s="9">
        <v>3.1</v>
      </c>
      <c r="J603" s="9">
        <v>0.56000000000000005</v>
      </c>
      <c r="K603" s="9">
        <v>9</v>
      </c>
      <c r="L603" s="9">
        <v>6</v>
      </c>
    </row>
    <row r="604" spans="1:12" x14ac:dyDescent="0.3">
      <c r="A604" s="9">
        <v>7.7</v>
      </c>
      <c r="B604" s="9">
        <v>0.83499999999999996</v>
      </c>
      <c r="C604" s="9">
        <v>0</v>
      </c>
      <c r="D604" s="9">
        <v>2.6</v>
      </c>
      <c r="E604" s="9">
        <v>8.1000000000000003E-2</v>
      </c>
      <c r="F604" s="9">
        <v>6</v>
      </c>
      <c r="G604" s="9">
        <v>14</v>
      </c>
      <c r="H604" s="9">
        <v>0.99750000000000005</v>
      </c>
      <c r="I604" s="9">
        <v>3.3</v>
      </c>
      <c r="J604" s="9">
        <v>0.52</v>
      </c>
      <c r="K604" s="9">
        <v>9.3000000000000007</v>
      </c>
      <c r="L604" s="9">
        <v>5</v>
      </c>
    </row>
    <row r="605" spans="1:12" x14ac:dyDescent="0.3">
      <c r="A605" s="9">
        <v>13.2</v>
      </c>
      <c r="B605" s="9">
        <v>0.46</v>
      </c>
      <c r="C605" s="9">
        <v>0.52</v>
      </c>
      <c r="D605" s="9">
        <v>2.2000000000000002</v>
      </c>
      <c r="E605" s="9">
        <v>7.0999999999999994E-2</v>
      </c>
      <c r="F605" s="9">
        <v>12</v>
      </c>
      <c r="G605" s="9">
        <v>35</v>
      </c>
      <c r="H605" s="9">
        <v>1.0005999999999999</v>
      </c>
      <c r="I605" s="9">
        <v>3.1</v>
      </c>
      <c r="J605" s="9">
        <v>0.56000000000000005</v>
      </c>
      <c r="K605" s="9">
        <v>9</v>
      </c>
      <c r="L605" s="9">
        <v>6</v>
      </c>
    </row>
    <row r="606" spans="1:12" x14ac:dyDescent="0.3">
      <c r="A606" s="9">
        <v>8.3000000000000007</v>
      </c>
      <c r="B606" s="9">
        <v>0.57999999999999996</v>
      </c>
      <c r="C606" s="9">
        <v>0.13</v>
      </c>
      <c r="D606" s="9">
        <v>2.9</v>
      </c>
      <c r="E606" s="9">
        <v>9.6000000000000002E-2</v>
      </c>
      <c r="F606" s="9">
        <v>14</v>
      </c>
      <c r="G606" s="9">
        <v>63</v>
      </c>
      <c r="H606" s="9">
        <v>0.99839999999999995</v>
      </c>
      <c r="I606" s="9">
        <v>3.17</v>
      </c>
      <c r="J606" s="9">
        <v>0.62</v>
      </c>
      <c r="K606" s="9">
        <v>9.1</v>
      </c>
      <c r="L606" s="9">
        <v>6</v>
      </c>
    </row>
    <row r="607" spans="1:12" x14ac:dyDescent="0.3">
      <c r="A607" s="9">
        <v>8.3000000000000007</v>
      </c>
      <c r="B607" s="9">
        <v>0.6</v>
      </c>
      <c r="C607" s="9">
        <v>0.13</v>
      </c>
      <c r="D607" s="9">
        <v>2.6</v>
      </c>
      <c r="E607" s="9">
        <v>8.5000000000000006E-2</v>
      </c>
      <c r="F607" s="9">
        <v>6</v>
      </c>
      <c r="G607" s="9">
        <v>24</v>
      </c>
      <c r="H607" s="9">
        <v>0.99839999999999995</v>
      </c>
      <c r="I607" s="9">
        <v>3.31</v>
      </c>
      <c r="J607" s="9">
        <v>0.59</v>
      </c>
      <c r="K607" s="9">
        <v>9.1999999999999993</v>
      </c>
      <c r="L607" s="9">
        <v>6</v>
      </c>
    </row>
    <row r="608" spans="1:12" x14ac:dyDescent="0.3">
      <c r="A608" s="9">
        <v>9.4</v>
      </c>
      <c r="B608" s="9">
        <v>0.41</v>
      </c>
      <c r="C608" s="9">
        <v>0.48</v>
      </c>
      <c r="D608" s="9">
        <v>4.5999999999999996</v>
      </c>
      <c r="E608" s="9">
        <v>7.1999999999999995E-2</v>
      </c>
      <c r="F608" s="9">
        <v>10</v>
      </c>
      <c r="G608" s="9">
        <v>20</v>
      </c>
      <c r="H608" s="9">
        <v>0.99729999999999996</v>
      </c>
      <c r="I608" s="9">
        <v>3.34</v>
      </c>
      <c r="J608" s="9">
        <v>0.79</v>
      </c>
      <c r="K608" s="9">
        <v>12.2</v>
      </c>
      <c r="L608" s="9">
        <v>7</v>
      </c>
    </row>
    <row r="609" spans="1:12" x14ac:dyDescent="0.3">
      <c r="A609" s="9">
        <v>8.8000000000000007</v>
      </c>
      <c r="B609" s="9">
        <v>0.48</v>
      </c>
      <c r="C609" s="9">
        <v>0.41</v>
      </c>
      <c r="D609" s="9">
        <v>3.3</v>
      </c>
      <c r="E609" s="9">
        <v>9.1999999999999998E-2</v>
      </c>
      <c r="F609" s="9">
        <v>26</v>
      </c>
      <c r="G609" s="9">
        <v>52</v>
      </c>
      <c r="H609" s="9">
        <v>0.99819999999999998</v>
      </c>
      <c r="I609" s="9">
        <v>3.31</v>
      </c>
      <c r="J609" s="9">
        <v>0.53</v>
      </c>
      <c r="K609" s="9">
        <v>10.5</v>
      </c>
      <c r="L609" s="9">
        <v>6</v>
      </c>
    </row>
    <row r="610" spans="1:12" x14ac:dyDescent="0.3">
      <c r="A610" s="9">
        <v>10.1</v>
      </c>
      <c r="B610" s="9">
        <v>0.65</v>
      </c>
      <c r="C610" s="9">
        <v>0.37</v>
      </c>
      <c r="D610" s="9">
        <v>5.0999999999999996</v>
      </c>
      <c r="E610" s="9">
        <v>0.11</v>
      </c>
      <c r="F610" s="9">
        <v>11</v>
      </c>
      <c r="G610" s="9">
        <v>65</v>
      </c>
      <c r="H610" s="9">
        <v>1.0025999999999999</v>
      </c>
      <c r="I610" s="9">
        <v>3.32</v>
      </c>
      <c r="J610" s="9">
        <v>0.64</v>
      </c>
      <c r="K610" s="9">
        <v>10.4</v>
      </c>
      <c r="L610" s="9">
        <v>6</v>
      </c>
    </row>
    <row r="611" spans="1:12" x14ac:dyDescent="0.3">
      <c r="A611" s="9">
        <v>6.3</v>
      </c>
      <c r="B611" s="9">
        <v>0.36</v>
      </c>
      <c r="C611" s="9">
        <v>0.19</v>
      </c>
      <c r="D611" s="9">
        <v>3.2</v>
      </c>
      <c r="E611" s="9">
        <v>7.4999999999999997E-2</v>
      </c>
      <c r="F611" s="9">
        <v>15</v>
      </c>
      <c r="G611" s="9">
        <v>39</v>
      </c>
      <c r="H611" s="9">
        <v>0.99560000000000004</v>
      </c>
      <c r="I611" s="9">
        <v>3.56</v>
      </c>
      <c r="J611" s="9">
        <v>0.52</v>
      </c>
      <c r="K611" s="9">
        <v>12.7</v>
      </c>
      <c r="L611" s="9">
        <v>6</v>
      </c>
    </row>
    <row r="612" spans="1:12" x14ac:dyDescent="0.3">
      <c r="A612" s="9">
        <v>8.8000000000000007</v>
      </c>
      <c r="B612" s="9">
        <v>0.24</v>
      </c>
      <c r="C612" s="9">
        <v>0.54</v>
      </c>
      <c r="D612" s="9">
        <v>2.5</v>
      </c>
      <c r="E612" s="9">
        <v>8.3000000000000004E-2</v>
      </c>
      <c r="F612" s="9">
        <v>25</v>
      </c>
      <c r="G612" s="9">
        <v>57</v>
      </c>
      <c r="H612" s="9">
        <v>0.99829999999999997</v>
      </c>
      <c r="I612" s="9">
        <v>3.39</v>
      </c>
      <c r="J612" s="9">
        <v>0.54</v>
      </c>
      <c r="K612" s="9">
        <v>9.1999999999999993</v>
      </c>
      <c r="L612" s="9">
        <v>5</v>
      </c>
    </row>
    <row r="613" spans="1:12" x14ac:dyDescent="0.3">
      <c r="A613" s="9">
        <v>13.2</v>
      </c>
      <c r="B613" s="9">
        <v>0.38</v>
      </c>
      <c r="C613" s="9">
        <v>0.55000000000000004</v>
      </c>
      <c r="D613" s="9">
        <v>2.7</v>
      </c>
      <c r="E613" s="9">
        <v>8.1000000000000003E-2</v>
      </c>
      <c r="F613" s="9">
        <v>5</v>
      </c>
      <c r="G613" s="9">
        <v>16</v>
      </c>
      <c r="H613" s="9">
        <v>1.0005999999999999</v>
      </c>
      <c r="I613" s="9">
        <v>2.98</v>
      </c>
      <c r="J613" s="9">
        <v>0.54</v>
      </c>
      <c r="K613" s="9">
        <v>9.4</v>
      </c>
      <c r="L613" s="9">
        <v>5</v>
      </c>
    </row>
    <row r="614" spans="1:12" x14ac:dyDescent="0.3">
      <c r="A614" s="9">
        <v>7.5</v>
      </c>
      <c r="B614" s="9">
        <v>0.64</v>
      </c>
      <c r="C614" s="9">
        <v>0</v>
      </c>
      <c r="D614" s="9">
        <v>2.4</v>
      </c>
      <c r="E614" s="9">
        <v>7.6999999999999999E-2</v>
      </c>
      <c r="F614" s="9">
        <v>18</v>
      </c>
      <c r="G614" s="9">
        <v>29</v>
      </c>
      <c r="H614" s="9">
        <v>0.99650000000000005</v>
      </c>
      <c r="I614" s="9">
        <v>3.32</v>
      </c>
      <c r="J614" s="9">
        <v>0.6</v>
      </c>
      <c r="K614" s="9">
        <v>10</v>
      </c>
      <c r="L614" s="9">
        <v>6</v>
      </c>
    </row>
    <row r="615" spans="1:12" x14ac:dyDescent="0.3">
      <c r="A615" s="9">
        <v>8.1999999999999993</v>
      </c>
      <c r="B615" s="9">
        <v>0.39</v>
      </c>
      <c r="C615" s="9">
        <v>0.38</v>
      </c>
      <c r="D615" s="9">
        <v>1.5</v>
      </c>
      <c r="E615" s="9">
        <v>5.8000000000000003E-2</v>
      </c>
      <c r="F615" s="9">
        <v>10</v>
      </c>
      <c r="G615" s="9">
        <v>29</v>
      </c>
      <c r="H615" s="9">
        <v>0.99619999999999997</v>
      </c>
      <c r="I615" s="9">
        <v>3.26</v>
      </c>
      <c r="J615" s="9">
        <v>0.74</v>
      </c>
      <c r="K615" s="9">
        <v>9.8000000000000007</v>
      </c>
      <c r="L615" s="9">
        <v>5</v>
      </c>
    </row>
    <row r="616" spans="1:12" x14ac:dyDescent="0.3">
      <c r="A616" s="9">
        <v>9.1999999999999993</v>
      </c>
      <c r="B616" s="9">
        <v>0.755</v>
      </c>
      <c r="C616" s="9">
        <v>0.18</v>
      </c>
      <c r="D616" s="9">
        <v>2.2000000000000002</v>
      </c>
      <c r="E616" s="9">
        <v>0.14799999999999999</v>
      </c>
      <c r="F616" s="9">
        <v>10</v>
      </c>
      <c r="G616" s="9">
        <v>103</v>
      </c>
      <c r="H616" s="9">
        <v>0.99690000000000001</v>
      </c>
      <c r="I616" s="9">
        <v>2.87</v>
      </c>
      <c r="J616" s="9">
        <v>1.36</v>
      </c>
      <c r="K616" s="9">
        <v>10.199999999999999</v>
      </c>
      <c r="L616" s="9">
        <v>6</v>
      </c>
    </row>
    <row r="617" spans="1:12" x14ac:dyDescent="0.3">
      <c r="A617" s="9">
        <v>9.6</v>
      </c>
      <c r="B617" s="9">
        <v>0.6</v>
      </c>
      <c r="C617" s="9">
        <v>0.5</v>
      </c>
      <c r="D617" s="9">
        <v>2.2999999999999998</v>
      </c>
      <c r="E617" s="9">
        <v>7.9000000000000001E-2</v>
      </c>
      <c r="F617" s="9">
        <v>28</v>
      </c>
      <c r="G617" s="9">
        <v>71</v>
      </c>
      <c r="H617" s="9">
        <v>0.99970000000000003</v>
      </c>
      <c r="I617" s="9">
        <v>3.5</v>
      </c>
      <c r="J617" s="9">
        <v>0.56999999999999995</v>
      </c>
      <c r="K617" s="9">
        <v>9.6999999999999993</v>
      </c>
      <c r="L617" s="9">
        <v>5</v>
      </c>
    </row>
    <row r="618" spans="1:12" x14ac:dyDescent="0.3">
      <c r="A618" s="9">
        <v>9.6</v>
      </c>
      <c r="B618" s="9">
        <v>0.6</v>
      </c>
      <c r="C618" s="9">
        <v>0.5</v>
      </c>
      <c r="D618" s="9">
        <v>2.2999999999999998</v>
      </c>
      <c r="E618" s="9">
        <v>7.9000000000000001E-2</v>
      </c>
      <c r="F618" s="9">
        <v>28</v>
      </c>
      <c r="G618" s="9">
        <v>71</v>
      </c>
      <c r="H618" s="9">
        <v>0.99970000000000003</v>
      </c>
      <c r="I618" s="9">
        <v>3.5</v>
      </c>
      <c r="J618" s="9">
        <v>0.56999999999999995</v>
      </c>
      <c r="K618" s="9">
        <v>9.6999999999999993</v>
      </c>
      <c r="L618" s="9">
        <v>5</v>
      </c>
    </row>
    <row r="619" spans="1:12" x14ac:dyDescent="0.3">
      <c r="A619" s="9">
        <v>11.5</v>
      </c>
      <c r="B619" s="9">
        <v>0.31</v>
      </c>
      <c r="C619" s="9">
        <v>0.51</v>
      </c>
      <c r="D619" s="9">
        <v>2.2000000000000002</v>
      </c>
      <c r="E619" s="9">
        <v>7.9000000000000001E-2</v>
      </c>
      <c r="F619" s="9">
        <v>14</v>
      </c>
      <c r="G619" s="9">
        <v>28</v>
      </c>
      <c r="H619" s="9">
        <v>0.99819999999999998</v>
      </c>
      <c r="I619" s="9">
        <v>3.03</v>
      </c>
      <c r="J619" s="9">
        <v>0.93</v>
      </c>
      <c r="K619" s="9">
        <v>9.8000000000000007</v>
      </c>
      <c r="L619" s="9">
        <v>6</v>
      </c>
    </row>
    <row r="620" spans="1:12" x14ac:dyDescent="0.3">
      <c r="A620" s="9">
        <v>11.4</v>
      </c>
      <c r="B620" s="9">
        <v>0.46</v>
      </c>
      <c r="C620" s="9">
        <v>0.5</v>
      </c>
      <c r="D620" s="9">
        <v>2.7</v>
      </c>
      <c r="E620" s="9">
        <v>0.122</v>
      </c>
      <c r="F620" s="9">
        <v>4</v>
      </c>
      <c r="G620" s="9">
        <v>17</v>
      </c>
      <c r="H620" s="9">
        <v>1.0005999999999999</v>
      </c>
      <c r="I620" s="9">
        <v>3.13</v>
      </c>
      <c r="J620" s="9">
        <v>0.7</v>
      </c>
      <c r="K620" s="9">
        <v>10.199999999999999</v>
      </c>
      <c r="L620" s="9">
        <v>5</v>
      </c>
    </row>
    <row r="621" spans="1:12" x14ac:dyDescent="0.3">
      <c r="A621" s="9">
        <v>11.3</v>
      </c>
      <c r="B621" s="9">
        <v>0.37</v>
      </c>
      <c r="C621" s="9">
        <v>0.41</v>
      </c>
      <c r="D621" s="9">
        <v>2.2999999999999998</v>
      </c>
      <c r="E621" s="9">
        <v>8.7999999999999995E-2</v>
      </c>
      <c r="F621" s="9">
        <v>6</v>
      </c>
      <c r="G621" s="9">
        <v>16</v>
      </c>
      <c r="H621" s="9">
        <v>0.99880000000000002</v>
      </c>
      <c r="I621" s="9">
        <v>3.09</v>
      </c>
      <c r="J621" s="9">
        <v>0.8</v>
      </c>
      <c r="K621" s="9">
        <v>9.3000000000000007</v>
      </c>
      <c r="L621" s="9">
        <v>5</v>
      </c>
    </row>
    <row r="622" spans="1:12" x14ac:dyDescent="0.3">
      <c r="A622" s="9">
        <v>8.3000000000000007</v>
      </c>
      <c r="B622" s="9">
        <v>0.54</v>
      </c>
      <c r="C622" s="9">
        <v>0.24</v>
      </c>
      <c r="D622" s="9">
        <v>3.4</v>
      </c>
      <c r="E622" s="9">
        <v>7.5999999999999998E-2</v>
      </c>
      <c r="F622" s="9">
        <v>16</v>
      </c>
      <c r="G622" s="9">
        <v>112</v>
      </c>
      <c r="H622" s="9">
        <v>0.99760000000000004</v>
      </c>
      <c r="I622" s="9">
        <v>3.27</v>
      </c>
      <c r="J622" s="9">
        <v>0.61</v>
      </c>
      <c r="K622" s="9">
        <v>9.4</v>
      </c>
      <c r="L622" s="9">
        <v>5</v>
      </c>
    </row>
    <row r="623" spans="1:12" x14ac:dyDescent="0.3">
      <c r="A623" s="9">
        <v>8.1999999999999993</v>
      </c>
      <c r="B623" s="9">
        <v>0.56000000000000005</v>
      </c>
      <c r="C623" s="9">
        <v>0.23</v>
      </c>
      <c r="D623" s="9">
        <v>3.4</v>
      </c>
      <c r="E623" s="9">
        <v>7.8E-2</v>
      </c>
      <c r="F623" s="9">
        <v>14</v>
      </c>
      <c r="G623" s="9">
        <v>104</v>
      </c>
      <c r="H623" s="9">
        <v>0.99760000000000004</v>
      </c>
      <c r="I623" s="9">
        <v>3.28</v>
      </c>
      <c r="J623" s="9">
        <v>0.62</v>
      </c>
      <c r="K623" s="9">
        <v>9.4</v>
      </c>
      <c r="L623" s="9">
        <v>5</v>
      </c>
    </row>
    <row r="624" spans="1:12" x14ac:dyDescent="0.3">
      <c r="A624" s="9">
        <v>10</v>
      </c>
      <c r="B624" s="9">
        <v>0.57999999999999996</v>
      </c>
      <c r="C624" s="9">
        <v>0.22</v>
      </c>
      <c r="D624" s="9">
        <v>1.9</v>
      </c>
      <c r="E624" s="9">
        <v>0.08</v>
      </c>
      <c r="F624" s="9">
        <v>9</v>
      </c>
      <c r="G624" s="9">
        <v>32</v>
      </c>
      <c r="H624" s="9">
        <v>0.99739999999999995</v>
      </c>
      <c r="I624" s="9">
        <v>3.13</v>
      </c>
      <c r="J624" s="9">
        <v>0.55000000000000004</v>
      </c>
      <c r="K624" s="9">
        <v>9.5</v>
      </c>
      <c r="L624" s="9">
        <v>5</v>
      </c>
    </row>
    <row r="625" spans="1:12" x14ac:dyDescent="0.3">
      <c r="A625" s="9">
        <v>7.9</v>
      </c>
      <c r="B625" s="9">
        <v>0.51</v>
      </c>
      <c r="C625" s="9">
        <v>0.25</v>
      </c>
      <c r="D625" s="9">
        <v>2.9</v>
      </c>
      <c r="E625" s="9">
        <v>7.6999999999999999E-2</v>
      </c>
      <c r="F625" s="9">
        <v>21</v>
      </c>
      <c r="G625" s="9">
        <v>45</v>
      </c>
      <c r="H625" s="9">
        <v>0.99739999999999995</v>
      </c>
      <c r="I625" s="9">
        <v>3.49</v>
      </c>
      <c r="J625" s="9">
        <v>0.96</v>
      </c>
      <c r="K625" s="9">
        <v>12.1</v>
      </c>
      <c r="L625" s="9">
        <v>6</v>
      </c>
    </row>
    <row r="626" spans="1:12" x14ac:dyDescent="0.3">
      <c r="A626" s="9">
        <v>6.8</v>
      </c>
      <c r="B626" s="9">
        <v>0.69</v>
      </c>
      <c r="C626" s="9">
        <v>0</v>
      </c>
      <c r="D626" s="9">
        <v>5.6</v>
      </c>
      <c r="E626" s="9">
        <v>0.124</v>
      </c>
      <c r="F626" s="9">
        <v>21</v>
      </c>
      <c r="G626" s="9">
        <v>58</v>
      </c>
      <c r="H626" s="9">
        <v>0.99970000000000003</v>
      </c>
      <c r="I626" s="9">
        <v>3.46</v>
      </c>
      <c r="J626" s="9">
        <v>0.72</v>
      </c>
      <c r="K626" s="9">
        <v>10.199999999999999</v>
      </c>
      <c r="L626" s="9">
        <v>5</v>
      </c>
    </row>
    <row r="627" spans="1:12" x14ac:dyDescent="0.3">
      <c r="A627" s="9">
        <v>6.8</v>
      </c>
      <c r="B627" s="9">
        <v>0.69</v>
      </c>
      <c r="C627" s="9">
        <v>0</v>
      </c>
      <c r="D627" s="9">
        <v>5.6</v>
      </c>
      <c r="E627" s="9">
        <v>0.124</v>
      </c>
      <c r="F627" s="9">
        <v>21</v>
      </c>
      <c r="G627" s="9">
        <v>58</v>
      </c>
      <c r="H627" s="9">
        <v>0.99970000000000003</v>
      </c>
      <c r="I627" s="9">
        <v>3.46</v>
      </c>
      <c r="J627" s="9">
        <v>0.72</v>
      </c>
      <c r="K627" s="9">
        <v>10.199999999999999</v>
      </c>
      <c r="L627" s="9">
        <v>5</v>
      </c>
    </row>
    <row r="628" spans="1:12" x14ac:dyDescent="0.3">
      <c r="A628" s="9">
        <v>8.8000000000000007</v>
      </c>
      <c r="B628" s="9">
        <v>0.6</v>
      </c>
      <c r="C628" s="9">
        <v>0.28999999999999998</v>
      </c>
      <c r="D628" s="9">
        <v>2.2000000000000002</v>
      </c>
      <c r="E628" s="9">
        <v>9.8000000000000004E-2</v>
      </c>
      <c r="F628" s="9">
        <v>5</v>
      </c>
      <c r="G628" s="9">
        <v>15</v>
      </c>
      <c r="H628" s="9">
        <v>0.99880000000000002</v>
      </c>
      <c r="I628" s="9">
        <v>3.36</v>
      </c>
      <c r="J628" s="9">
        <v>0.49</v>
      </c>
      <c r="K628" s="9">
        <v>9.1</v>
      </c>
      <c r="L628" s="9">
        <v>5</v>
      </c>
    </row>
    <row r="629" spans="1:12" x14ac:dyDescent="0.3">
      <c r="A629" s="9">
        <v>8.8000000000000007</v>
      </c>
      <c r="B629" s="9">
        <v>0.6</v>
      </c>
      <c r="C629" s="9">
        <v>0.28999999999999998</v>
      </c>
      <c r="D629" s="9">
        <v>2.2000000000000002</v>
      </c>
      <c r="E629" s="9">
        <v>9.8000000000000004E-2</v>
      </c>
      <c r="F629" s="9">
        <v>5</v>
      </c>
      <c r="G629" s="9">
        <v>15</v>
      </c>
      <c r="H629" s="9">
        <v>0.99880000000000002</v>
      </c>
      <c r="I629" s="9">
        <v>3.36</v>
      </c>
      <c r="J629" s="9">
        <v>0.49</v>
      </c>
      <c r="K629" s="9">
        <v>9.1</v>
      </c>
      <c r="L629" s="9">
        <v>5</v>
      </c>
    </row>
    <row r="630" spans="1:12" x14ac:dyDescent="0.3">
      <c r="A630" s="9">
        <v>8.6999999999999993</v>
      </c>
      <c r="B630" s="9">
        <v>0.54</v>
      </c>
      <c r="C630" s="9">
        <v>0.26</v>
      </c>
      <c r="D630" s="9">
        <v>2.5</v>
      </c>
      <c r="E630" s="9">
        <v>9.7000000000000003E-2</v>
      </c>
      <c r="F630" s="9">
        <v>7</v>
      </c>
      <c r="G630" s="9">
        <v>31</v>
      </c>
      <c r="H630" s="9">
        <v>0.99760000000000004</v>
      </c>
      <c r="I630" s="9">
        <v>3.27</v>
      </c>
      <c r="J630" s="9">
        <v>0.6</v>
      </c>
      <c r="K630" s="9">
        <v>9.3000000000000007</v>
      </c>
      <c r="L630" s="9">
        <v>6</v>
      </c>
    </row>
    <row r="631" spans="1:12" x14ac:dyDescent="0.3">
      <c r="A631" s="9">
        <v>7.6</v>
      </c>
      <c r="B631" s="9">
        <v>0.68500000000000005</v>
      </c>
      <c r="C631" s="9">
        <v>0.23</v>
      </c>
      <c r="D631" s="9">
        <v>2.2999999999999998</v>
      </c>
      <c r="E631" s="9">
        <v>0.111</v>
      </c>
      <c r="F631" s="9">
        <v>20</v>
      </c>
      <c r="G631" s="9">
        <v>84</v>
      </c>
      <c r="H631" s="9">
        <v>0.99639999999999995</v>
      </c>
      <c r="I631" s="9">
        <v>3.21</v>
      </c>
      <c r="J631" s="9">
        <v>0.61</v>
      </c>
      <c r="K631" s="9">
        <v>9.3000000000000007</v>
      </c>
      <c r="L631" s="9">
        <v>5</v>
      </c>
    </row>
    <row r="632" spans="1:12" x14ac:dyDescent="0.3">
      <c r="A632" s="9">
        <v>8.6999999999999993</v>
      </c>
      <c r="B632" s="9">
        <v>0.54</v>
      </c>
      <c r="C632" s="9">
        <v>0.26</v>
      </c>
      <c r="D632" s="9">
        <v>2.5</v>
      </c>
      <c r="E632" s="9">
        <v>9.7000000000000003E-2</v>
      </c>
      <c r="F632" s="9">
        <v>7</v>
      </c>
      <c r="G632" s="9">
        <v>31</v>
      </c>
      <c r="H632" s="9">
        <v>0.99760000000000004</v>
      </c>
      <c r="I632" s="9">
        <v>3.27</v>
      </c>
      <c r="J632" s="9">
        <v>0.6</v>
      </c>
      <c r="K632" s="9">
        <v>9.3000000000000007</v>
      </c>
      <c r="L632" s="9">
        <v>6</v>
      </c>
    </row>
    <row r="633" spans="1:12" x14ac:dyDescent="0.3">
      <c r="A633" s="9">
        <v>10.4</v>
      </c>
      <c r="B633" s="9">
        <v>0.28000000000000003</v>
      </c>
      <c r="C633" s="9">
        <v>0.54</v>
      </c>
      <c r="D633" s="9">
        <v>2.7</v>
      </c>
      <c r="E633" s="9">
        <v>0.105</v>
      </c>
      <c r="F633" s="9">
        <v>5</v>
      </c>
      <c r="G633" s="9">
        <v>19</v>
      </c>
      <c r="H633" s="9">
        <v>0.99880000000000002</v>
      </c>
      <c r="I633" s="9">
        <v>3.25</v>
      </c>
      <c r="J633" s="9">
        <v>0.63</v>
      </c>
      <c r="K633" s="9">
        <v>9.5</v>
      </c>
      <c r="L633" s="9">
        <v>5</v>
      </c>
    </row>
    <row r="634" spans="1:12" x14ac:dyDescent="0.3">
      <c r="A634" s="9">
        <v>7.6</v>
      </c>
      <c r="B634" s="9">
        <v>0.41</v>
      </c>
      <c r="C634" s="9">
        <v>0.14000000000000001</v>
      </c>
      <c r="D634" s="9">
        <v>3</v>
      </c>
      <c r="E634" s="9">
        <v>8.6999999999999994E-2</v>
      </c>
      <c r="F634" s="9">
        <v>21</v>
      </c>
      <c r="G634" s="9">
        <v>43</v>
      </c>
      <c r="H634" s="9">
        <v>0.99639999999999995</v>
      </c>
      <c r="I634" s="9">
        <v>3.32</v>
      </c>
      <c r="J634" s="9">
        <v>0.56999999999999995</v>
      </c>
      <c r="K634" s="9">
        <v>10.5</v>
      </c>
      <c r="L634" s="9">
        <v>6</v>
      </c>
    </row>
    <row r="635" spans="1:12" x14ac:dyDescent="0.3">
      <c r="A635" s="9">
        <v>10.1</v>
      </c>
      <c r="B635" s="9">
        <v>0.93500000000000005</v>
      </c>
      <c r="C635" s="9">
        <v>0.22</v>
      </c>
      <c r="D635" s="9">
        <v>3.4</v>
      </c>
      <c r="E635" s="9">
        <v>0.105</v>
      </c>
      <c r="F635" s="9">
        <v>11</v>
      </c>
      <c r="G635" s="9">
        <v>86</v>
      </c>
      <c r="H635" s="9">
        <v>1.0009999999999999</v>
      </c>
      <c r="I635" s="9">
        <v>3.43</v>
      </c>
      <c r="J635" s="9">
        <v>0.64</v>
      </c>
      <c r="K635" s="9">
        <v>11.3</v>
      </c>
      <c r="L635" s="9">
        <v>4</v>
      </c>
    </row>
    <row r="636" spans="1:12" x14ac:dyDescent="0.3">
      <c r="A636" s="9">
        <v>7.9</v>
      </c>
      <c r="B636" s="9">
        <v>0.35</v>
      </c>
      <c r="C636" s="9">
        <v>0.21</v>
      </c>
      <c r="D636" s="9">
        <v>1.9</v>
      </c>
      <c r="E636" s="9">
        <v>7.2999999999999995E-2</v>
      </c>
      <c r="F636" s="9">
        <v>46</v>
      </c>
      <c r="G636" s="9">
        <v>102</v>
      </c>
      <c r="H636" s="9">
        <v>0.99639999999999995</v>
      </c>
      <c r="I636" s="9">
        <v>3.27</v>
      </c>
      <c r="J636" s="9">
        <v>0.57999999999999996</v>
      </c>
      <c r="K636" s="9">
        <v>9.5</v>
      </c>
      <c r="L636" s="9">
        <v>5</v>
      </c>
    </row>
    <row r="637" spans="1:12" x14ac:dyDescent="0.3">
      <c r="A637" s="9">
        <v>8.6999999999999993</v>
      </c>
      <c r="B637" s="9">
        <v>0.84</v>
      </c>
      <c r="C637" s="9">
        <v>0</v>
      </c>
      <c r="D637" s="9">
        <v>1.4</v>
      </c>
      <c r="E637" s="9">
        <v>6.5000000000000002E-2</v>
      </c>
      <c r="F637" s="9">
        <v>24</v>
      </c>
      <c r="G637" s="9">
        <v>33</v>
      </c>
      <c r="H637" s="9">
        <v>0.99539999999999995</v>
      </c>
      <c r="I637" s="9">
        <v>3.27</v>
      </c>
      <c r="J637" s="9">
        <v>0.55000000000000004</v>
      </c>
      <c r="K637" s="9">
        <v>9.6999999999999993</v>
      </c>
      <c r="L637" s="9">
        <v>5</v>
      </c>
    </row>
    <row r="638" spans="1:12" x14ac:dyDescent="0.3">
      <c r="A638" s="9">
        <v>9.6</v>
      </c>
      <c r="B638" s="9">
        <v>0.88</v>
      </c>
      <c r="C638" s="9">
        <v>0.28000000000000003</v>
      </c>
      <c r="D638" s="9">
        <v>2.4</v>
      </c>
      <c r="E638" s="9">
        <v>8.5999999999999993E-2</v>
      </c>
      <c r="F638" s="9">
        <v>30</v>
      </c>
      <c r="G638" s="9">
        <v>147</v>
      </c>
      <c r="H638" s="9">
        <v>0.99790000000000001</v>
      </c>
      <c r="I638" s="9">
        <v>3.24</v>
      </c>
      <c r="J638" s="9">
        <v>0.53</v>
      </c>
      <c r="K638" s="9">
        <v>9.4</v>
      </c>
      <c r="L638" s="9">
        <v>5</v>
      </c>
    </row>
    <row r="639" spans="1:12" x14ac:dyDescent="0.3">
      <c r="A639" s="9">
        <v>9.5</v>
      </c>
      <c r="B639" s="9">
        <v>0.88500000000000001</v>
      </c>
      <c r="C639" s="9">
        <v>0.27</v>
      </c>
      <c r="D639" s="9">
        <v>2.2999999999999998</v>
      </c>
      <c r="E639" s="9">
        <v>8.4000000000000005E-2</v>
      </c>
      <c r="F639" s="9">
        <v>31</v>
      </c>
      <c r="G639" s="9">
        <v>145</v>
      </c>
      <c r="H639" s="9">
        <v>0.99780000000000002</v>
      </c>
      <c r="I639" s="9">
        <v>3.24</v>
      </c>
      <c r="J639" s="9">
        <v>0.53</v>
      </c>
      <c r="K639" s="9">
        <v>9.4</v>
      </c>
      <c r="L639" s="9">
        <v>5</v>
      </c>
    </row>
    <row r="640" spans="1:12" x14ac:dyDescent="0.3">
      <c r="A640" s="9">
        <v>7.7</v>
      </c>
      <c r="B640" s="9">
        <v>0.91500000000000004</v>
      </c>
      <c r="C640" s="9">
        <v>0.12</v>
      </c>
      <c r="D640" s="9">
        <v>2.2000000000000002</v>
      </c>
      <c r="E640" s="9">
        <v>0.14299999999999999</v>
      </c>
      <c r="F640" s="9">
        <v>7</v>
      </c>
      <c r="G640" s="9">
        <v>23</v>
      </c>
      <c r="H640" s="9">
        <v>0.99639999999999995</v>
      </c>
      <c r="I640" s="9">
        <v>3.35</v>
      </c>
      <c r="J640" s="9">
        <v>0.65</v>
      </c>
      <c r="K640" s="9">
        <v>10.199999999999999</v>
      </c>
      <c r="L640" s="9">
        <v>7</v>
      </c>
    </row>
    <row r="641" spans="1:12" x14ac:dyDescent="0.3">
      <c r="A641" s="9">
        <v>8.9</v>
      </c>
      <c r="B641" s="9">
        <v>0.28999999999999998</v>
      </c>
      <c r="C641" s="9">
        <v>0.35</v>
      </c>
      <c r="D641" s="9">
        <v>1.9</v>
      </c>
      <c r="E641" s="9">
        <v>6.7000000000000004E-2</v>
      </c>
      <c r="F641" s="9">
        <v>25</v>
      </c>
      <c r="G641" s="9">
        <v>57</v>
      </c>
      <c r="H641" s="9">
        <v>0.997</v>
      </c>
      <c r="I641" s="9">
        <v>3.18</v>
      </c>
      <c r="J641" s="9">
        <v>1.36</v>
      </c>
      <c r="K641" s="9">
        <v>10.3</v>
      </c>
      <c r="L641" s="9">
        <v>6</v>
      </c>
    </row>
    <row r="642" spans="1:12" x14ac:dyDescent="0.3">
      <c r="A642" s="9">
        <v>9.9</v>
      </c>
      <c r="B642" s="9">
        <v>0.54</v>
      </c>
      <c r="C642" s="9">
        <v>0.45</v>
      </c>
      <c r="D642" s="9">
        <v>2.2999999999999998</v>
      </c>
      <c r="E642" s="9">
        <v>7.0999999999999994E-2</v>
      </c>
      <c r="F642" s="9">
        <v>16</v>
      </c>
      <c r="G642" s="9">
        <v>40</v>
      </c>
      <c r="H642" s="9">
        <v>0.99909999999999999</v>
      </c>
      <c r="I642" s="9">
        <v>3.39</v>
      </c>
      <c r="J642" s="9">
        <v>0.62</v>
      </c>
      <c r="K642" s="9">
        <v>9.4</v>
      </c>
      <c r="L642" s="9">
        <v>5</v>
      </c>
    </row>
    <row r="643" spans="1:12" x14ac:dyDescent="0.3">
      <c r="A643" s="9">
        <v>9.5</v>
      </c>
      <c r="B643" s="9">
        <v>0.59</v>
      </c>
      <c r="C643" s="9">
        <v>0.44</v>
      </c>
      <c r="D643" s="9">
        <v>2.2999999999999998</v>
      </c>
      <c r="E643" s="9">
        <v>7.0999999999999994E-2</v>
      </c>
      <c r="F643" s="9">
        <v>21</v>
      </c>
      <c r="G643" s="9">
        <v>68</v>
      </c>
      <c r="H643" s="9">
        <v>0.99919999999999998</v>
      </c>
      <c r="I643" s="9">
        <v>3.46</v>
      </c>
      <c r="J643" s="9">
        <v>0.63</v>
      </c>
      <c r="K643" s="9">
        <v>9.5</v>
      </c>
      <c r="L643" s="9">
        <v>5</v>
      </c>
    </row>
    <row r="644" spans="1:12" x14ac:dyDescent="0.3">
      <c r="A644" s="9">
        <v>9.9</v>
      </c>
      <c r="B644" s="9">
        <v>0.54</v>
      </c>
      <c r="C644" s="9">
        <v>0.45</v>
      </c>
      <c r="D644" s="9">
        <v>2.2999999999999998</v>
      </c>
      <c r="E644" s="9">
        <v>7.0999999999999994E-2</v>
      </c>
      <c r="F644" s="9">
        <v>16</v>
      </c>
      <c r="G644" s="9">
        <v>40</v>
      </c>
      <c r="H644" s="9">
        <v>0.99909999999999999</v>
      </c>
      <c r="I644" s="9">
        <v>3.39</v>
      </c>
      <c r="J644" s="9">
        <v>0.62</v>
      </c>
      <c r="K644" s="9">
        <v>9.4</v>
      </c>
      <c r="L644" s="9">
        <v>5</v>
      </c>
    </row>
    <row r="645" spans="1:12" x14ac:dyDescent="0.3">
      <c r="A645" s="9">
        <v>9.5</v>
      </c>
      <c r="B645" s="9">
        <v>0.59</v>
      </c>
      <c r="C645" s="9">
        <v>0.44</v>
      </c>
      <c r="D645" s="9">
        <v>2.2999999999999998</v>
      </c>
      <c r="E645" s="9">
        <v>7.0999999999999994E-2</v>
      </c>
      <c r="F645" s="9">
        <v>21</v>
      </c>
      <c r="G645" s="9">
        <v>68</v>
      </c>
      <c r="H645" s="9">
        <v>0.99919999999999998</v>
      </c>
      <c r="I645" s="9">
        <v>3.46</v>
      </c>
      <c r="J645" s="9">
        <v>0.63</v>
      </c>
      <c r="K645" s="9">
        <v>9.5</v>
      </c>
      <c r="L645" s="9">
        <v>5</v>
      </c>
    </row>
    <row r="646" spans="1:12" x14ac:dyDescent="0.3">
      <c r="A646" s="9">
        <v>9.9</v>
      </c>
      <c r="B646" s="9">
        <v>0.54</v>
      </c>
      <c r="C646" s="9">
        <v>0.45</v>
      </c>
      <c r="D646" s="9">
        <v>2.2999999999999998</v>
      </c>
      <c r="E646" s="9">
        <v>7.0999999999999994E-2</v>
      </c>
      <c r="F646" s="9">
        <v>16</v>
      </c>
      <c r="G646" s="9">
        <v>40</v>
      </c>
      <c r="H646" s="9">
        <v>0.99909999999999999</v>
      </c>
      <c r="I646" s="9">
        <v>3.39</v>
      </c>
      <c r="J646" s="9">
        <v>0.62</v>
      </c>
      <c r="K646" s="9">
        <v>9.4</v>
      </c>
      <c r="L646" s="9">
        <v>5</v>
      </c>
    </row>
    <row r="647" spans="1:12" x14ac:dyDescent="0.3">
      <c r="A647" s="9">
        <v>7.8</v>
      </c>
      <c r="B647" s="9">
        <v>0.64</v>
      </c>
      <c r="C647" s="9">
        <v>0.1</v>
      </c>
      <c r="D647" s="9">
        <v>6</v>
      </c>
      <c r="E647" s="9">
        <v>0.115</v>
      </c>
      <c r="F647" s="9">
        <v>5</v>
      </c>
      <c r="G647" s="9">
        <v>11</v>
      </c>
      <c r="H647" s="9">
        <v>0.99839999999999995</v>
      </c>
      <c r="I647" s="9">
        <v>3.37</v>
      </c>
      <c r="J647" s="9">
        <v>0.69</v>
      </c>
      <c r="K647" s="9">
        <v>10.1</v>
      </c>
      <c r="L647" s="9">
        <v>7</v>
      </c>
    </row>
    <row r="648" spans="1:12" x14ac:dyDescent="0.3">
      <c r="A648" s="9">
        <v>7.3</v>
      </c>
      <c r="B648" s="9">
        <v>0.67</v>
      </c>
      <c r="C648" s="9">
        <v>0.05</v>
      </c>
      <c r="D648" s="9">
        <v>3.6</v>
      </c>
      <c r="E648" s="9">
        <v>0.107</v>
      </c>
      <c r="F648" s="9">
        <v>6</v>
      </c>
      <c r="G648" s="9">
        <v>20</v>
      </c>
      <c r="H648" s="9">
        <v>0.99719999999999998</v>
      </c>
      <c r="I648" s="9">
        <v>3.4</v>
      </c>
      <c r="J648" s="9">
        <v>0.63</v>
      </c>
      <c r="K648" s="9">
        <v>10.1</v>
      </c>
      <c r="L648" s="9">
        <v>5</v>
      </c>
    </row>
    <row r="649" spans="1:12" x14ac:dyDescent="0.3">
      <c r="A649" s="9">
        <v>8.3000000000000007</v>
      </c>
      <c r="B649" s="9">
        <v>0.84499999999999997</v>
      </c>
      <c r="C649" s="9">
        <v>0.01</v>
      </c>
      <c r="D649" s="9">
        <v>2.2000000000000002</v>
      </c>
      <c r="E649" s="9">
        <v>7.0000000000000007E-2</v>
      </c>
      <c r="F649" s="9">
        <v>5</v>
      </c>
      <c r="G649" s="9">
        <v>14</v>
      </c>
      <c r="H649" s="9">
        <v>0.99670000000000003</v>
      </c>
      <c r="I649" s="9">
        <v>3.32</v>
      </c>
      <c r="J649" s="9">
        <v>0.57999999999999996</v>
      </c>
      <c r="K649" s="9">
        <v>11</v>
      </c>
      <c r="L649" s="9">
        <v>4</v>
      </c>
    </row>
    <row r="650" spans="1:12" x14ac:dyDescent="0.3">
      <c r="A650" s="9">
        <v>8.6999999999999993</v>
      </c>
      <c r="B650" s="9">
        <v>0.48</v>
      </c>
      <c r="C650" s="9">
        <v>0.3</v>
      </c>
      <c r="D650" s="9">
        <v>2.8</v>
      </c>
      <c r="E650" s="9">
        <v>6.6000000000000003E-2</v>
      </c>
      <c r="F650" s="9">
        <v>10</v>
      </c>
      <c r="G650" s="9">
        <v>28</v>
      </c>
      <c r="H650" s="9">
        <v>0.99639999999999995</v>
      </c>
      <c r="I650" s="9">
        <v>3.33</v>
      </c>
      <c r="J650" s="9">
        <v>0.67</v>
      </c>
      <c r="K650" s="9">
        <v>11.2</v>
      </c>
      <c r="L650" s="9">
        <v>7</v>
      </c>
    </row>
    <row r="651" spans="1:12" x14ac:dyDescent="0.3">
      <c r="A651" s="9">
        <v>6.7</v>
      </c>
      <c r="B651" s="9">
        <v>0.42</v>
      </c>
      <c r="C651" s="9">
        <v>0.27</v>
      </c>
      <c r="D651" s="9">
        <v>8.6</v>
      </c>
      <c r="E651" s="9">
        <v>6.8000000000000005E-2</v>
      </c>
      <c r="F651" s="9">
        <v>24</v>
      </c>
      <c r="G651" s="9">
        <v>148</v>
      </c>
      <c r="H651" s="9">
        <v>0.99480000000000002</v>
      </c>
      <c r="I651" s="9">
        <v>3.16</v>
      </c>
      <c r="J651" s="9">
        <v>0.56999999999999995</v>
      </c>
      <c r="K651" s="9">
        <v>11.3</v>
      </c>
      <c r="L651" s="9">
        <v>6</v>
      </c>
    </row>
    <row r="652" spans="1:12" x14ac:dyDescent="0.3">
      <c r="A652" s="9">
        <v>10.7</v>
      </c>
      <c r="B652" s="9">
        <v>0.43</v>
      </c>
      <c r="C652" s="9">
        <v>0.39</v>
      </c>
      <c r="D652" s="9">
        <v>2.2000000000000002</v>
      </c>
      <c r="E652" s="9">
        <v>0.106</v>
      </c>
      <c r="F652" s="9">
        <v>8</v>
      </c>
      <c r="G652" s="9">
        <v>32</v>
      </c>
      <c r="H652" s="9">
        <v>0.99860000000000004</v>
      </c>
      <c r="I652" s="9">
        <v>2.89</v>
      </c>
      <c r="J652" s="9">
        <v>0.5</v>
      </c>
      <c r="K652" s="9">
        <v>9.6</v>
      </c>
      <c r="L652" s="9">
        <v>5</v>
      </c>
    </row>
    <row r="653" spans="1:12" x14ac:dyDescent="0.3">
      <c r="A653" s="9">
        <v>9.8000000000000007</v>
      </c>
      <c r="B653" s="9">
        <v>0.88</v>
      </c>
      <c r="C653" s="9">
        <v>0.25</v>
      </c>
      <c r="D653" s="9">
        <v>2.5</v>
      </c>
      <c r="E653" s="9">
        <v>0.104</v>
      </c>
      <c r="F653" s="9">
        <v>35</v>
      </c>
      <c r="G653" s="9">
        <v>155</v>
      </c>
      <c r="H653" s="9">
        <v>1.0009999999999999</v>
      </c>
      <c r="I653" s="9">
        <v>3.41</v>
      </c>
      <c r="J653" s="9">
        <v>0.67</v>
      </c>
      <c r="K653" s="9">
        <v>11.2</v>
      </c>
      <c r="L653" s="9">
        <v>5</v>
      </c>
    </row>
    <row r="654" spans="1:12" x14ac:dyDescent="0.3">
      <c r="A654" s="9">
        <v>15.9</v>
      </c>
      <c r="B654" s="9">
        <v>0.36</v>
      </c>
      <c r="C654" s="9">
        <v>0.65</v>
      </c>
      <c r="D654" s="9">
        <v>7.5</v>
      </c>
      <c r="E654" s="9">
        <v>9.6000000000000002E-2</v>
      </c>
      <c r="F654" s="9">
        <v>22</v>
      </c>
      <c r="G654" s="9">
        <v>71</v>
      </c>
      <c r="H654" s="9">
        <v>0.99760000000000004</v>
      </c>
      <c r="I654" s="9">
        <v>2.98</v>
      </c>
      <c r="J654" s="9">
        <v>0.84</v>
      </c>
      <c r="K654" s="9">
        <v>14.9</v>
      </c>
      <c r="L654" s="9">
        <v>5</v>
      </c>
    </row>
    <row r="655" spans="1:12" x14ac:dyDescent="0.3">
      <c r="A655" s="9">
        <v>9.4</v>
      </c>
      <c r="B655" s="9">
        <v>0.33</v>
      </c>
      <c r="C655" s="9">
        <v>0.59</v>
      </c>
      <c r="D655" s="9">
        <v>2.8</v>
      </c>
      <c r="E655" s="9">
        <v>7.9000000000000001E-2</v>
      </c>
      <c r="F655" s="9">
        <v>9</v>
      </c>
      <c r="G655" s="9">
        <v>30</v>
      </c>
      <c r="H655" s="9">
        <v>0.99760000000000004</v>
      </c>
      <c r="I655" s="9">
        <v>3.12</v>
      </c>
      <c r="J655" s="9">
        <v>0.54</v>
      </c>
      <c r="K655" s="9">
        <v>12</v>
      </c>
      <c r="L655" s="9">
        <v>6</v>
      </c>
    </row>
    <row r="656" spans="1:12" x14ac:dyDescent="0.3">
      <c r="A656" s="9">
        <v>8.6</v>
      </c>
      <c r="B656" s="9">
        <v>0.47</v>
      </c>
      <c r="C656" s="9">
        <v>0.47</v>
      </c>
      <c r="D656" s="9">
        <v>2.4</v>
      </c>
      <c r="E656" s="9">
        <v>7.3999999999999996E-2</v>
      </c>
      <c r="F656" s="9">
        <v>7</v>
      </c>
      <c r="G656" s="9">
        <v>29</v>
      </c>
      <c r="H656" s="9">
        <v>0.99790000000000001</v>
      </c>
      <c r="I656" s="9">
        <v>3.08</v>
      </c>
      <c r="J656" s="9">
        <v>0.46</v>
      </c>
      <c r="K656" s="9">
        <v>9.5</v>
      </c>
      <c r="L656" s="9">
        <v>5</v>
      </c>
    </row>
    <row r="657" spans="1:12" x14ac:dyDescent="0.3">
      <c r="A657" s="9">
        <v>9.6999999999999993</v>
      </c>
      <c r="B657" s="9">
        <v>0.55000000000000004</v>
      </c>
      <c r="C657" s="9">
        <v>0.17</v>
      </c>
      <c r="D657" s="9">
        <v>2.9</v>
      </c>
      <c r="E657" s="9">
        <v>8.6999999999999994E-2</v>
      </c>
      <c r="F657" s="9">
        <v>20</v>
      </c>
      <c r="G657" s="9">
        <v>53</v>
      </c>
      <c r="H657" s="9">
        <v>1.0004</v>
      </c>
      <c r="I657" s="9">
        <v>3.14</v>
      </c>
      <c r="J657" s="9">
        <v>0.61</v>
      </c>
      <c r="K657" s="9">
        <v>9.4</v>
      </c>
      <c r="L657" s="9">
        <v>5</v>
      </c>
    </row>
    <row r="658" spans="1:12" x14ac:dyDescent="0.3">
      <c r="A658" s="9">
        <v>10.7</v>
      </c>
      <c r="B658" s="9">
        <v>0.43</v>
      </c>
      <c r="C658" s="9">
        <v>0.39</v>
      </c>
      <c r="D658" s="9">
        <v>2.2000000000000002</v>
      </c>
      <c r="E658" s="9">
        <v>0.106</v>
      </c>
      <c r="F658" s="9">
        <v>8</v>
      </c>
      <c r="G658" s="9">
        <v>32</v>
      </c>
      <c r="H658" s="9">
        <v>0.99860000000000004</v>
      </c>
      <c r="I658" s="9">
        <v>2.89</v>
      </c>
      <c r="J658" s="9">
        <v>0.5</v>
      </c>
      <c r="K658" s="9">
        <v>9.6</v>
      </c>
      <c r="L658" s="9">
        <v>5</v>
      </c>
    </row>
    <row r="659" spans="1:12" x14ac:dyDescent="0.3">
      <c r="A659" s="9">
        <v>12</v>
      </c>
      <c r="B659" s="9">
        <v>0.5</v>
      </c>
      <c r="C659" s="9">
        <v>0.59</v>
      </c>
      <c r="D659" s="9">
        <v>1.4</v>
      </c>
      <c r="E659" s="9">
        <v>7.2999999999999995E-2</v>
      </c>
      <c r="F659" s="9">
        <v>23</v>
      </c>
      <c r="G659" s="9">
        <v>42</v>
      </c>
      <c r="H659" s="9">
        <v>0.998</v>
      </c>
      <c r="I659" s="9">
        <v>2.92</v>
      </c>
      <c r="J659" s="9">
        <v>0.68</v>
      </c>
      <c r="K659" s="9">
        <v>10.5</v>
      </c>
      <c r="L659" s="9">
        <v>7</v>
      </c>
    </row>
    <row r="660" spans="1:12" x14ac:dyDescent="0.3">
      <c r="A660" s="9">
        <v>7.2</v>
      </c>
      <c r="B660" s="9">
        <v>0.52</v>
      </c>
      <c r="C660" s="9">
        <v>7.0000000000000007E-2</v>
      </c>
      <c r="D660" s="9">
        <v>1.4</v>
      </c>
      <c r="E660" s="9">
        <v>7.3999999999999996E-2</v>
      </c>
      <c r="F660" s="9">
        <v>5</v>
      </c>
      <c r="G660" s="9">
        <v>20</v>
      </c>
      <c r="H660" s="9">
        <v>0.99729999999999996</v>
      </c>
      <c r="I660" s="9">
        <v>3.32</v>
      </c>
      <c r="J660" s="9">
        <v>0.81</v>
      </c>
      <c r="K660" s="9">
        <v>9.6</v>
      </c>
      <c r="L660" s="9">
        <v>6</v>
      </c>
    </row>
    <row r="661" spans="1:12" x14ac:dyDescent="0.3">
      <c r="A661" s="9">
        <v>7.1</v>
      </c>
      <c r="B661" s="9">
        <v>0.84</v>
      </c>
      <c r="C661" s="9">
        <v>0.02</v>
      </c>
      <c r="D661" s="9">
        <v>4.4000000000000004</v>
      </c>
      <c r="E661" s="9">
        <v>9.6000000000000002E-2</v>
      </c>
      <c r="F661" s="9">
        <v>5</v>
      </c>
      <c r="G661" s="9">
        <v>13</v>
      </c>
      <c r="H661" s="9">
        <v>0.997</v>
      </c>
      <c r="I661" s="9">
        <v>3.41</v>
      </c>
      <c r="J661" s="9">
        <v>0.56999999999999995</v>
      </c>
      <c r="K661" s="9">
        <v>11</v>
      </c>
      <c r="L661" s="9">
        <v>4</v>
      </c>
    </row>
    <row r="662" spans="1:12" x14ac:dyDescent="0.3">
      <c r="A662" s="9">
        <v>7.2</v>
      </c>
      <c r="B662" s="9">
        <v>0.52</v>
      </c>
      <c r="C662" s="9">
        <v>7.0000000000000007E-2</v>
      </c>
      <c r="D662" s="9">
        <v>1.4</v>
      </c>
      <c r="E662" s="9">
        <v>7.3999999999999996E-2</v>
      </c>
      <c r="F662" s="9">
        <v>5</v>
      </c>
      <c r="G662" s="9">
        <v>20</v>
      </c>
      <c r="H662" s="9">
        <v>0.99729999999999996</v>
      </c>
      <c r="I662" s="9">
        <v>3.32</v>
      </c>
      <c r="J662" s="9">
        <v>0.81</v>
      </c>
      <c r="K662" s="9">
        <v>9.6</v>
      </c>
      <c r="L662" s="9">
        <v>6</v>
      </c>
    </row>
    <row r="663" spans="1:12" x14ac:dyDescent="0.3">
      <c r="A663" s="9">
        <v>7.5</v>
      </c>
      <c r="B663" s="9">
        <v>0.42</v>
      </c>
      <c r="C663" s="9">
        <v>0.31</v>
      </c>
      <c r="D663" s="9">
        <v>1.6</v>
      </c>
      <c r="E663" s="9">
        <v>0.08</v>
      </c>
      <c r="F663" s="9">
        <v>15</v>
      </c>
      <c r="G663" s="9">
        <v>42</v>
      </c>
      <c r="H663" s="9">
        <v>0.99780000000000002</v>
      </c>
      <c r="I663" s="9">
        <v>3.31</v>
      </c>
      <c r="J663" s="9">
        <v>0.64</v>
      </c>
      <c r="K663" s="9">
        <v>9</v>
      </c>
      <c r="L663" s="9">
        <v>5</v>
      </c>
    </row>
    <row r="664" spans="1:12" x14ac:dyDescent="0.3">
      <c r="A664" s="9">
        <v>7.2</v>
      </c>
      <c r="B664" s="9">
        <v>0.56999999999999995</v>
      </c>
      <c r="C664" s="9">
        <v>0.06</v>
      </c>
      <c r="D664" s="9">
        <v>1.6</v>
      </c>
      <c r="E664" s="9">
        <v>7.5999999999999998E-2</v>
      </c>
      <c r="F664" s="9">
        <v>9</v>
      </c>
      <c r="G664" s="9">
        <v>27</v>
      </c>
      <c r="H664" s="9">
        <v>0.99719999999999998</v>
      </c>
      <c r="I664" s="9">
        <v>3.36</v>
      </c>
      <c r="J664" s="9">
        <v>0.7</v>
      </c>
      <c r="K664" s="9">
        <v>9.6</v>
      </c>
      <c r="L664" s="9">
        <v>6</v>
      </c>
    </row>
    <row r="665" spans="1:12" x14ac:dyDescent="0.3">
      <c r="A665" s="9">
        <v>10.1</v>
      </c>
      <c r="B665" s="9">
        <v>0.28000000000000003</v>
      </c>
      <c r="C665" s="9">
        <v>0.46</v>
      </c>
      <c r="D665" s="9">
        <v>1.8</v>
      </c>
      <c r="E665" s="9">
        <v>0.05</v>
      </c>
      <c r="F665" s="9">
        <v>5</v>
      </c>
      <c r="G665" s="9">
        <v>13</v>
      </c>
      <c r="H665" s="9">
        <v>0.99739999999999995</v>
      </c>
      <c r="I665" s="9">
        <v>3.04</v>
      </c>
      <c r="J665" s="9">
        <v>0.79</v>
      </c>
      <c r="K665" s="9">
        <v>10.199999999999999</v>
      </c>
      <c r="L665" s="9">
        <v>6</v>
      </c>
    </row>
    <row r="666" spans="1:12" x14ac:dyDescent="0.3">
      <c r="A666" s="9">
        <v>12.1</v>
      </c>
      <c r="B666" s="9">
        <v>0.4</v>
      </c>
      <c r="C666" s="9">
        <v>0.52</v>
      </c>
      <c r="D666" s="9">
        <v>2</v>
      </c>
      <c r="E666" s="9">
        <v>9.1999999999999998E-2</v>
      </c>
      <c r="F666" s="9">
        <v>15</v>
      </c>
      <c r="G666" s="9">
        <v>54</v>
      </c>
      <c r="H666" s="9">
        <v>1</v>
      </c>
      <c r="I666" s="9">
        <v>3.03</v>
      </c>
      <c r="J666" s="9">
        <v>0.66</v>
      </c>
      <c r="K666" s="9">
        <v>10.199999999999999</v>
      </c>
      <c r="L666" s="9">
        <v>5</v>
      </c>
    </row>
    <row r="667" spans="1:12" x14ac:dyDescent="0.3">
      <c r="A667" s="9">
        <v>9.4</v>
      </c>
      <c r="B667" s="9">
        <v>0.59</v>
      </c>
      <c r="C667" s="9">
        <v>0.14000000000000001</v>
      </c>
      <c r="D667" s="9">
        <v>2</v>
      </c>
      <c r="E667" s="9">
        <v>8.4000000000000005E-2</v>
      </c>
      <c r="F667" s="9">
        <v>25</v>
      </c>
      <c r="G667" s="9">
        <v>48</v>
      </c>
      <c r="H667" s="9">
        <v>0.99809999999999999</v>
      </c>
      <c r="I667" s="9">
        <v>3.14</v>
      </c>
      <c r="J667" s="9">
        <v>0.56000000000000005</v>
      </c>
      <c r="K667" s="9">
        <v>9.6999999999999993</v>
      </c>
      <c r="L667" s="9">
        <v>5</v>
      </c>
    </row>
    <row r="668" spans="1:12" x14ac:dyDescent="0.3">
      <c r="A668" s="9">
        <v>8.3000000000000007</v>
      </c>
      <c r="B668" s="9">
        <v>0.49</v>
      </c>
      <c r="C668" s="9">
        <v>0.36</v>
      </c>
      <c r="D668" s="9">
        <v>1.8</v>
      </c>
      <c r="E668" s="9">
        <v>0.222</v>
      </c>
      <c r="F668" s="9">
        <v>6</v>
      </c>
      <c r="G668" s="9">
        <v>16</v>
      </c>
      <c r="H668" s="9">
        <v>0.998</v>
      </c>
      <c r="I668" s="9">
        <v>3.18</v>
      </c>
      <c r="J668" s="9">
        <v>0.6</v>
      </c>
      <c r="K668" s="9">
        <v>9.5</v>
      </c>
      <c r="L668" s="9">
        <v>6</v>
      </c>
    </row>
    <row r="669" spans="1:12" x14ac:dyDescent="0.3">
      <c r="A669" s="9">
        <v>11.3</v>
      </c>
      <c r="B669" s="9">
        <v>0.34</v>
      </c>
      <c r="C669" s="9">
        <v>0.45</v>
      </c>
      <c r="D669" s="9">
        <v>2</v>
      </c>
      <c r="E669" s="9">
        <v>8.2000000000000003E-2</v>
      </c>
      <c r="F669" s="9">
        <v>6</v>
      </c>
      <c r="G669" s="9">
        <v>15</v>
      </c>
      <c r="H669" s="9">
        <v>0.99880000000000002</v>
      </c>
      <c r="I669" s="9">
        <v>2.94</v>
      </c>
      <c r="J669" s="9">
        <v>0.66</v>
      </c>
      <c r="K669" s="9">
        <v>9.1999999999999993</v>
      </c>
      <c r="L669" s="9">
        <v>6</v>
      </c>
    </row>
    <row r="670" spans="1:12" x14ac:dyDescent="0.3">
      <c r="A670" s="9">
        <v>10</v>
      </c>
      <c r="B670" s="9">
        <v>0.73</v>
      </c>
      <c r="C670" s="9">
        <v>0.43</v>
      </c>
      <c r="D670" s="9">
        <v>2.2999999999999998</v>
      </c>
      <c r="E670" s="9">
        <v>5.8999999999999997E-2</v>
      </c>
      <c r="F670" s="9">
        <v>15</v>
      </c>
      <c r="G670" s="9">
        <v>31</v>
      </c>
      <c r="H670" s="9">
        <v>0.99660000000000004</v>
      </c>
      <c r="I670" s="9">
        <v>3.15</v>
      </c>
      <c r="J670" s="9">
        <v>0.56999999999999995</v>
      </c>
      <c r="K670" s="9">
        <v>11</v>
      </c>
      <c r="L670" s="9">
        <v>5</v>
      </c>
    </row>
    <row r="671" spans="1:12" x14ac:dyDescent="0.3">
      <c r="A671" s="9">
        <v>11.3</v>
      </c>
      <c r="B671" s="9">
        <v>0.34</v>
      </c>
      <c r="C671" s="9">
        <v>0.45</v>
      </c>
      <c r="D671" s="9">
        <v>2</v>
      </c>
      <c r="E671" s="9">
        <v>8.2000000000000003E-2</v>
      </c>
      <c r="F671" s="9">
        <v>6</v>
      </c>
      <c r="G671" s="9">
        <v>15</v>
      </c>
      <c r="H671" s="9">
        <v>0.99880000000000002</v>
      </c>
      <c r="I671" s="9">
        <v>2.94</v>
      </c>
      <c r="J671" s="9">
        <v>0.66</v>
      </c>
      <c r="K671" s="9">
        <v>9.1999999999999993</v>
      </c>
      <c r="L671" s="9">
        <v>6</v>
      </c>
    </row>
    <row r="672" spans="1:12" x14ac:dyDescent="0.3">
      <c r="A672" s="9">
        <v>6.9</v>
      </c>
      <c r="B672" s="9">
        <v>0.4</v>
      </c>
      <c r="C672" s="9">
        <v>0.24</v>
      </c>
      <c r="D672" s="9">
        <v>2.5</v>
      </c>
      <c r="E672" s="9">
        <v>8.3000000000000004E-2</v>
      </c>
      <c r="F672" s="9">
        <v>30</v>
      </c>
      <c r="G672" s="9">
        <v>45</v>
      </c>
      <c r="H672" s="9">
        <v>0.99590000000000001</v>
      </c>
      <c r="I672" s="9">
        <v>3.26</v>
      </c>
      <c r="J672" s="9">
        <v>0.57999999999999996</v>
      </c>
      <c r="K672" s="9">
        <v>10</v>
      </c>
      <c r="L672" s="9">
        <v>5</v>
      </c>
    </row>
    <row r="673" spans="1:12" x14ac:dyDescent="0.3">
      <c r="A673" s="9">
        <v>8.1999999999999993</v>
      </c>
      <c r="B673" s="9">
        <v>0.73</v>
      </c>
      <c r="C673" s="9">
        <v>0.21</v>
      </c>
      <c r="D673" s="9">
        <v>1.7</v>
      </c>
      <c r="E673" s="9">
        <v>7.3999999999999996E-2</v>
      </c>
      <c r="F673" s="9">
        <v>5</v>
      </c>
      <c r="G673" s="9">
        <v>13</v>
      </c>
      <c r="H673" s="9">
        <v>0.99680000000000002</v>
      </c>
      <c r="I673" s="9">
        <v>3.2</v>
      </c>
      <c r="J673" s="9">
        <v>0.52</v>
      </c>
      <c r="K673" s="9">
        <v>9.5</v>
      </c>
      <c r="L673" s="9">
        <v>5</v>
      </c>
    </row>
    <row r="674" spans="1:12" x14ac:dyDescent="0.3">
      <c r="A674" s="9">
        <v>9.8000000000000007</v>
      </c>
      <c r="B674" s="9">
        <v>1.24</v>
      </c>
      <c r="C674" s="9">
        <v>0.34</v>
      </c>
      <c r="D674" s="9">
        <v>2</v>
      </c>
      <c r="E674" s="9">
        <v>7.9000000000000001E-2</v>
      </c>
      <c r="F674" s="9">
        <v>32</v>
      </c>
      <c r="G674" s="9">
        <v>151</v>
      </c>
      <c r="H674" s="9">
        <v>0.998</v>
      </c>
      <c r="I674" s="9">
        <v>3.15</v>
      </c>
      <c r="J674" s="9">
        <v>0.53</v>
      </c>
      <c r="K674" s="9">
        <v>9.5</v>
      </c>
      <c r="L674" s="9">
        <v>5</v>
      </c>
    </row>
    <row r="675" spans="1:12" x14ac:dyDescent="0.3">
      <c r="A675" s="9">
        <v>8.1999999999999993</v>
      </c>
      <c r="B675" s="9">
        <v>0.73</v>
      </c>
      <c r="C675" s="9">
        <v>0.21</v>
      </c>
      <c r="D675" s="9">
        <v>1.7</v>
      </c>
      <c r="E675" s="9">
        <v>7.3999999999999996E-2</v>
      </c>
      <c r="F675" s="9">
        <v>5</v>
      </c>
      <c r="G675" s="9">
        <v>13</v>
      </c>
      <c r="H675" s="9">
        <v>0.99680000000000002</v>
      </c>
      <c r="I675" s="9">
        <v>3.2</v>
      </c>
      <c r="J675" s="9">
        <v>0.52</v>
      </c>
      <c r="K675" s="9">
        <v>9.5</v>
      </c>
      <c r="L675" s="9">
        <v>5</v>
      </c>
    </row>
    <row r="676" spans="1:12" x14ac:dyDescent="0.3">
      <c r="A676" s="9">
        <v>10.8</v>
      </c>
      <c r="B676" s="9">
        <v>0.4</v>
      </c>
      <c r="C676" s="9">
        <v>0.41</v>
      </c>
      <c r="D676" s="9">
        <v>2.2000000000000002</v>
      </c>
      <c r="E676" s="9">
        <v>8.4000000000000005E-2</v>
      </c>
      <c r="F676" s="9">
        <v>7</v>
      </c>
      <c r="G676" s="9">
        <v>17</v>
      </c>
      <c r="H676" s="9">
        <v>0.99839999999999995</v>
      </c>
      <c r="I676" s="9">
        <v>3.08</v>
      </c>
      <c r="J676" s="9">
        <v>0.67</v>
      </c>
      <c r="K676" s="9">
        <v>9.3000000000000007</v>
      </c>
      <c r="L676" s="9">
        <v>6</v>
      </c>
    </row>
    <row r="677" spans="1:12" x14ac:dyDescent="0.3">
      <c r="A677" s="9">
        <v>9.3000000000000007</v>
      </c>
      <c r="B677" s="9">
        <v>0.41</v>
      </c>
      <c r="C677" s="9">
        <v>0.39</v>
      </c>
      <c r="D677" s="9">
        <v>2.2000000000000002</v>
      </c>
      <c r="E677" s="9">
        <v>6.4000000000000001E-2</v>
      </c>
      <c r="F677" s="9">
        <v>12</v>
      </c>
      <c r="G677" s="9">
        <v>31</v>
      </c>
      <c r="H677" s="9">
        <v>0.99839999999999995</v>
      </c>
      <c r="I677" s="9">
        <v>3.26</v>
      </c>
      <c r="J677" s="9">
        <v>0.65</v>
      </c>
      <c r="K677" s="9">
        <v>10.199999999999999</v>
      </c>
      <c r="L677" s="9">
        <v>5</v>
      </c>
    </row>
    <row r="678" spans="1:12" x14ac:dyDescent="0.3">
      <c r="A678" s="9">
        <v>10.8</v>
      </c>
      <c r="B678" s="9">
        <v>0.4</v>
      </c>
      <c r="C678" s="9">
        <v>0.41</v>
      </c>
      <c r="D678" s="9">
        <v>2.2000000000000002</v>
      </c>
      <c r="E678" s="9">
        <v>8.4000000000000005E-2</v>
      </c>
      <c r="F678" s="9">
        <v>7</v>
      </c>
      <c r="G678" s="9">
        <v>17</v>
      </c>
      <c r="H678" s="9">
        <v>0.99839999999999995</v>
      </c>
      <c r="I678" s="9">
        <v>3.08</v>
      </c>
      <c r="J678" s="9">
        <v>0.67</v>
      </c>
      <c r="K678" s="9">
        <v>9.3000000000000007</v>
      </c>
      <c r="L678" s="9">
        <v>6</v>
      </c>
    </row>
    <row r="679" spans="1:12" x14ac:dyDescent="0.3">
      <c r="A679" s="9">
        <v>8.6</v>
      </c>
      <c r="B679" s="9">
        <v>0.8</v>
      </c>
      <c r="C679" s="9">
        <v>0.11</v>
      </c>
      <c r="D679" s="9">
        <v>2.2999999999999998</v>
      </c>
      <c r="E679" s="9">
        <v>8.4000000000000005E-2</v>
      </c>
      <c r="F679" s="9">
        <v>12</v>
      </c>
      <c r="G679" s="9">
        <v>31</v>
      </c>
      <c r="H679" s="9">
        <v>0.99790000000000001</v>
      </c>
      <c r="I679" s="9">
        <v>3.4</v>
      </c>
      <c r="J679" s="9">
        <v>0.48</v>
      </c>
      <c r="K679" s="9">
        <v>9.9</v>
      </c>
      <c r="L679" s="9">
        <v>5</v>
      </c>
    </row>
    <row r="680" spans="1:12" x14ac:dyDescent="0.3">
      <c r="A680" s="9">
        <v>8.3000000000000007</v>
      </c>
      <c r="B680" s="9">
        <v>0.78</v>
      </c>
      <c r="C680" s="9">
        <v>0.1</v>
      </c>
      <c r="D680" s="9">
        <v>2.6</v>
      </c>
      <c r="E680" s="9">
        <v>8.1000000000000003E-2</v>
      </c>
      <c r="F680" s="9">
        <v>45</v>
      </c>
      <c r="G680" s="9">
        <v>87</v>
      </c>
      <c r="H680" s="9">
        <v>0.99829999999999997</v>
      </c>
      <c r="I680" s="9">
        <v>3.48</v>
      </c>
      <c r="J680" s="9">
        <v>0.53</v>
      </c>
      <c r="K680" s="9">
        <v>10</v>
      </c>
      <c r="L680" s="9">
        <v>5</v>
      </c>
    </row>
    <row r="681" spans="1:12" x14ac:dyDescent="0.3">
      <c r="A681" s="9">
        <v>10.8</v>
      </c>
      <c r="B681" s="9">
        <v>0.26</v>
      </c>
      <c r="C681" s="9">
        <v>0.45</v>
      </c>
      <c r="D681" s="9">
        <v>3.3</v>
      </c>
      <c r="E681" s="9">
        <v>0.06</v>
      </c>
      <c r="F681" s="9">
        <v>20</v>
      </c>
      <c r="G681" s="9">
        <v>49</v>
      </c>
      <c r="H681" s="9">
        <v>0.99719999999999998</v>
      </c>
      <c r="I681" s="9">
        <v>3.13</v>
      </c>
      <c r="J681" s="9">
        <v>0.54</v>
      </c>
      <c r="K681" s="9">
        <v>9.6</v>
      </c>
      <c r="L681" s="9">
        <v>5</v>
      </c>
    </row>
    <row r="682" spans="1:12" x14ac:dyDescent="0.3">
      <c r="A682" s="9">
        <v>13.3</v>
      </c>
      <c r="B682" s="9">
        <v>0.43</v>
      </c>
      <c r="C682" s="9">
        <v>0.57999999999999996</v>
      </c>
      <c r="D682" s="9">
        <v>1.9</v>
      </c>
      <c r="E682" s="9">
        <v>7.0000000000000007E-2</v>
      </c>
      <c r="F682" s="9">
        <v>15</v>
      </c>
      <c r="G682" s="9">
        <v>40</v>
      </c>
      <c r="H682" s="9">
        <v>1.0004</v>
      </c>
      <c r="I682" s="9">
        <v>3.06</v>
      </c>
      <c r="J682" s="9">
        <v>0.49</v>
      </c>
      <c r="K682" s="9">
        <v>9</v>
      </c>
      <c r="L682" s="9">
        <v>5</v>
      </c>
    </row>
    <row r="683" spans="1:12" x14ac:dyDescent="0.3">
      <c r="A683" s="9">
        <v>8</v>
      </c>
      <c r="B683" s="9">
        <v>0.45</v>
      </c>
      <c r="C683" s="9">
        <v>0.23</v>
      </c>
      <c r="D683" s="9">
        <v>2.2000000000000002</v>
      </c>
      <c r="E683" s="9">
        <v>9.4E-2</v>
      </c>
      <c r="F683" s="9">
        <v>16</v>
      </c>
      <c r="G683" s="9">
        <v>29</v>
      </c>
      <c r="H683" s="9">
        <v>0.99619999999999997</v>
      </c>
      <c r="I683" s="9">
        <v>3.21</v>
      </c>
      <c r="J683" s="9">
        <v>0.49</v>
      </c>
      <c r="K683" s="9">
        <v>10.199999999999999</v>
      </c>
      <c r="L683" s="9">
        <v>6</v>
      </c>
    </row>
    <row r="684" spans="1:12" x14ac:dyDescent="0.3">
      <c r="A684" s="9">
        <v>8.5</v>
      </c>
      <c r="B684" s="9">
        <v>0.46</v>
      </c>
      <c r="C684" s="9">
        <v>0.31</v>
      </c>
      <c r="D684" s="9">
        <v>2.25</v>
      </c>
      <c r="E684" s="9">
        <v>7.8E-2</v>
      </c>
      <c r="F684" s="9">
        <v>32</v>
      </c>
      <c r="G684" s="9">
        <v>58</v>
      </c>
      <c r="H684" s="9">
        <v>0.998</v>
      </c>
      <c r="I684" s="9">
        <v>3.33</v>
      </c>
      <c r="J684" s="9">
        <v>0.54</v>
      </c>
      <c r="K684" s="9">
        <v>9.8000000000000007</v>
      </c>
      <c r="L684" s="9">
        <v>5</v>
      </c>
    </row>
    <row r="685" spans="1:12" x14ac:dyDescent="0.3">
      <c r="A685" s="9">
        <v>8.1</v>
      </c>
      <c r="B685" s="9">
        <v>0.78</v>
      </c>
      <c r="C685" s="9">
        <v>0.23</v>
      </c>
      <c r="D685" s="9">
        <v>2.6</v>
      </c>
      <c r="E685" s="9">
        <v>5.8999999999999997E-2</v>
      </c>
      <c r="F685" s="9">
        <v>5</v>
      </c>
      <c r="G685" s="9">
        <v>15</v>
      </c>
      <c r="H685" s="9">
        <v>0.997</v>
      </c>
      <c r="I685" s="9">
        <v>3.37</v>
      </c>
      <c r="J685" s="9">
        <v>0.56000000000000005</v>
      </c>
      <c r="K685" s="9">
        <v>11.3</v>
      </c>
      <c r="L685" s="9">
        <v>5</v>
      </c>
    </row>
    <row r="686" spans="1:12" x14ac:dyDescent="0.3">
      <c r="A686" s="9">
        <v>9.8000000000000007</v>
      </c>
      <c r="B686" s="9">
        <v>0.98</v>
      </c>
      <c r="C686" s="9">
        <v>0.32</v>
      </c>
      <c r="D686" s="9">
        <v>2.2999999999999998</v>
      </c>
      <c r="E686" s="9">
        <v>7.8E-2</v>
      </c>
      <c r="F686" s="9">
        <v>35</v>
      </c>
      <c r="G686" s="9">
        <v>152</v>
      </c>
      <c r="H686" s="9">
        <v>0.998</v>
      </c>
      <c r="I686" s="9">
        <v>3.25</v>
      </c>
      <c r="J686" s="9">
        <v>0.48</v>
      </c>
      <c r="K686" s="9">
        <v>9.4</v>
      </c>
      <c r="L686" s="9">
        <v>5</v>
      </c>
    </row>
    <row r="687" spans="1:12" x14ac:dyDescent="0.3">
      <c r="A687" s="9">
        <v>8.1</v>
      </c>
      <c r="B687" s="9">
        <v>0.78</v>
      </c>
      <c r="C687" s="9">
        <v>0.23</v>
      </c>
      <c r="D687" s="9">
        <v>2.6</v>
      </c>
      <c r="E687" s="9">
        <v>5.8999999999999997E-2</v>
      </c>
      <c r="F687" s="9">
        <v>5</v>
      </c>
      <c r="G687" s="9">
        <v>15</v>
      </c>
      <c r="H687" s="9">
        <v>0.997</v>
      </c>
      <c r="I687" s="9">
        <v>3.37</v>
      </c>
      <c r="J687" s="9">
        <v>0.56000000000000005</v>
      </c>
      <c r="K687" s="9">
        <v>11.3</v>
      </c>
      <c r="L687" s="9">
        <v>5</v>
      </c>
    </row>
    <row r="688" spans="1:12" x14ac:dyDescent="0.3">
      <c r="A688" s="9">
        <v>7.1</v>
      </c>
      <c r="B688" s="9">
        <v>0.65</v>
      </c>
      <c r="C688" s="9">
        <v>0.18</v>
      </c>
      <c r="D688" s="9">
        <v>1.8</v>
      </c>
      <c r="E688" s="9">
        <v>7.0000000000000007E-2</v>
      </c>
      <c r="F688" s="9">
        <v>13</v>
      </c>
      <c r="G688" s="9">
        <v>40</v>
      </c>
      <c r="H688" s="9">
        <v>0.997</v>
      </c>
      <c r="I688" s="9">
        <v>3.44</v>
      </c>
      <c r="J688" s="9">
        <v>0.6</v>
      </c>
      <c r="K688" s="9">
        <v>9.1</v>
      </c>
      <c r="L688" s="9">
        <v>5</v>
      </c>
    </row>
    <row r="689" spans="1:12" x14ac:dyDescent="0.3">
      <c r="A689" s="9">
        <v>9.1</v>
      </c>
      <c r="B689" s="9">
        <v>0.64</v>
      </c>
      <c r="C689" s="9">
        <v>0.23</v>
      </c>
      <c r="D689" s="9">
        <v>3.1</v>
      </c>
      <c r="E689" s="9">
        <v>9.5000000000000001E-2</v>
      </c>
      <c r="F689" s="9">
        <v>13</v>
      </c>
      <c r="G689" s="9">
        <v>38</v>
      </c>
      <c r="H689" s="9">
        <v>0.99980000000000002</v>
      </c>
      <c r="I689" s="9">
        <v>3.28</v>
      </c>
      <c r="J689" s="9">
        <v>0.59</v>
      </c>
      <c r="K689" s="9">
        <v>9.6999999999999993</v>
      </c>
      <c r="L689" s="9">
        <v>5</v>
      </c>
    </row>
    <row r="690" spans="1:12" x14ac:dyDescent="0.3">
      <c r="A690" s="9">
        <v>7.7</v>
      </c>
      <c r="B690" s="9">
        <v>0.66</v>
      </c>
      <c r="C690" s="9">
        <v>0.04</v>
      </c>
      <c r="D690" s="9">
        <v>1.6</v>
      </c>
      <c r="E690" s="9">
        <v>3.9E-2</v>
      </c>
      <c r="F690" s="9">
        <v>4</v>
      </c>
      <c r="G690" s="9">
        <v>9</v>
      </c>
      <c r="H690" s="9">
        <v>0.99619999999999997</v>
      </c>
      <c r="I690" s="9">
        <v>3.4</v>
      </c>
      <c r="J690" s="9">
        <v>0.47</v>
      </c>
      <c r="K690" s="9">
        <v>9.4</v>
      </c>
      <c r="L690" s="9">
        <v>5</v>
      </c>
    </row>
    <row r="691" spans="1:12" x14ac:dyDescent="0.3">
      <c r="A691" s="9">
        <v>8.1</v>
      </c>
      <c r="B691" s="9">
        <v>0.38</v>
      </c>
      <c r="C691" s="9">
        <v>0.48</v>
      </c>
      <c r="D691" s="9">
        <v>1.8</v>
      </c>
      <c r="E691" s="9">
        <v>0.157</v>
      </c>
      <c r="F691" s="9">
        <v>5</v>
      </c>
      <c r="G691" s="9">
        <v>17</v>
      </c>
      <c r="H691" s="9">
        <v>0.99760000000000004</v>
      </c>
      <c r="I691" s="9">
        <v>3.3</v>
      </c>
      <c r="J691" s="9">
        <v>1.05</v>
      </c>
      <c r="K691" s="9">
        <v>9.4</v>
      </c>
      <c r="L691" s="9">
        <v>5</v>
      </c>
    </row>
    <row r="692" spans="1:12" x14ac:dyDescent="0.3">
      <c r="A692" s="9">
        <v>7.4</v>
      </c>
      <c r="B692" s="9">
        <v>1.1850000000000001</v>
      </c>
      <c r="C692" s="9">
        <v>0</v>
      </c>
      <c r="D692" s="9">
        <v>4.25</v>
      </c>
      <c r="E692" s="9">
        <v>9.7000000000000003E-2</v>
      </c>
      <c r="F692" s="9">
        <v>5</v>
      </c>
      <c r="G692" s="9">
        <v>14</v>
      </c>
      <c r="H692" s="9">
        <v>0.99660000000000004</v>
      </c>
      <c r="I692" s="9">
        <v>3.63</v>
      </c>
      <c r="J692" s="9">
        <v>0.54</v>
      </c>
      <c r="K692" s="9">
        <v>10.7</v>
      </c>
      <c r="L692" s="9">
        <v>3</v>
      </c>
    </row>
    <row r="693" spans="1:12" x14ac:dyDescent="0.3">
      <c r="A693" s="9">
        <v>9.1999999999999993</v>
      </c>
      <c r="B693" s="9">
        <v>0.92</v>
      </c>
      <c r="C693" s="9">
        <v>0.24</v>
      </c>
      <c r="D693" s="9">
        <v>2.6</v>
      </c>
      <c r="E693" s="9">
        <v>8.6999999999999994E-2</v>
      </c>
      <c r="F693" s="9">
        <v>12</v>
      </c>
      <c r="G693" s="9">
        <v>93</v>
      </c>
      <c r="H693" s="9">
        <v>0.99980000000000002</v>
      </c>
      <c r="I693" s="9">
        <v>3.48</v>
      </c>
      <c r="J693" s="9">
        <v>0.54</v>
      </c>
      <c r="K693" s="9">
        <v>9.8000000000000007</v>
      </c>
      <c r="L693" s="9">
        <v>5</v>
      </c>
    </row>
    <row r="694" spans="1:12" x14ac:dyDescent="0.3">
      <c r="A694" s="9">
        <v>8.6</v>
      </c>
      <c r="B694" s="9">
        <v>0.49</v>
      </c>
      <c r="C694" s="9">
        <v>0.51</v>
      </c>
      <c r="D694" s="9">
        <v>2</v>
      </c>
      <c r="E694" s="9">
        <v>0.42199999999999999</v>
      </c>
      <c r="F694" s="9">
        <v>16</v>
      </c>
      <c r="G694" s="9">
        <v>62</v>
      </c>
      <c r="H694" s="9">
        <v>0.99790000000000001</v>
      </c>
      <c r="I694" s="9">
        <v>3.03</v>
      </c>
      <c r="J694" s="9">
        <v>1.17</v>
      </c>
      <c r="K694" s="9">
        <v>9</v>
      </c>
      <c r="L694" s="9">
        <v>5</v>
      </c>
    </row>
    <row r="695" spans="1:12" x14ac:dyDescent="0.3">
      <c r="A695" s="9">
        <v>9</v>
      </c>
      <c r="B695" s="9">
        <v>0.48</v>
      </c>
      <c r="C695" s="9">
        <v>0.32</v>
      </c>
      <c r="D695" s="9">
        <v>2.8</v>
      </c>
      <c r="E695" s="9">
        <v>8.4000000000000005E-2</v>
      </c>
      <c r="F695" s="9">
        <v>21</v>
      </c>
      <c r="G695" s="9">
        <v>122</v>
      </c>
      <c r="H695" s="9">
        <v>0.99839999999999995</v>
      </c>
      <c r="I695" s="9">
        <v>3.32</v>
      </c>
      <c r="J695" s="9">
        <v>0.62</v>
      </c>
      <c r="K695" s="9">
        <v>9.4</v>
      </c>
      <c r="L695" s="9">
        <v>5</v>
      </c>
    </row>
    <row r="696" spans="1:12" x14ac:dyDescent="0.3">
      <c r="A696" s="9">
        <v>9</v>
      </c>
      <c r="B696" s="9">
        <v>0.47</v>
      </c>
      <c r="C696" s="9">
        <v>0.31</v>
      </c>
      <c r="D696" s="9">
        <v>2.7</v>
      </c>
      <c r="E696" s="9">
        <v>8.4000000000000005E-2</v>
      </c>
      <c r="F696" s="9">
        <v>24</v>
      </c>
      <c r="G696" s="9">
        <v>125</v>
      </c>
      <c r="H696" s="9">
        <v>0.99839999999999995</v>
      </c>
      <c r="I696" s="9">
        <v>3.31</v>
      </c>
      <c r="J696" s="9">
        <v>0.61</v>
      </c>
      <c r="K696" s="9">
        <v>9.4</v>
      </c>
      <c r="L696" s="9">
        <v>5</v>
      </c>
    </row>
    <row r="697" spans="1:12" x14ac:dyDescent="0.3">
      <c r="A697" s="9">
        <v>5.0999999999999996</v>
      </c>
      <c r="B697" s="9">
        <v>0.47</v>
      </c>
      <c r="C697" s="9">
        <v>0.02</v>
      </c>
      <c r="D697" s="9">
        <v>1.3</v>
      </c>
      <c r="E697" s="9">
        <v>3.4000000000000002E-2</v>
      </c>
      <c r="F697" s="9">
        <v>18</v>
      </c>
      <c r="G697" s="9">
        <v>44</v>
      </c>
      <c r="H697" s="9">
        <v>0.99209999999999998</v>
      </c>
      <c r="I697" s="9">
        <v>3.9</v>
      </c>
      <c r="J697" s="9">
        <v>0.62</v>
      </c>
      <c r="K697" s="9">
        <v>12.8</v>
      </c>
      <c r="L697" s="9">
        <v>6</v>
      </c>
    </row>
    <row r="698" spans="1:12" x14ac:dyDescent="0.3">
      <c r="A698" s="9">
        <v>7</v>
      </c>
      <c r="B698" s="9">
        <v>0.65</v>
      </c>
      <c r="C698" s="9">
        <v>0.02</v>
      </c>
      <c r="D698" s="9">
        <v>2.1</v>
      </c>
      <c r="E698" s="9">
        <v>6.6000000000000003E-2</v>
      </c>
      <c r="F698" s="9">
        <v>8</v>
      </c>
      <c r="G698" s="9">
        <v>25</v>
      </c>
      <c r="H698" s="9">
        <v>0.99719999999999998</v>
      </c>
      <c r="I698" s="9">
        <v>3.47</v>
      </c>
      <c r="J698" s="9">
        <v>0.67</v>
      </c>
      <c r="K698" s="9">
        <v>9.5</v>
      </c>
      <c r="L698" s="9">
        <v>6</v>
      </c>
    </row>
    <row r="699" spans="1:12" x14ac:dyDescent="0.3">
      <c r="A699" s="9">
        <v>7</v>
      </c>
      <c r="B699" s="9">
        <v>0.65</v>
      </c>
      <c r="C699" s="9">
        <v>0.02</v>
      </c>
      <c r="D699" s="9">
        <v>2.1</v>
      </c>
      <c r="E699" s="9">
        <v>6.6000000000000003E-2</v>
      </c>
      <c r="F699" s="9">
        <v>8</v>
      </c>
      <c r="G699" s="9">
        <v>25</v>
      </c>
      <c r="H699" s="9">
        <v>0.99719999999999998</v>
      </c>
      <c r="I699" s="9">
        <v>3.47</v>
      </c>
      <c r="J699" s="9">
        <v>0.67</v>
      </c>
      <c r="K699" s="9">
        <v>9.5</v>
      </c>
      <c r="L699" s="9">
        <v>6</v>
      </c>
    </row>
    <row r="700" spans="1:12" x14ac:dyDescent="0.3">
      <c r="A700" s="9">
        <v>9.4</v>
      </c>
      <c r="B700" s="9">
        <v>0.61499999999999999</v>
      </c>
      <c r="C700" s="9">
        <v>0.28000000000000003</v>
      </c>
      <c r="D700" s="9">
        <v>3.2</v>
      </c>
      <c r="E700" s="9">
        <v>8.6999999999999994E-2</v>
      </c>
      <c r="F700" s="9">
        <v>18</v>
      </c>
      <c r="G700" s="9">
        <v>72</v>
      </c>
      <c r="H700" s="9">
        <v>1.0001</v>
      </c>
      <c r="I700" s="9">
        <v>3.31</v>
      </c>
      <c r="J700" s="9">
        <v>0.53</v>
      </c>
      <c r="K700" s="9">
        <v>9.6999999999999993</v>
      </c>
      <c r="L700" s="9">
        <v>5</v>
      </c>
    </row>
    <row r="701" spans="1:12" x14ac:dyDescent="0.3">
      <c r="A701" s="9">
        <v>11.8</v>
      </c>
      <c r="B701" s="9">
        <v>0.38</v>
      </c>
      <c r="C701" s="9">
        <v>0.55000000000000004</v>
      </c>
      <c r="D701" s="9">
        <v>2.1</v>
      </c>
      <c r="E701" s="9">
        <v>7.0999999999999994E-2</v>
      </c>
      <c r="F701" s="9">
        <v>5</v>
      </c>
      <c r="G701" s="9">
        <v>19</v>
      </c>
      <c r="H701" s="9">
        <v>0.99860000000000004</v>
      </c>
      <c r="I701" s="9">
        <v>3.11</v>
      </c>
      <c r="J701" s="9">
        <v>0.62</v>
      </c>
      <c r="K701" s="9">
        <v>10.8</v>
      </c>
      <c r="L701" s="9">
        <v>6</v>
      </c>
    </row>
    <row r="702" spans="1:12" x14ac:dyDescent="0.3">
      <c r="A702" s="9">
        <v>10.6</v>
      </c>
      <c r="B702" s="9">
        <v>1.02</v>
      </c>
      <c r="C702" s="9">
        <v>0.43</v>
      </c>
      <c r="D702" s="9">
        <v>2.9</v>
      </c>
      <c r="E702" s="9">
        <v>7.5999999999999998E-2</v>
      </c>
      <c r="F702" s="9">
        <v>26</v>
      </c>
      <c r="G702" s="9">
        <v>88</v>
      </c>
      <c r="H702" s="9">
        <v>0.99839999999999995</v>
      </c>
      <c r="I702" s="9">
        <v>3.08</v>
      </c>
      <c r="J702" s="9">
        <v>0.56999999999999995</v>
      </c>
      <c r="K702" s="9">
        <v>10.1</v>
      </c>
      <c r="L702" s="9">
        <v>6</v>
      </c>
    </row>
    <row r="703" spans="1:12" x14ac:dyDescent="0.3">
      <c r="A703" s="9">
        <v>7</v>
      </c>
      <c r="B703" s="9">
        <v>0.65</v>
      </c>
      <c r="C703" s="9">
        <v>0.02</v>
      </c>
      <c r="D703" s="9">
        <v>2.1</v>
      </c>
      <c r="E703" s="9">
        <v>6.6000000000000003E-2</v>
      </c>
      <c r="F703" s="9">
        <v>8</v>
      </c>
      <c r="G703" s="9">
        <v>25</v>
      </c>
      <c r="H703" s="9">
        <v>0.99719999999999998</v>
      </c>
      <c r="I703" s="9">
        <v>3.47</v>
      </c>
      <c r="J703" s="9">
        <v>0.67</v>
      </c>
      <c r="K703" s="9">
        <v>9.5</v>
      </c>
      <c r="L703" s="9">
        <v>6</v>
      </c>
    </row>
    <row r="704" spans="1:12" x14ac:dyDescent="0.3">
      <c r="A704" s="9">
        <v>7</v>
      </c>
      <c r="B704" s="9">
        <v>0.64</v>
      </c>
      <c r="C704" s="9">
        <v>0.02</v>
      </c>
      <c r="D704" s="9">
        <v>2.1</v>
      </c>
      <c r="E704" s="9">
        <v>6.7000000000000004E-2</v>
      </c>
      <c r="F704" s="9">
        <v>9</v>
      </c>
      <c r="G704" s="9">
        <v>23</v>
      </c>
      <c r="H704" s="9">
        <v>0.997</v>
      </c>
      <c r="I704" s="9">
        <v>3.47</v>
      </c>
      <c r="J704" s="9">
        <v>0.67</v>
      </c>
      <c r="K704" s="9">
        <v>9.4</v>
      </c>
      <c r="L704" s="9">
        <v>6</v>
      </c>
    </row>
    <row r="705" spans="1:12" x14ac:dyDescent="0.3">
      <c r="A705" s="9">
        <v>7.5</v>
      </c>
      <c r="B705" s="9">
        <v>0.38</v>
      </c>
      <c r="C705" s="9">
        <v>0.48</v>
      </c>
      <c r="D705" s="9">
        <v>2.6</v>
      </c>
      <c r="E705" s="9">
        <v>7.2999999999999995E-2</v>
      </c>
      <c r="F705" s="9">
        <v>22</v>
      </c>
      <c r="G705" s="9">
        <v>84</v>
      </c>
      <c r="H705" s="9">
        <v>0.99719999999999998</v>
      </c>
      <c r="I705" s="9">
        <v>3.32</v>
      </c>
      <c r="J705" s="9">
        <v>0.7</v>
      </c>
      <c r="K705" s="9">
        <v>9.6</v>
      </c>
      <c r="L705" s="9">
        <v>4</v>
      </c>
    </row>
    <row r="706" spans="1:12" x14ac:dyDescent="0.3">
      <c r="A706" s="9">
        <v>9.1</v>
      </c>
      <c r="B706" s="9">
        <v>0.76500000000000001</v>
      </c>
      <c r="C706" s="9">
        <v>0.04</v>
      </c>
      <c r="D706" s="9">
        <v>1.6</v>
      </c>
      <c r="E706" s="9">
        <v>7.8E-2</v>
      </c>
      <c r="F706" s="9">
        <v>4</v>
      </c>
      <c r="G706" s="9">
        <v>14</v>
      </c>
      <c r="H706" s="9">
        <v>0.998</v>
      </c>
      <c r="I706" s="9">
        <v>3.29</v>
      </c>
      <c r="J706" s="9">
        <v>0.54</v>
      </c>
      <c r="K706" s="9">
        <v>9.6999999999999993</v>
      </c>
      <c r="L706" s="9">
        <v>4</v>
      </c>
    </row>
    <row r="707" spans="1:12" x14ac:dyDescent="0.3">
      <c r="A707" s="9">
        <v>8.4</v>
      </c>
      <c r="B707" s="9">
        <v>1.0349999999999999</v>
      </c>
      <c r="C707" s="9">
        <v>0.15</v>
      </c>
      <c r="D707" s="9">
        <v>6</v>
      </c>
      <c r="E707" s="9">
        <v>7.2999999999999995E-2</v>
      </c>
      <c r="F707" s="9">
        <v>11</v>
      </c>
      <c r="G707" s="9">
        <v>54</v>
      </c>
      <c r="H707" s="9">
        <v>0.999</v>
      </c>
      <c r="I707" s="9">
        <v>3.37</v>
      </c>
      <c r="J707" s="9">
        <v>0.49</v>
      </c>
      <c r="K707" s="9">
        <v>9.9</v>
      </c>
      <c r="L707" s="9">
        <v>5</v>
      </c>
    </row>
    <row r="708" spans="1:12" x14ac:dyDescent="0.3">
      <c r="A708" s="9">
        <v>7</v>
      </c>
      <c r="B708" s="9">
        <v>0.78</v>
      </c>
      <c r="C708" s="9">
        <v>0.08</v>
      </c>
      <c r="D708" s="9">
        <v>2</v>
      </c>
      <c r="E708" s="9">
        <v>9.2999999999999999E-2</v>
      </c>
      <c r="F708" s="9">
        <v>10</v>
      </c>
      <c r="G708" s="9">
        <v>19</v>
      </c>
      <c r="H708" s="9">
        <v>0.99560000000000004</v>
      </c>
      <c r="I708" s="9">
        <v>3.4</v>
      </c>
      <c r="J708" s="9">
        <v>0.47</v>
      </c>
      <c r="K708" s="9">
        <v>10</v>
      </c>
      <c r="L708" s="9">
        <v>5</v>
      </c>
    </row>
    <row r="709" spans="1:12" x14ac:dyDescent="0.3">
      <c r="A709" s="9">
        <v>7.4</v>
      </c>
      <c r="B709" s="9">
        <v>0.49</v>
      </c>
      <c r="C709" s="9">
        <v>0.19</v>
      </c>
      <c r="D709" s="9">
        <v>3</v>
      </c>
      <c r="E709" s="9">
        <v>7.6999999999999999E-2</v>
      </c>
      <c r="F709" s="9">
        <v>16</v>
      </c>
      <c r="G709" s="9">
        <v>37</v>
      </c>
      <c r="H709" s="9">
        <v>0.99660000000000004</v>
      </c>
      <c r="I709" s="9">
        <v>3.37</v>
      </c>
      <c r="J709" s="9">
        <v>0.51</v>
      </c>
      <c r="K709" s="9">
        <v>10.5</v>
      </c>
      <c r="L709" s="9">
        <v>5</v>
      </c>
    </row>
    <row r="710" spans="1:12" x14ac:dyDescent="0.3">
      <c r="A710" s="9">
        <v>7.8</v>
      </c>
      <c r="B710" s="9">
        <v>0.54500000000000004</v>
      </c>
      <c r="C710" s="9">
        <v>0.12</v>
      </c>
      <c r="D710" s="9">
        <v>2.5</v>
      </c>
      <c r="E710" s="9">
        <v>6.8000000000000005E-2</v>
      </c>
      <c r="F710" s="9">
        <v>11</v>
      </c>
      <c r="G710" s="9">
        <v>35</v>
      </c>
      <c r="H710" s="9">
        <v>0.996</v>
      </c>
      <c r="I710" s="9">
        <v>3.34</v>
      </c>
      <c r="J710" s="9">
        <v>0.61</v>
      </c>
      <c r="K710" s="9">
        <v>11.6</v>
      </c>
      <c r="L710" s="9">
        <v>6</v>
      </c>
    </row>
    <row r="711" spans="1:12" x14ac:dyDescent="0.3">
      <c r="A711" s="9">
        <v>9.6999999999999993</v>
      </c>
      <c r="B711" s="9">
        <v>0.31</v>
      </c>
      <c r="C711" s="9">
        <v>0.47</v>
      </c>
      <c r="D711" s="9">
        <v>1.6</v>
      </c>
      <c r="E711" s="9">
        <v>6.2E-2</v>
      </c>
      <c r="F711" s="9">
        <v>13</v>
      </c>
      <c r="G711" s="9">
        <v>33</v>
      </c>
      <c r="H711" s="9">
        <v>0.99829999999999997</v>
      </c>
      <c r="I711" s="9">
        <v>3.27</v>
      </c>
      <c r="J711" s="9">
        <v>0.66</v>
      </c>
      <c r="K711" s="9">
        <v>10</v>
      </c>
      <c r="L711" s="9">
        <v>6</v>
      </c>
    </row>
    <row r="712" spans="1:12" x14ac:dyDescent="0.3">
      <c r="A712" s="9">
        <v>10.6</v>
      </c>
      <c r="B712" s="9">
        <v>1.0249999999999999</v>
      </c>
      <c r="C712" s="9">
        <v>0.43</v>
      </c>
      <c r="D712" s="9">
        <v>2.8</v>
      </c>
      <c r="E712" s="9">
        <v>0.08</v>
      </c>
      <c r="F712" s="9">
        <v>21</v>
      </c>
      <c r="G712" s="9">
        <v>84</v>
      </c>
      <c r="H712" s="9">
        <v>0.99850000000000005</v>
      </c>
      <c r="I712" s="9">
        <v>3.06</v>
      </c>
      <c r="J712" s="9">
        <v>0.56999999999999995</v>
      </c>
      <c r="K712" s="9">
        <v>10.1</v>
      </c>
      <c r="L712" s="9">
        <v>5</v>
      </c>
    </row>
    <row r="713" spans="1:12" x14ac:dyDescent="0.3">
      <c r="A713" s="9">
        <v>8.9</v>
      </c>
      <c r="B713" s="9">
        <v>0.56499999999999995</v>
      </c>
      <c r="C713" s="9">
        <v>0.34</v>
      </c>
      <c r="D713" s="9">
        <v>3</v>
      </c>
      <c r="E713" s="9">
        <v>9.2999999999999999E-2</v>
      </c>
      <c r="F713" s="9">
        <v>16</v>
      </c>
      <c r="G713" s="9">
        <v>112</v>
      </c>
      <c r="H713" s="9">
        <v>0.99980000000000002</v>
      </c>
      <c r="I713" s="9">
        <v>3.38</v>
      </c>
      <c r="J713" s="9">
        <v>0.61</v>
      </c>
      <c r="K713" s="9">
        <v>9.5</v>
      </c>
      <c r="L713" s="9">
        <v>5</v>
      </c>
    </row>
    <row r="714" spans="1:12" x14ac:dyDescent="0.3">
      <c r="A714" s="9">
        <v>8.6999999999999993</v>
      </c>
      <c r="B714" s="9">
        <v>0.69</v>
      </c>
      <c r="C714" s="9">
        <v>0</v>
      </c>
      <c r="D714" s="9">
        <v>3.2</v>
      </c>
      <c r="E714" s="9">
        <v>8.4000000000000005E-2</v>
      </c>
      <c r="F714" s="9">
        <v>13</v>
      </c>
      <c r="G714" s="9">
        <v>33</v>
      </c>
      <c r="H714" s="9">
        <v>0.99919999999999998</v>
      </c>
      <c r="I714" s="9">
        <v>3.36</v>
      </c>
      <c r="J714" s="9">
        <v>0.45</v>
      </c>
      <c r="K714" s="9">
        <v>9.4</v>
      </c>
      <c r="L714" s="9">
        <v>5</v>
      </c>
    </row>
    <row r="715" spans="1:12" x14ac:dyDescent="0.3">
      <c r="A715" s="9">
        <v>8</v>
      </c>
      <c r="B715" s="9">
        <v>0.43</v>
      </c>
      <c r="C715" s="9">
        <v>0.36</v>
      </c>
      <c r="D715" s="9">
        <v>2.2999999999999998</v>
      </c>
      <c r="E715" s="9">
        <v>7.4999999999999997E-2</v>
      </c>
      <c r="F715" s="9">
        <v>10</v>
      </c>
      <c r="G715" s="9">
        <v>48</v>
      </c>
      <c r="H715" s="9">
        <v>0.99760000000000004</v>
      </c>
      <c r="I715" s="9">
        <v>3.34</v>
      </c>
      <c r="J715" s="9">
        <v>0.46</v>
      </c>
      <c r="K715" s="9">
        <v>9.4</v>
      </c>
      <c r="L715" s="9">
        <v>5</v>
      </c>
    </row>
    <row r="716" spans="1:12" x14ac:dyDescent="0.3">
      <c r="A716" s="9">
        <v>9.9</v>
      </c>
      <c r="B716" s="9">
        <v>0.74</v>
      </c>
      <c r="C716" s="9">
        <v>0.28000000000000003</v>
      </c>
      <c r="D716" s="9">
        <v>2.6</v>
      </c>
      <c r="E716" s="9">
        <v>7.8E-2</v>
      </c>
      <c r="F716" s="9">
        <v>21</v>
      </c>
      <c r="G716" s="9">
        <v>77</v>
      </c>
      <c r="H716" s="9">
        <v>0.998</v>
      </c>
      <c r="I716" s="9">
        <v>3.28</v>
      </c>
      <c r="J716" s="9">
        <v>0.51</v>
      </c>
      <c r="K716" s="9">
        <v>9.8000000000000007</v>
      </c>
      <c r="L716" s="9">
        <v>5</v>
      </c>
    </row>
    <row r="717" spans="1:12" x14ac:dyDescent="0.3">
      <c r="A717" s="9">
        <v>7.2</v>
      </c>
      <c r="B717" s="9">
        <v>0.49</v>
      </c>
      <c r="C717" s="9">
        <v>0.18</v>
      </c>
      <c r="D717" s="9">
        <v>2.7</v>
      </c>
      <c r="E717" s="9">
        <v>6.9000000000000006E-2</v>
      </c>
      <c r="F717" s="9">
        <v>13</v>
      </c>
      <c r="G717" s="9">
        <v>34</v>
      </c>
      <c r="H717" s="9">
        <v>0.99670000000000003</v>
      </c>
      <c r="I717" s="9">
        <v>3.29</v>
      </c>
      <c r="J717" s="9">
        <v>0.48</v>
      </c>
      <c r="K717" s="9">
        <v>9.1999999999999993</v>
      </c>
      <c r="L717" s="9">
        <v>6</v>
      </c>
    </row>
    <row r="718" spans="1:12" x14ac:dyDescent="0.3">
      <c r="A718" s="9">
        <v>8</v>
      </c>
      <c r="B718" s="9">
        <v>0.43</v>
      </c>
      <c r="C718" s="9">
        <v>0.36</v>
      </c>
      <c r="D718" s="9">
        <v>2.2999999999999998</v>
      </c>
      <c r="E718" s="9">
        <v>7.4999999999999997E-2</v>
      </c>
      <c r="F718" s="9">
        <v>10</v>
      </c>
      <c r="G718" s="9">
        <v>48</v>
      </c>
      <c r="H718" s="9">
        <v>0.99760000000000004</v>
      </c>
      <c r="I718" s="9">
        <v>3.34</v>
      </c>
      <c r="J718" s="9">
        <v>0.46</v>
      </c>
      <c r="K718" s="9">
        <v>9.4</v>
      </c>
      <c r="L718" s="9">
        <v>5</v>
      </c>
    </row>
    <row r="719" spans="1:12" x14ac:dyDescent="0.3">
      <c r="A719" s="9">
        <v>7.6</v>
      </c>
      <c r="B719" s="9">
        <v>0.46</v>
      </c>
      <c r="C719" s="9">
        <v>0.11</v>
      </c>
      <c r="D719" s="9">
        <v>2.6</v>
      </c>
      <c r="E719" s="9">
        <v>7.9000000000000001E-2</v>
      </c>
      <c r="F719" s="9">
        <v>12</v>
      </c>
      <c r="G719" s="9">
        <v>49</v>
      </c>
      <c r="H719" s="9">
        <v>0.99680000000000002</v>
      </c>
      <c r="I719" s="9">
        <v>3.21</v>
      </c>
      <c r="J719" s="9">
        <v>0.56999999999999995</v>
      </c>
      <c r="K719" s="9">
        <v>10</v>
      </c>
      <c r="L719" s="9">
        <v>5</v>
      </c>
    </row>
    <row r="720" spans="1:12" x14ac:dyDescent="0.3">
      <c r="A720" s="9">
        <v>8.4</v>
      </c>
      <c r="B720" s="9">
        <v>0.56000000000000005</v>
      </c>
      <c r="C720" s="9">
        <v>0.04</v>
      </c>
      <c r="D720" s="9">
        <v>2</v>
      </c>
      <c r="E720" s="9">
        <v>8.2000000000000003E-2</v>
      </c>
      <c r="F720" s="9">
        <v>10</v>
      </c>
      <c r="G720" s="9">
        <v>22</v>
      </c>
      <c r="H720" s="9">
        <v>0.99760000000000004</v>
      </c>
      <c r="I720" s="9">
        <v>3.22</v>
      </c>
      <c r="J720" s="9">
        <v>0.44</v>
      </c>
      <c r="K720" s="9">
        <v>9.6</v>
      </c>
      <c r="L720" s="9">
        <v>5</v>
      </c>
    </row>
    <row r="721" spans="1:12" x14ac:dyDescent="0.3">
      <c r="A721" s="9">
        <v>7.1</v>
      </c>
      <c r="B721" s="9">
        <v>0.66</v>
      </c>
      <c r="C721" s="9">
        <v>0</v>
      </c>
      <c r="D721" s="9">
        <v>3.9</v>
      </c>
      <c r="E721" s="9">
        <v>8.5999999999999993E-2</v>
      </c>
      <c r="F721" s="9">
        <v>17</v>
      </c>
      <c r="G721" s="9">
        <v>45</v>
      </c>
      <c r="H721" s="9">
        <v>0.99760000000000004</v>
      </c>
      <c r="I721" s="9">
        <v>3.46</v>
      </c>
      <c r="J721" s="9">
        <v>0.54</v>
      </c>
      <c r="K721" s="9">
        <v>9.5</v>
      </c>
      <c r="L721" s="9">
        <v>5</v>
      </c>
    </row>
    <row r="722" spans="1:12" x14ac:dyDescent="0.3">
      <c r="A722" s="9">
        <v>8.4</v>
      </c>
      <c r="B722" s="9">
        <v>0.56000000000000005</v>
      </c>
      <c r="C722" s="9">
        <v>0.04</v>
      </c>
      <c r="D722" s="9">
        <v>2</v>
      </c>
      <c r="E722" s="9">
        <v>8.2000000000000003E-2</v>
      </c>
      <c r="F722" s="9">
        <v>10</v>
      </c>
      <c r="G722" s="9">
        <v>22</v>
      </c>
      <c r="H722" s="9">
        <v>0.99760000000000004</v>
      </c>
      <c r="I722" s="9">
        <v>3.22</v>
      </c>
      <c r="J722" s="9">
        <v>0.44</v>
      </c>
      <c r="K722" s="9">
        <v>9.6</v>
      </c>
      <c r="L722" s="9">
        <v>5</v>
      </c>
    </row>
    <row r="723" spans="1:12" x14ac:dyDescent="0.3">
      <c r="A723" s="9">
        <v>8.9</v>
      </c>
      <c r="B723" s="9">
        <v>0.48</v>
      </c>
      <c r="C723" s="9">
        <v>0.24</v>
      </c>
      <c r="D723" s="9">
        <v>2.85</v>
      </c>
      <c r="E723" s="9">
        <v>9.4E-2</v>
      </c>
      <c r="F723" s="9">
        <v>35</v>
      </c>
      <c r="G723" s="9">
        <v>106</v>
      </c>
      <c r="H723" s="9">
        <v>0.99819999999999998</v>
      </c>
      <c r="I723" s="9">
        <v>3.1</v>
      </c>
      <c r="J723" s="9">
        <v>0.53</v>
      </c>
      <c r="K723" s="9">
        <v>9.1999999999999993</v>
      </c>
      <c r="L723" s="9">
        <v>5</v>
      </c>
    </row>
    <row r="724" spans="1:12" x14ac:dyDescent="0.3">
      <c r="A724" s="9">
        <v>7.6</v>
      </c>
      <c r="B724" s="9">
        <v>0.42</v>
      </c>
      <c r="C724" s="9">
        <v>0.08</v>
      </c>
      <c r="D724" s="9">
        <v>2.7</v>
      </c>
      <c r="E724" s="9">
        <v>8.4000000000000005E-2</v>
      </c>
      <c r="F724" s="9">
        <v>15</v>
      </c>
      <c r="G724" s="9">
        <v>48</v>
      </c>
      <c r="H724" s="9">
        <v>0.99680000000000002</v>
      </c>
      <c r="I724" s="9">
        <v>3.21</v>
      </c>
      <c r="J724" s="9">
        <v>0.59</v>
      </c>
      <c r="K724" s="9">
        <v>10</v>
      </c>
      <c r="L724" s="9">
        <v>5</v>
      </c>
    </row>
    <row r="725" spans="1:12" x14ac:dyDescent="0.3">
      <c r="A725" s="9">
        <v>7.1</v>
      </c>
      <c r="B725" s="9">
        <v>0.31</v>
      </c>
      <c r="C725" s="9">
        <v>0.3</v>
      </c>
      <c r="D725" s="9">
        <v>2.2000000000000002</v>
      </c>
      <c r="E725" s="9">
        <v>5.2999999999999999E-2</v>
      </c>
      <c r="F725" s="9">
        <v>36</v>
      </c>
      <c r="G725" s="9">
        <v>127</v>
      </c>
      <c r="H725" s="9">
        <v>0.99650000000000005</v>
      </c>
      <c r="I725" s="9">
        <v>2.94</v>
      </c>
      <c r="J725" s="9">
        <v>1.62</v>
      </c>
      <c r="K725" s="9">
        <v>9.5</v>
      </c>
      <c r="L725" s="9">
        <v>5</v>
      </c>
    </row>
    <row r="726" spans="1:12" x14ac:dyDescent="0.3">
      <c r="A726" s="9">
        <v>7.5</v>
      </c>
      <c r="B726" s="9">
        <v>1.115</v>
      </c>
      <c r="C726" s="9">
        <v>0.1</v>
      </c>
      <c r="D726" s="9">
        <v>3.1</v>
      </c>
      <c r="E726" s="9">
        <v>8.5999999999999993E-2</v>
      </c>
      <c r="F726" s="9">
        <v>5</v>
      </c>
      <c r="G726" s="9">
        <v>12</v>
      </c>
      <c r="H726" s="9">
        <v>0.99580000000000002</v>
      </c>
      <c r="I726" s="9">
        <v>3.54</v>
      </c>
      <c r="J726" s="9">
        <v>0.6</v>
      </c>
      <c r="K726" s="9">
        <v>11.2</v>
      </c>
      <c r="L726" s="9">
        <v>4</v>
      </c>
    </row>
    <row r="727" spans="1:12" x14ac:dyDescent="0.3">
      <c r="A727" s="9">
        <v>9</v>
      </c>
      <c r="B727" s="9">
        <v>0.66</v>
      </c>
      <c r="C727" s="9">
        <v>0.17</v>
      </c>
      <c r="D727" s="9">
        <v>3</v>
      </c>
      <c r="E727" s="9">
        <v>7.6999999999999999E-2</v>
      </c>
      <c r="F727" s="9">
        <v>5</v>
      </c>
      <c r="G727" s="9">
        <v>13</v>
      </c>
      <c r="H727" s="9">
        <v>0.99760000000000004</v>
      </c>
      <c r="I727" s="9">
        <v>3.29</v>
      </c>
      <c r="J727" s="9">
        <v>0.55000000000000004</v>
      </c>
      <c r="K727" s="9">
        <v>10.4</v>
      </c>
      <c r="L727" s="9">
        <v>5</v>
      </c>
    </row>
    <row r="728" spans="1:12" x14ac:dyDescent="0.3">
      <c r="A728" s="9">
        <v>8.1</v>
      </c>
      <c r="B728" s="9">
        <v>0.72</v>
      </c>
      <c r="C728" s="9">
        <v>0.09</v>
      </c>
      <c r="D728" s="9">
        <v>2.8</v>
      </c>
      <c r="E728" s="9">
        <v>8.4000000000000005E-2</v>
      </c>
      <c r="F728" s="9">
        <v>18</v>
      </c>
      <c r="G728" s="9">
        <v>49</v>
      </c>
      <c r="H728" s="9">
        <v>0.99939999999999996</v>
      </c>
      <c r="I728" s="9">
        <v>3.43</v>
      </c>
      <c r="J728" s="9">
        <v>0.72</v>
      </c>
      <c r="K728" s="9">
        <v>11.1</v>
      </c>
      <c r="L728" s="9">
        <v>6</v>
      </c>
    </row>
    <row r="729" spans="1:12" x14ac:dyDescent="0.3">
      <c r="A729" s="9">
        <v>6.4</v>
      </c>
      <c r="B729" s="9">
        <v>0.56999999999999995</v>
      </c>
      <c r="C729" s="9">
        <v>0.02</v>
      </c>
      <c r="D729" s="9">
        <v>1.8</v>
      </c>
      <c r="E729" s="9">
        <v>6.7000000000000004E-2</v>
      </c>
      <c r="F729" s="9">
        <v>4</v>
      </c>
      <c r="G729" s="9">
        <v>11</v>
      </c>
      <c r="H729" s="9">
        <v>0.997</v>
      </c>
      <c r="I729" s="9">
        <v>3.46</v>
      </c>
      <c r="J729" s="9">
        <v>0.68</v>
      </c>
      <c r="K729" s="9">
        <v>9.5</v>
      </c>
      <c r="L729" s="9">
        <v>5</v>
      </c>
    </row>
    <row r="730" spans="1:12" x14ac:dyDescent="0.3">
      <c r="A730" s="9">
        <v>6.4</v>
      </c>
      <c r="B730" s="9">
        <v>0.56999999999999995</v>
      </c>
      <c r="C730" s="9">
        <v>0.02</v>
      </c>
      <c r="D730" s="9">
        <v>1.8</v>
      </c>
      <c r="E730" s="9">
        <v>6.7000000000000004E-2</v>
      </c>
      <c r="F730" s="9">
        <v>4</v>
      </c>
      <c r="G730" s="9">
        <v>11</v>
      </c>
      <c r="H730" s="9">
        <v>0.997</v>
      </c>
      <c r="I730" s="9">
        <v>3.46</v>
      </c>
      <c r="J730" s="9">
        <v>0.68</v>
      </c>
      <c r="K730" s="9">
        <v>9.5</v>
      </c>
      <c r="L730" s="9">
        <v>5</v>
      </c>
    </row>
    <row r="731" spans="1:12" x14ac:dyDescent="0.3">
      <c r="A731" s="9">
        <v>6.4</v>
      </c>
      <c r="B731" s="9">
        <v>0.86499999999999999</v>
      </c>
      <c r="C731" s="9">
        <v>0.03</v>
      </c>
      <c r="D731" s="9">
        <v>3.2</v>
      </c>
      <c r="E731" s="9">
        <v>7.0999999999999994E-2</v>
      </c>
      <c r="F731" s="9">
        <v>27</v>
      </c>
      <c r="G731" s="9">
        <v>58</v>
      </c>
      <c r="H731" s="9">
        <v>0.995</v>
      </c>
      <c r="I731" s="9">
        <v>3.61</v>
      </c>
      <c r="J731" s="9">
        <v>0.49</v>
      </c>
      <c r="K731" s="9">
        <v>12.7</v>
      </c>
      <c r="L731" s="9">
        <v>6</v>
      </c>
    </row>
    <row r="732" spans="1:12" x14ac:dyDescent="0.3">
      <c r="A732" s="9">
        <v>9.5</v>
      </c>
      <c r="B732" s="9">
        <v>0.55000000000000004</v>
      </c>
      <c r="C732" s="9">
        <v>0.66</v>
      </c>
      <c r="D732" s="9">
        <v>2.2999999999999998</v>
      </c>
      <c r="E732" s="9">
        <v>0.38700000000000001</v>
      </c>
      <c r="F732" s="9">
        <v>12</v>
      </c>
      <c r="G732" s="9">
        <v>37</v>
      </c>
      <c r="H732" s="9">
        <v>0.99819999999999998</v>
      </c>
      <c r="I732" s="9">
        <v>3.17</v>
      </c>
      <c r="J732" s="9">
        <v>0.67</v>
      </c>
      <c r="K732" s="9">
        <v>9.6</v>
      </c>
      <c r="L732" s="9">
        <v>5</v>
      </c>
    </row>
    <row r="733" spans="1:12" x14ac:dyDescent="0.3">
      <c r="A733" s="9">
        <v>8.9</v>
      </c>
      <c r="B733" s="9">
        <v>0.875</v>
      </c>
      <c r="C733" s="9">
        <v>0.13</v>
      </c>
      <c r="D733" s="9">
        <v>3.45</v>
      </c>
      <c r="E733" s="9">
        <v>8.7999999999999995E-2</v>
      </c>
      <c r="F733" s="9">
        <v>4</v>
      </c>
      <c r="G733" s="9">
        <v>14</v>
      </c>
      <c r="H733" s="9">
        <v>0.99939999999999996</v>
      </c>
      <c r="I733" s="9">
        <v>3.44</v>
      </c>
      <c r="J733" s="9">
        <v>0.52</v>
      </c>
      <c r="K733" s="9">
        <v>11.5</v>
      </c>
      <c r="L733" s="9">
        <v>5</v>
      </c>
    </row>
    <row r="734" spans="1:12" x14ac:dyDescent="0.3">
      <c r="A734" s="9">
        <v>7.3</v>
      </c>
      <c r="B734" s="9">
        <v>0.83499999999999996</v>
      </c>
      <c r="C734" s="9">
        <v>0.03</v>
      </c>
      <c r="D734" s="9">
        <v>2.1</v>
      </c>
      <c r="E734" s="9">
        <v>9.1999999999999998E-2</v>
      </c>
      <c r="F734" s="9">
        <v>10</v>
      </c>
      <c r="G734" s="9">
        <v>19</v>
      </c>
      <c r="H734" s="9">
        <v>0.99660000000000004</v>
      </c>
      <c r="I734" s="9">
        <v>3.39</v>
      </c>
      <c r="J734" s="9">
        <v>0.47</v>
      </c>
      <c r="K734" s="9">
        <v>9.6</v>
      </c>
      <c r="L734" s="9">
        <v>5</v>
      </c>
    </row>
    <row r="735" spans="1:12" x14ac:dyDescent="0.3">
      <c r="A735" s="9">
        <v>7</v>
      </c>
      <c r="B735" s="9">
        <v>0.45</v>
      </c>
      <c r="C735" s="9">
        <v>0.34</v>
      </c>
      <c r="D735" s="9">
        <v>2.7</v>
      </c>
      <c r="E735" s="9">
        <v>8.2000000000000003E-2</v>
      </c>
      <c r="F735" s="9">
        <v>16</v>
      </c>
      <c r="G735" s="9">
        <v>72</v>
      </c>
      <c r="H735" s="9">
        <v>0.998</v>
      </c>
      <c r="I735" s="9">
        <v>3.55</v>
      </c>
      <c r="J735" s="9">
        <v>0.6</v>
      </c>
      <c r="K735" s="9">
        <v>9.5</v>
      </c>
      <c r="L735" s="9">
        <v>5</v>
      </c>
    </row>
    <row r="736" spans="1:12" x14ac:dyDescent="0.3">
      <c r="A736" s="9">
        <v>7.7</v>
      </c>
      <c r="B736" s="9">
        <v>0.56000000000000005</v>
      </c>
      <c r="C736" s="9">
        <v>0.2</v>
      </c>
      <c r="D736" s="9">
        <v>2</v>
      </c>
      <c r="E736" s="9">
        <v>7.4999999999999997E-2</v>
      </c>
      <c r="F736" s="9">
        <v>9</v>
      </c>
      <c r="G736" s="9">
        <v>39</v>
      </c>
      <c r="H736" s="9">
        <v>0.99870000000000003</v>
      </c>
      <c r="I736" s="9">
        <v>3.48</v>
      </c>
      <c r="J736" s="9">
        <v>0.62</v>
      </c>
      <c r="K736" s="9">
        <v>9.3000000000000007</v>
      </c>
      <c r="L736" s="9">
        <v>5</v>
      </c>
    </row>
    <row r="737" spans="1:12" x14ac:dyDescent="0.3">
      <c r="A737" s="9">
        <v>7.7</v>
      </c>
      <c r="B737" s="9">
        <v>0.96499999999999997</v>
      </c>
      <c r="C737" s="9">
        <v>0.1</v>
      </c>
      <c r="D737" s="9">
        <v>2.1</v>
      </c>
      <c r="E737" s="9">
        <v>0.112</v>
      </c>
      <c r="F737" s="9">
        <v>11</v>
      </c>
      <c r="G737" s="9">
        <v>22</v>
      </c>
      <c r="H737" s="9">
        <v>0.99629999999999996</v>
      </c>
      <c r="I737" s="9">
        <v>3.26</v>
      </c>
      <c r="J737" s="9">
        <v>0.5</v>
      </c>
      <c r="K737" s="9">
        <v>9.5</v>
      </c>
      <c r="L737" s="9">
        <v>5</v>
      </c>
    </row>
    <row r="738" spans="1:12" x14ac:dyDescent="0.3">
      <c r="A738" s="9">
        <v>7.7</v>
      </c>
      <c r="B738" s="9">
        <v>0.96499999999999997</v>
      </c>
      <c r="C738" s="9">
        <v>0.1</v>
      </c>
      <c r="D738" s="9">
        <v>2.1</v>
      </c>
      <c r="E738" s="9">
        <v>0.112</v>
      </c>
      <c r="F738" s="9">
        <v>11</v>
      </c>
      <c r="G738" s="9">
        <v>22</v>
      </c>
      <c r="H738" s="9">
        <v>0.99629999999999996</v>
      </c>
      <c r="I738" s="9">
        <v>3.26</v>
      </c>
      <c r="J738" s="9">
        <v>0.5</v>
      </c>
      <c r="K738" s="9">
        <v>9.5</v>
      </c>
      <c r="L738" s="9">
        <v>5</v>
      </c>
    </row>
    <row r="739" spans="1:12" x14ac:dyDescent="0.3">
      <c r="A739" s="9">
        <v>8.1999999999999993</v>
      </c>
      <c r="B739" s="9">
        <v>0.59</v>
      </c>
      <c r="C739" s="9">
        <v>0</v>
      </c>
      <c r="D739" s="9">
        <v>2.5</v>
      </c>
      <c r="E739" s="9">
        <v>9.2999999999999999E-2</v>
      </c>
      <c r="F739" s="9">
        <v>19</v>
      </c>
      <c r="G739" s="9">
        <v>58</v>
      </c>
      <c r="H739" s="9">
        <v>1.0002</v>
      </c>
      <c r="I739" s="9">
        <v>3.5</v>
      </c>
      <c r="J739" s="9">
        <v>0.65</v>
      </c>
      <c r="K739" s="9">
        <v>9.3000000000000007</v>
      </c>
      <c r="L739" s="9">
        <v>6</v>
      </c>
    </row>
    <row r="740" spans="1:12" x14ac:dyDescent="0.3">
      <c r="A740" s="9">
        <v>9</v>
      </c>
      <c r="B740" s="9">
        <v>0.46</v>
      </c>
      <c r="C740" s="9">
        <v>0.23</v>
      </c>
      <c r="D740" s="9">
        <v>2.8</v>
      </c>
      <c r="E740" s="9">
        <v>9.1999999999999998E-2</v>
      </c>
      <c r="F740" s="9">
        <v>28</v>
      </c>
      <c r="G740" s="9">
        <v>104</v>
      </c>
      <c r="H740" s="9">
        <v>0.99829999999999997</v>
      </c>
      <c r="I740" s="9">
        <v>3.1</v>
      </c>
      <c r="J740" s="9">
        <v>0.56000000000000005</v>
      </c>
      <c r="K740" s="9">
        <v>9.1999999999999993</v>
      </c>
      <c r="L740" s="9">
        <v>5</v>
      </c>
    </row>
    <row r="741" spans="1:12" x14ac:dyDescent="0.3">
      <c r="A741" s="9">
        <v>9</v>
      </c>
      <c r="B741" s="9">
        <v>0.69</v>
      </c>
      <c r="C741" s="9">
        <v>0</v>
      </c>
      <c r="D741" s="9">
        <v>2.4</v>
      </c>
      <c r="E741" s="9">
        <v>8.7999999999999995E-2</v>
      </c>
      <c r="F741" s="9">
        <v>19</v>
      </c>
      <c r="G741" s="9">
        <v>38</v>
      </c>
      <c r="H741" s="9">
        <v>0.999</v>
      </c>
      <c r="I741" s="9">
        <v>3.35</v>
      </c>
      <c r="J741" s="9">
        <v>0.6</v>
      </c>
      <c r="K741" s="9">
        <v>9.3000000000000007</v>
      </c>
      <c r="L741" s="9">
        <v>5</v>
      </c>
    </row>
    <row r="742" spans="1:12" x14ac:dyDescent="0.3">
      <c r="A742" s="9">
        <v>8.3000000000000007</v>
      </c>
      <c r="B742" s="9">
        <v>0.76</v>
      </c>
      <c r="C742" s="9">
        <v>0.28999999999999998</v>
      </c>
      <c r="D742" s="9">
        <v>4.2</v>
      </c>
      <c r="E742" s="9">
        <v>7.4999999999999997E-2</v>
      </c>
      <c r="F742" s="9">
        <v>12</v>
      </c>
      <c r="G742" s="9">
        <v>16</v>
      </c>
      <c r="H742" s="9">
        <v>0.99650000000000005</v>
      </c>
      <c r="I742" s="9">
        <v>3.45</v>
      </c>
      <c r="J742" s="9">
        <v>0.68</v>
      </c>
      <c r="K742" s="9">
        <v>11.5</v>
      </c>
      <c r="L742" s="9">
        <v>6</v>
      </c>
    </row>
    <row r="743" spans="1:12" x14ac:dyDescent="0.3">
      <c r="A743" s="9">
        <v>9.1999999999999993</v>
      </c>
      <c r="B743" s="9">
        <v>0.53</v>
      </c>
      <c r="C743" s="9">
        <v>0.24</v>
      </c>
      <c r="D743" s="9">
        <v>2.6</v>
      </c>
      <c r="E743" s="9">
        <v>7.8E-2</v>
      </c>
      <c r="F743" s="9">
        <v>28</v>
      </c>
      <c r="G743" s="9">
        <v>139</v>
      </c>
      <c r="H743" s="9">
        <v>0.99787999999999999</v>
      </c>
      <c r="I743" s="9">
        <v>3.21</v>
      </c>
      <c r="J743" s="9">
        <v>0.56999999999999995</v>
      </c>
      <c r="K743" s="9">
        <v>9.5</v>
      </c>
      <c r="L743" s="9">
        <v>5</v>
      </c>
    </row>
    <row r="744" spans="1:12" x14ac:dyDescent="0.3">
      <c r="A744" s="9">
        <v>6.5</v>
      </c>
      <c r="B744" s="9">
        <v>0.61499999999999999</v>
      </c>
      <c r="C744" s="9">
        <v>0</v>
      </c>
      <c r="D744" s="9">
        <v>1.9</v>
      </c>
      <c r="E744" s="9">
        <v>6.5000000000000002E-2</v>
      </c>
      <c r="F744" s="9">
        <v>9</v>
      </c>
      <c r="G744" s="9">
        <v>18</v>
      </c>
      <c r="H744" s="9">
        <v>0.99719999999999998</v>
      </c>
      <c r="I744" s="9">
        <v>3.46</v>
      </c>
      <c r="J744" s="9">
        <v>0.65</v>
      </c>
      <c r="K744" s="9">
        <v>9.1999999999999993</v>
      </c>
      <c r="L744" s="9">
        <v>5</v>
      </c>
    </row>
    <row r="745" spans="1:12" x14ac:dyDescent="0.3">
      <c r="A745" s="9">
        <v>11.6</v>
      </c>
      <c r="B745" s="9">
        <v>0.41</v>
      </c>
      <c r="C745" s="9">
        <v>0.57999999999999996</v>
      </c>
      <c r="D745" s="9">
        <v>2.8</v>
      </c>
      <c r="E745" s="9">
        <v>9.6000000000000002E-2</v>
      </c>
      <c r="F745" s="9">
        <v>25</v>
      </c>
      <c r="G745" s="9">
        <v>101</v>
      </c>
      <c r="H745" s="9">
        <v>1.00024</v>
      </c>
      <c r="I745" s="9">
        <v>3.13</v>
      </c>
      <c r="J745" s="9">
        <v>0.53</v>
      </c>
      <c r="K745" s="9">
        <v>10</v>
      </c>
      <c r="L745" s="9">
        <v>5</v>
      </c>
    </row>
    <row r="746" spans="1:12" x14ac:dyDescent="0.3">
      <c r="A746" s="9">
        <v>11.1</v>
      </c>
      <c r="B746" s="9">
        <v>0.39</v>
      </c>
      <c r="C746" s="9">
        <v>0.54</v>
      </c>
      <c r="D746" s="9">
        <v>2.7</v>
      </c>
      <c r="E746" s="9">
        <v>9.5000000000000001E-2</v>
      </c>
      <c r="F746" s="9">
        <v>21</v>
      </c>
      <c r="G746" s="9">
        <v>101</v>
      </c>
      <c r="H746" s="9">
        <v>1.0001</v>
      </c>
      <c r="I746" s="9">
        <v>3.13</v>
      </c>
      <c r="J746" s="9">
        <v>0.51</v>
      </c>
      <c r="K746" s="9">
        <v>9.5</v>
      </c>
      <c r="L746" s="9">
        <v>5</v>
      </c>
    </row>
    <row r="747" spans="1:12" x14ac:dyDescent="0.3">
      <c r="A747" s="9">
        <v>7.3</v>
      </c>
      <c r="B747" s="9">
        <v>0.51</v>
      </c>
      <c r="C747" s="9">
        <v>0.18</v>
      </c>
      <c r="D747" s="9">
        <v>2.1</v>
      </c>
      <c r="E747" s="9">
        <v>7.0000000000000007E-2</v>
      </c>
      <c r="F747" s="9">
        <v>12</v>
      </c>
      <c r="G747" s="9">
        <v>28</v>
      </c>
      <c r="H747" s="9">
        <v>0.99768000000000001</v>
      </c>
      <c r="I747" s="9">
        <v>3.52</v>
      </c>
      <c r="J747" s="9">
        <v>0.73</v>
      </c>
      <c r="K747" s="9">
        <v>9.5</v>
      </c>
      <c r="L747" s="9">
        <v>6</v>
      </c>
    </row>
    <row r="748" spans="1:12" x14ac:dyDescent="0.3">
      <c r="A748" s="9">
        <v>8.1999999999999993</v>
      </c>
      <c r="B748" s="9">
        <v>0.34</v>
      </c>
      <c r="C748" s="9">
        <v>0.38</v>
      </c>
      <c r="D748" s="9">
        <v>2.5</v>
      </c>
      <c r="E748" s="9">
        <v>0.08</v>
      </c>
      <c r="F748" s="9">
        <v>12</v>
      </c>
      <c r="G748" s="9">
        <v>57</v>
      </c>
      <c r="H748" s="9">
        <v>0.99780000000000002</v>
      </c>
      <c r="I748" s="9">
        <v>3.3</v>
      </c>
      <c r="J748" s="9">
        <v>0.47</v>
      </c>
      <c r="K748" s="9">
        <v>9</v>
      </c>
      <c r="L748" s="9">
        <v>6</v>
      </c>
    </row>
    <row r="749" spans="1:12" x14ac:dyDescent="0.3">
      <c r="A749" s="9">
        <v>8.6</v>
      </c>
      <c r="B749" s="9">
        <v>0.33</v>
      </c>
      <c r="C749" s="9">
        <v>0.4</v>
      </c>
      <c r="D749" s="9">
        <v>2.6</v>
      </c>
      <c r="E749" s="9">
        <v>8.3000000000000004E-2</v>
      </c>
      <c r="F749" s="9">
        <v>16</v>
      </c>
      <c r="G749" s="9">
        <v>68</v>
      </c>
      <c r="H749" s="9">
        <v>0.99782000000000004</v>
      </c>
      <c r="I749" s="9">
        <v>3.3</v>
      </c>
      <c r="J749" s="9">
        <v>0.48</v>
      </c>
      <c r="K749" s="9">
        <v>9.4</v>
      </c>
      <c r="L749" s="9">
        <v>5</v>
      </c>
    </row>
    <row r="750" spans="1:12" x14ac:dyDescent="0.3">
      <c r="A750" s="9">
        <v>7.2</v>
      </c>
      <c r="B750" s="9">
        <v>0.5</v>
      </c>
      <c r="C750" s="9">
        <v>0.18</v>
      </c>
      <c r="D750" s="9">
        <v>2.1</v>
      </c>
      <c r="E750" s="9">
        <v>7.0999999999999994E-2</v>
      </c>
      <c r="F750" s="9">
        <v>12</v>
      </c>
      <c r="G750" s="9">
        <v>31</v>
      </c>
      <c r="H750" s="9">
        <v>0.99761</v>
      </c>
      <c r="I750" s="9">
        <v>3.52</v>
      </c>
      <c r="J750" s="9">
        <v>0.72</v>
      </c>
      <c r="K750" s="9">
        <v>9.6</v>
      </c>
      <c r="L750" s="9">
        <v>6</v>
      </c>
    </row>
    <row r="751" spans="1:12" x14ac:dyDescent="0.3">
      <c r="A751" s="9">
        <v>7.3</v>
      </c>
      <c r="B751" s="9">
        <v>0.51</v>
      </c>
      <c r="C751" s="9">
        <v>0.18</v>
      </c>
      <c r="D751" s="9">
        <v>2.1</v>
      </c>
      <c r="E751" s="9">
        <v>7.0000000000000007E-2</v>
      </c>
      <c r="F751" s="9">
        <v>12</v>
      </c>
      <c r="G751" s="9">
        <v>28</v>
      </c>
      <c r="H751" s="9">
        <v>0.99768000000000001</v>
      </c>
      <c r="I751" s="9">
        <v>3.52</v>
      </c>
      <c r="J751" s="9">
        <v>0.73</v>
      </c>
      <c r="K751" s="9">
        <v>9.5</v>
      </c>
      <c r="L751" s="9">
        <v>6</v>
      </c>
    </row>
    <row r="752" spans="1:12" x14ac:dyDescent="0.3">
      <c r="A752" s="9">
        <v>8.3000000000000007</v>
      </c>
      <c r="B752" s="9">
        <v>0.65</v>
      </c>
      <c r="C752" s="9">
        <v>0.1</v>
      </c>
      <c r="D752" s="9">
        <v>2.9</v>
      </c>
      <c r="E752" s="9">
        <v>8.8999999999999996E-2</v>
      </c>
      <c r="F752" s="9">
        <v>17</v>
      </c>
      <c r="G752" s="9">
        <v>40</v>
      </c>
      <c r="H752" s="9">
        <v>0.99802999999999997</v>
      </c>
      <c r="I752" s="9">
        <v>3.29</v>
      </c>
      <c r="J752" s="9">
        <v>0.55000000000000004</v>
      </c>
      <c r="K752" s="9">
        <v>9.5</v>
      </c>
      <c r="L752" s="9">
        <v>5</v>
      </c>
    </row>
    <row r="753" spans="1:12" x14ac:dyDescent="0.3">
      <c r="A753" s="9">
        <v>8.3000000000000007</v>
      </c>
      <c r="B753" s="9">
        <v>0.65</v>
      </c>
      <c r="C753" s="9">
        <v>0.1</v>
      </c>
      <c r="D753" s="9">
        <v>2.9</v>
      </c>
      <c r="E753" s="9">
        <v>8.8999999999999996E-2</v>
      </c>
      <c r="F753" s="9">
        <v>17</v>
      </c>
      <c r="G753" s="9">
        <v>40</v>
      </c>
      <c r="H753" s="9">
        <v>0.99802999999999997</v>
      </c>
      <c r="I753" s="9">
        <v>3.29</v>
      </c>
      <c r="J753" s="9">
        <v>0.55000000000000004</v>
      </c>
      <c r="K753" s="9">
        <v>9.5</v>
      </c>
      <c r="L753" s="9">
        <v>5</v>
      </c>
    </row>
    <row r="754" spans="1:12" x14ac:dyDescent="0.3">
      <c r="A754" s="9">
        <v>7.6</v>
      </c>
      <c r="B754" s="9">
        <v>0.54</v>
      </c>
      <c r="C754" s="9">
        <v>0.13</v>
      </c>
      <c r="D754" s="9">
        <v>2.5</v>
      </c>
      <c r="E754" s="9">
        <v>9.7000000000000003E-2</v>
      </c>
      <c r="F754" s="9">
        <v>24</v>
      </c>
      <c r="G754" s="9">
        <v>66</v>
      </c>
      <c r="H754" s="9">
        <v>0.99785000000000001</v>
      </c>
      <c r="I754" s="9">
        <v>3.39</v>
      </c>
      <c r="J754" s="9">
        <v>0.61</v>
      </c>
      <c r="K754" s="9">
        <v>9.4</v>
      </c>
      <c r="L754" s="9">
        <v>5</v>
      </c>
    </row>
    <row r="755" spans="1:12" x14ac:dyDescent="0.3">
      <c r="A755" s="9">
        <v>8.3000000000000007</v>
      </c>
      <c r="B755" s="9">
        <v>0.65</v>
      </c>
      <c r="C755" s="9">
        <v>0.1</v>
      </c>
      <c r="D755" s="9">
        <v>2.9</v>
      </c>
      <c r="E755" s="9">
        <v>8.8999999999999996E-2</v>
      </c>
      <c r="F755" s="9">
        <v>17</v>
      </c>
      <c r="G755" s="9">
        <v>40</v>
      </c>
      <c r="H755" s="9">
        <v>0.99802999999999997</v>
      </c>
      <c r="I755" s="9">
        <v>3.29</v>
      </c>
      <c r="J755" s="9">
        <v>0.55000000000000004</v>
      </c>
      <c r="K755" s="9">
        <v>9.5</v>
      </c>
      <c r="L755" s="9">
        <v>5</v>
      </c>
    </row>
    <row r="756" spans="1:12" x14ac:dyDescent="0.3">
      <c r="A756" s="9">
        <v>7.8</v>
      </c>
      <c r="B756" s="9">
        <v>0.48</v>
      </c>
      <c r="C756" s="9">
        <v>0.68</v>
      </c>
      <c r="D756" s="9">
        <v>1.7</v>
      </c>
      <c r="E756" s="9">
        <v>0.41499999999999998</v>
      </c>
      <c r="F756" s="9">
        <v>14</v>
      </c>
      <c r="G756" s="9">
        <v>32</v>
      </c>
      <c r="H756" s="9">
        <v>0.99656</v>
      </c>
      <c r="I756" s="9">
        <v>3.09</v>
      </c>
      <c r="J756" s="9">
        <v>1.06</v>
      </c>
      <c r="K756" s="9">
        <v>9.1</v>
      </c>
      <c r="L756" s="9">
        <v>6</v>
      </c>
    </row>
    <row r="757" spans="1:12" x14ac:dyDescent="0.3">
      <c r="A757" s="9">
        <v>7.8</v>
      </c>
      <c r="B757" s="9">
        <v>0.91</v>
      </c>
      <c r="C757" s="9">
        <v>7.0000000000000007E-2</v>
      </c>
      <c r="D757" s="9">
        <v>1.9</v>
      </c>
      <c r="E757" s="9">
        <v>5.8000000000000003E-2</v>
      </c>
      <c r="F757" s="9">
        <v>22</v>
      </c>
      <c r="G757" s="9">
        <v>47</v>
      </c>
      <c r="H757" s="9">
        <v>0.99524999999999997</v>
      </c>
      <c r="I757" s="9">
        <v>3.51</v>
      </c>
      <c r="J757" s="9">
        <v>0.43</v>
      </c>
      <c r="K757" s="9">
        <v>10.7</v>
      </c>
      <c r="L757" s="9">
        <v>6</v>
      </c>
    </row>
    <row r="758" spans="1:12" x14ac:dyDescent="0.3">
      <c r="A758" s="9">
        <v>6.3</v>
      </c>
      <c r="B758" s="9">
        <v>0.98</v>
      </c>
      <c r="C758" s="9">
        <v>0.01</v>
      </c>
      <c r="D758" s="9">
        <v>2</v>
      </c>
      <c r="E758" s="9">
        <v>5.7000000000000002E-2</v>
      </c>
      <c r="F758" s="9">
        <v>15</v>
      </c>
      <c r="G758" s="9">
        <v>33</v>
      </c>
      <c r="H758" s="9">
        <v>0.99487999999999999</v>
      </c>
      <c r="I758" s="9">
        <v>3.6</v>
      </c>
      <c r="J758" s="9">
        <v>0.46</v>
      </c>
      <c r="K758" s="9">
        <v>11.2</v>
      </c>
      <c r="L758" s="9">
        <v>6</v>
      </c>
    </row>
    <row r="759" spans="1:12" x14ac:dyDescent="0.3">
      <c r="A759" s="9">
        <v>8.1</v>
      </c>
      <c r="B759" s="9">
        <v>0.87</v>
      </c>
      <c r="C759" s="9">
        <v>0</v>
      </c>
      <c r="D759" s="9">
        <v>2.2000000000000002</v>
      </c>
      <c r="E759" s="9">
        <v>8.4000000000000005E-2</v>
      </c>
      <c r="F759" s="9">
        <v>10</v>
      </c>
      <c r="G759" s="9">
        <v>31</v>
      </c>
      <c r="H759" s="9">
        <v>0.99656</v>
      </c>
      <c r="I759" s="9">
        <v>3.25</v>
      </c>
      <c r="J759" s="9">
        <v>0.5</v>
      </c>
      <c r="K759" s="9">
        <v>9.8000000000000007</v>
      </c>
      <c r="L759" s="9">
        <v>5</v>
      </c>
    </row>
    <row r="760" spans="1:12" x14ac:dyDescent="0.3">
      <c r="A760" s="9">
        <v>8.1</v>
      </c>
      <c r="B760" s="9">
        <v>0.87</v>
      </c>
      <c r="C760" s="9">
        <v>0</v>
      </c>
      <c r="D760" s="9">
        <v>2.2000000000000002</v>
      </c>
      <c r="E760" s="9">
        <v>8.4000000000000005E-2</v>
      </c>
      <c r="F760" s="9">
        <v>10</v>
      </c>
      <c r="G760" s="9">
        <v>31</v>
      </c>
      <c r="H760" s="9">
        <v>0.99656</v>
      </c>
      <c r="I760" s="9">
        <v>3.25</v>
      </c>
      <c r="J760" s="9">
        <v>0.5</v>
      </c>
      <c r="K760" s="9">
        <v>9.8000000000000007</v>
      </c>
      <c r="L760" s="9">
        <v>5</v>
      </c>
    </row>
    <row r="761" spans="1:12" x14ac:dyDescent="0.3">
      <c r="A761" s="9">
        <v>8.8000000000000007</v>
      </c>
      <c r="B761" s="9">
        <v>0.42</v>
      </c>
      <c r="C761" s="9">
        <v>0.21</v>
      </c>
      <c r="D761" s="9">
        <v>2.5</v>
      </c>
      <c r="E761" s="9">
        <v>9.1999999999999998E-2</v>
      </c>
      <c r="F761" s="9">
        <v>33</v>
      </c>
      <c r="G761" s="9">
        <v>88</v>
      </c>
      <c r="H761" s="9">
        <v>0.99822999999999995</v>
      </c>
      <c r="I761" s="9">
        <v>3.19</v>
      </c>
      <c r="J761" s="9">
        <v>0.52</v>
      </c>
      <c r="K761" s="9">
        <v>9.1999999999999993</v>
      </c>
      <c r="L761" s="9">
        <v>5</v>
      </c>
    </row>
    <row r="762" spans="1:12" x14ac:dyDescent="0.3">
      <c r="A762" s="9">
        <v>9</v>
      </c>
      <c r="B762" s="9">
        <v>0.57999999999999996</v>
      </c>
      <c r="C762" s="9">
        <v>0.25</v>
      </c>
      <c r="D762" s="9">
        <v>2.8</v>
      </c>
      <c r="E762" s="9">
        <v>7.4999999999999997E-2</v>
      </c>
      <c r="F762" s="9">
        <v>9</v>
      </c>
      <c r="G762" s="9">
        <v>104</v>
      </c>
      <c r="H762" s="9">
        <v>0.99778999999999995</v>
      </c>
      <c r="I762" s="9">
        <v>3.23</v>
      </c>
      <c r="J762" s="9">
        <v>0.56999999999999995</v>
      </c>
      <c r="K762" s="9">
        <v>9.6999999999999993</v>
      </c>
      <c r="L762" s="9">
        <v>5</v>
      </c>
    </row>
    <row r="763" spans="1:12" x14ac:dyDescent="0.3">
      <c r="A763" s="9">
        <v>9.3000000000000007</v>
      </c>
      <c r="B763" s="9">
        <v>0.65500000000000003</v>
      </c>
      <c r="C763" s="9">
        <v>0.26</v>
      </c>
      <c r="D763" s="9">
        <v>2</v>
      </c>
      <c r="E763" s="9">
        <v>9.6000000000000002E-2</v>
      </c>
      <c r="F763" s="9">
        <v>5</v>
      </c>
      <c r="G763" s="9">
        <v>35</v>
      </c>
      <c r="H763" s="9">
        <v>0.99738000000000004</v>
      </c>
      <c r="I763" s="9">
        <v>3.25</v>
      </c>
      <c r="J763" s="9">
        <v>0.42</v>
      </c>
      <c r="K763" s="9">
        <v>9.6</v>
      </c>
      <c r="L763" s="9">
        <v>5</v>
      </c>
    </row>
    <row r="764" spans="1:12" x14ac:dyDescent="0.3">
      <c r="A764" s="9">
        <v>8.8000000000000007</v>
      </c>
      <c r="B764" s="9">
        <v>0.7</v>
      </c>
      <c r="C764" s="9">
        <v>0</v>
      </c>
      <c r="D764" s="9">
        <v>1.7</v>
      </c>
      <c r="E764" s="9">
        <v>6.9000000000000006E-2</v>
      </c>
      <c r="F764" s="9">
        <v>8</v>
      </c>
      <c r="G764" s="9">
        <v>19</v>
      </c>
      <c r="H764" s="9">
        <v>0.99700999999999995</v>
      </c>
      <c r="I764" s="9">
        <v>3.31</v>
      </c>
      <c r="J764" s="9">
        <v>0.53</v>
      </c>
      <c r="K764" s="9">
        <v>10</v>
      </c>
      <c r="L764" s="9">
        <v>6</v>
      </c>
    </row>
    <row r="765" spans="1:12" x14ac:dyDescent="0.3">
      <c r="A765" s="9">
        <v>9.3000000000000007</v>
      </c>
      <c r="B765" s="9">
        <v>0.65500000000000003</v>
      </c>
      <c r="C765" s="9">
        <v>0.26</v>
      </c>
      <c r="D765" s="9">
        <v>2</v>
      </c>
      <c r="E765" s="9">
        <v>9.6000000000000002E-2</v>
      </c>
      <c r="F765" s="9">
        <v>5</v>
      </c>
      <c r="G765" s="9">
        <v>35</v>
      </c>
      <c r="H765" s="9">
        <v>0.99738000000000004</v>
      </c>
      <c r="I765" s="9">
        <v>3.25</v>
      </c>
      <c r="J765" s="9">
        <v>0.42</v>
      </c>
      <c r="K765" s="9">
        <v>9.6</v>
      </c>
      <c r="L765" s="9">
        <v>5</v>
      </c>
    </row>
    <row r="766" spans="1:12" x14ac:dyDescent="0.3">
      <c r="A766" s="9">
        <v>9.1</v>
      </c>
      <c r="B766" s="9">
        <v>0.68</v>
      </c>
      <c r="C766" s="9">
        <v>0.11</v>
      </c>
      <c r="D766" s="9">
        <v>2.8</v>
      </c>
      <c r="E766" s="9">
        <v>9.2999999999999999E-2</v>
      </c>
      <c r="F766" s="9">
        <v>11</v>
      </c>
      <c r="G766" s="9">
        <v>44</v>
      </c>
      <c r="H766" s="9">
        <v>0.99887999999999999</v>
      </c>
      <c r="I766" s="9">
        <v>3.31</v>
      </c>
      <c r="J766" s="9">
        <v>0.55000000000000004</v>
      </c>
      <c r="K766" s="9">
        <v>9.5</v>
      </c>
      <c r="L766" s="9">
        <v>6</v>
      </c>
    </row>
    <row r="767" spans="1:12" x14ac:dyDescent="0.3">
      <c r="A767" s="9">
        <v>9.1999999999999993</v>
      </c>
      <c r="B767" s="9">
        <v>0.67</v>
      </c>
      <c r="C767" s="9">
        <v>0.1</v>
      </c>
      <c r="D767" s="9">
        <v>3</v>
      </c>
      <c r="E767" s="9">
        <v>9.0999999999999998E-2</v>
      </c>
      <c r="F767" s="9">
        <v>12</v>
      </c>
      <c r="G767" s="9">
        <v>48</v>
      </c>
      <c r="H767" s="9">
        <v>0.99887999999999999</v>
      </c>
      <c r="I767" s="9">
        <v>3.31</v>
      </c>
      <c r="J767" s="9">
        <v>0.54</v>
      </c>
      <c r="K767" s="9">
        <v>9.5</v>
      </c>
      <c r="L767" s="9">
        <v>6</v>
      </c>
    </row>
    <row r="768" spans="1:12" x14ac:dyDescent="0.3">
      <c r="A768" s="9">
        <v>8.8000000000000007</v>
      </c>
      <c r="B768" s="9">
        <v>0.59</v>
      </c>
      <c r="C768" s="9">
        <v>0.18</v>
      </c>
      <c r="D768" s="9">
        <v>2.9</v>
      </c>
      <c r="E768" s="9">
        <v>8.8999999999999996E-2</v>
      </c>
      <c r="F768" s="9">
        <v>12</v>
      </c>
      <c r="G768" s="9">
        <v>74</v>
      </c>
      <c r="H768" s="9">
        <v>0.99738000000000004</v>
      </c>
      <c r="I768" s="9">
        <v>3.14</v>
      </c>
      <c r="J768" s="9">
        <v>0.54</v>
      </c>
      <c r="K768" s="9">
        <v>9.4</v>
      </c>
      <c r="L768" s="9">
        <v>5</v>
      </c>
    </row>
    <row r="769" spans="1:12" x14ac:dyDescent="0.3">
      <c r="A769" s="9">
        <v>7.5</v>
      </c>
      <c r="B769" s="9">
        <v>0.6</v>
      </c>
      <c r="C769" s="9">
        <v>0.32</v>
      </c>
      <c r="D769" s="9">
        <v>2.7</v>
      </c>
      <c r="E769" s="9">
        <v>0.10299999999999999</v>
      </c>
      <c r="F769" s="9">
        <v>13</v>
      </c>
      <c r="G769" s="9">
        <v>98</v>
      </c>
      <c r="H769" s="9">
        <v>0.99938000000000005</v>
      </c>
      <c r="I769" s="9">
        <v>3.45</v>
      </c>
      <c r="J769" s="9">
        <v>0.62</v>
      </c>
      <c r="K769" s="9">
        <v>9.5</v>
      </c>
      <c r="L769" s="9">
        <v>5</v>
      </c>
    </row>
    <row r="770" spans="1:12" x14ac:dyDescent="0.3">
      <c r="A770" s="9">
        <v>7.1</v>
      </c>
      <c r="B770" s="9">
        <v>0.59</v>
      </c>
      <c r="C770" s="9">
        <v>0.02</v>
      </c>
      <c r="D770" s="9">
        <v>2.2999999999999998</v>
      </c>
      <c r="E770" s="9">
        <v>8.2000000000000003E-2</v>
      </c>
      <c r="F770" s="9">
        <v>24</v>
      </c>
      <c r="G770" s="9">
        <v>94</v>
      </c>
      <c r="H770" s="9">
        <v>0.99743999999999999</v>
      </c>
      <c r="I770" s="9">
        <v>3.55</v>
      </c>
      <c r="J770" s="9">
        <v>0.53</v>
      </c>
      <c r="K770" s="9">
        <v>9.6999999999999993</v>
      </c>
      <c r="L770" s="9">
        <v>6</v>
      </c>
    </row>
    <row r="771" spans="1:12" x14ac:dyDescent="0.3">
      <c r="A771" s="9">
        <v>7.9</v>
      </c>
      <c r="B771" s="9">
        <v>0.72</v>
      </c>
      <c r="C771" s="9">
        <v>0.01</v>
      </c>
      <c r="D771" s="9">
        <v>1.9</v>
      </c>
      <c r="E771" s="9">
        <v>7.5999999999999998E-2</v>
      </c>
      <c r="F771" s="9">
        <v>7</v>
      </c>
      <c r="G771" s="9">
        <v>32</v>
      </c>
      <c r="H771" s="9">
        <v>0.99668000000000001</v>
      </c>
      <c r="I771" s="9">
        <v>3.39</v>
      </c>
      <c r="J771" s="9">
        <v>0.54</v>
      </c>
      <c r="K771" s="9">
        <v>9.6</v>
      </c>
      <c r="L771" s="9">
        <v>5</v>
      </c>
    </row>
    <row r="772" spans="1:12" x14ac:dyDescent="0.3">
      <c r="A772" s="9">
        <v>7.1</v>
      </c>
      <c r="B772" s="9">
        <v>0.59</v>
      </c>
      <c r="C772" s="9">
        <v>0.02</v>
      </c>
      <c r="D772" s="9">
        <v>2.2999999999999998</v>
      </c>
      <c r="E772" s="9">
        <v>8.2000000000000003E-2</v>
      </c>
      <c r="F772" s="9">
        <v>24</v>
      </c>
      <c r="G772" s="9">
        <v>94</v>
      </c>
      <c r="H772" s="9">
        <v>0.99743999999999999</v>
      </c>
      <c r="I772" s="9">
        <v>3.55</v>
      </c>
      <c r="J772" s="9">
        <v>0.53</v>
      </c>
      <c r="K772" s="9">
        <v>9.6999999999999993</v>
      </c>
      <c r="L772" s="9">
        <v>6</v>
      </c>
    </row>
    <row r="773" spans="1:12" x14ac:dyDescent="0.3">
      <c r="A773" s="9">
        <v>9.4</v>
      </c>
      <c r="B773" s="9">
        <v>0.68500000000000005</v>
      </c>
      <c r="C773" s="9">
        <v>0.26</v>
      </c>
      <c r="D773" s="9">
        <v>2.4</v>
      </c>
      <c r="E773" s="9">
        <v>8.2000000000000003E-2</v>
      </c>
      <c r="F773" s="9">
        <v>23</v>
      </c>
      <c r="G773" s="9">
        <v>143</v>
      </c>
      <c r="H773" s="9">
        <v>0.99780000000000002</v>
      </c>
      <c r="I773" s="9">
        <v>3.28</v>
      </c>
      <c r="J773" s="9">
        <v>0.55000000000000004</v>
      </c>
      <c r="K773" s="9">
        <v>9.4</v>
      </c>
      <c r="L773" s="9">
        <v>5</v>
      </c>
    </row>
    <row r="774" spans="1:12" x14ac:dyDescent="0.3">
      <c r="A774" s="9">
        <v>9.5</v>
      </c>
      <c r="B774" s="9">
        <v>0.56999999999999995</v>
      </c>
      <c r="C774" s="9">
        <v>0.27</v>
      </c>
      <c r="D774" s="9">
        <v>2.2999999999999998</v>
      </c>
      <c r="E774" s="9">
        <v>8.2000000000000003E-2</v>
      </c>
      <c r="F774" s="9">
        <v>23</v>
      </c>
      <c r="G774" s="9">
        <v>144</v>
      </c>
      <c r="H774" s="9">
        <v>0.99782000000000004</v>
      </c>
      <c r="I774" s="9">
        <v>3.27</v>
      </c>
      <c r="J774" s="9">
        <v>0.55000000000000004</v>
      </c>
      <c r="K774" s="9">
        <v>9.4</v>
      </c>
      <c r="L774" s="9">
        <v>5</v>
      </c>
    </row>
    <row r="775" spans="1:12" x14ac:dyDescent="0.3">
      <c r="A775" s="9">
        <v>7.9</v>
      </c>
      <c r="B775" s="9">
        <v>0.4</v>
      </c>
      <c r="C775" s="9">
        <v>0.28999999999999998</v>
      </c>
      <c r="D775" s="9">
        <v>1.8</v>
      </c>
      <c r="E775" s="9">
        <v>0.157</v>
      </c>
      <c r="F775" s="9">
        <v>1</v>
      </c>
      <c r="G775" s="9">
        <v>44</v>
      </c>
      <c r="H775" s="9">
        <v>0.99729999999999996</v>
      </c>
      <c r="I775" s="9">
        <v>3.3</v>
      </c>
      <c r="J775" s="9">
        <v>0.92</v>
      </c>
      <c r="K775" s="9">
        <v>9.5</v>
      </c>
      <c r="L775" s="9">
        <v>6</v>
      </c>
    </row>
    <row r="776" spans="1:12" x14ac:dyDescent="0.3">
      <c r="A776" s="9">
        <v>7.9</v>
      </c>
      <c r="B776" s="9">
        <v>0.4</v>
      </c>
      <c r="C776" s="9">
        <v>0.3</v>
      </c>
      <c r="D776" s="9">
        <v>1.8</v>
      </c>
      <c r="E776" s="9">
        <v>0.157</v>
      </c>
      <c r="F776" s="9">
        <v>2</v>
      </c>
      <c r="G776" s="9">
        <v>45</v>
      </c>
      <c r="H776" s="9">
        <v>0.99726999999999999</v>
      </c>
      <c r="I776" s="9">
        <v>3.31</v>
      </c>
      <c r="J776" s="9">
        <v>0.91</v>
      </c>
      <c r="K776" s="9">
        <v>9.5</v>
      </c>
      <c r="L776" s="9">
        <v>6</v>
      </c>
    </row>
    <row r="777" spans="1:12" x14ac:dyDescent="0.3">
      <c r="A777" s="9">
        <v>7.2</v>
      </c>
      <c r="B777" s="9">
        <v>1</v>
      </c>
      <c r="C777" s="9">
        <v>0</v>
      </c>
      <c r="D777" s="9">
        <v>3</v>
      </c>
      <c r="E777" s="9">
        <v>0.10199999999999999</v>
      </c>
      <c r="F777" s="9">
        <v>7</v>
      </c>
      <c r="G777" s="9">
        <v>16</v>
      </c>
      <c r="H777" s="9">
        <v>0.99585999999999997</v>
      </c>
      <c r="I777" s="9">
        <v>3.43</v>
      </c>
      <c r="J777" s="9">
        <v>0.46</v>
      </c>
      <c r="K777" s="9">
        <v>10</v>
      </c>
      <c r="L777" s="9">
        <v>5</v>
      </c>
    </row>
    <row r="778" spans="1:12" x14ac:dyDescent="0.3">
      <c r="A778" s="9">
        <v>6.9</v>
      </c>
      <c r="B778" s="9">
        <v>0.76500000000000001</v>
      </c>
      <c r="C778" s="9">
        <v>0.18</v>
      </c>
      <c r="D778" s="9">
        <v>2.4</v>
      </c>
      <c r="E778" s="9">
        <v>0.24299999999999999</v>
      </c>
      <c r="F778" s="9">
        <v>5.5</v>
      </c>
      <c r="G778" s="9">
        <v>48</v>
      </c>
      <c r="H778" s="9">
        <v>0.99612000000000001</v>
      </c>
      <c r="I778" s="9">
        <v>3.4</v>
      </c>
      <c r="J778" s="9">
        <v>0.6</v>
      </c>
      <c r="K778" s="9">
        <v>10.3</v>
      </c>
      <c r="L778" s="9">
        <v>6</v>
      </c>
    </row>
    <row r="779" spans="1:12" x14ac:dyDescent="0.3">
      <c r="A779" s="9">
        <v>6.9</v>
      </c>
      <c r="B779" s="9">
        <v>0.63500000000000001</v>
      </c>
      <c r="C779" s="9">
        <v>0.17</v>
      </c>
      <c r="D779" s="9">
        <v>2.4</v>
      </c>
      <c r="E779" s="9">
        <v>0.24099999999999999</v>
      </c>
      <c r="F779" s="9">
        <v>6</v>
      </c>
      <c r="G779" s="9">
        <v>18</v>
      </c>
      <c r="H779" s="9">
        <v>0.99609999999999999</v>
      </c>
      <c r="I779" s="9">
        <v>3.4</v>
      </c>
      <c r="J779" s="9">
        <v>0.59</v>
      </c>
      <c r="K779" s="9">
        <v>10.3</v>
      </c>
      <c r="L779" s="9">
        <v>6</v>
      </c>
    </row>
    <row r="780" spans="1:12" x14ac:dyDescent="0.3">
      <c r="A780" s="9">
        <v>8.3000000000000007</v>
      </c>
      <c r="B780" s="9">
        <v>0.43</v>
      </c>
      <c r="C780" s="9">
        <v>0.3</v>
      </c>
      <c r="D780" s="9">
        <v>3.4</v>
      </c>
      <c r="E780" s="9">
        <v>7.9000000000000001E-2</v>
      </c>
      <c r="F780" s="9">
        <v>7</v>
      </c>
      <c r="G780" s="9">
        <v>34</v>
      </c>
      <c r="H780" s="9">
        <v>0.99787999999999999</v>
      </c>
      <c r="I780" s="9">
        <v>3.36</v>
      </c>
      <c r="J780" s="9">
        <v>0.61</v>
      </c>
      <c r="K780" s="9">
        <v>10.5</v>
      </c>
      <c r="L780" s="9">
        <v>5</v>
      </c>
    </row>
    <row r="781" spans="1:12" x14ac:dyDescent="0.3">
      <c r="A781" s="9">
        <v>7.1</v>
      </c>
      <c r="B781" s="9">
        <v>0.52</v>
      </c>
      <c r="C781" s="9">
        <v>0.03</v>
      </c>
      <c r="D781" s="9">
        <v>2.6</v>
      </c>
      <c r="E781" s="9">
        <v>7.5999999999999998E-2</v>
      </c>
      <c r="F781" s="9">
        <v>21</v>
      </c>
      <c r="G781" s="9">
        <v>92</v>
      </c>
      <c r="H781" s="9">
        <v>0.99744999999999995</v>
      </c>
      <c r="I781" s="9">
        <v>3.5</v>
      </c>
      <c r="J781" s="9">
        <v>0.6</v>
      </c>
      <c r="K781" s="9">
        <v>9.8000000000000007</v>
      </c>
      <c r="L781" s="9">
        <v>5</v>
      </c>
    </row>
    <row r="782" spans="1:12" x14ac:dyDescent="0.3">
      <c r="A782" s="9">
        <v>7</v>
      </c>
      <c r="B782" s="9">
        <v>0.56999999999999995</v>
      </c>
      <c r="C782" s="9">
        <v>0</v>
      </c>
      <c r="D782" s="9">
        <v>2</v>
      </c>
      <c r="E782" s="9">
        <v>0.19</v>
      </c>
      <c r="F782" s="9">
        <v>12</v>
      </c>
      <c r="G782" s="9">
        <v>45</v>
      </c>
      <c r="H782" s="9">
        <v>0.99675999999999998</v>
      </c>
      <c r="I782" s="9">
        <v>3.31</v>
      </c>
      <c r="J782" s="9">
        <v>0.6</v>
      </c>
      <c r="K782" s="9">
        <v>9.4</v>
      </c>
      <c r="L782" s="9">
        <v>6</v>
      </c>
    </row>
    <row r="783" spans="1:12" x14ac:dyDescent="0.3">
      <c r="A783" s="9">
        <v>6.5</v>
      </c>
      <c r="B783" s="9">
        <v>0.46</v>
      </c>
      <c r="C783" s="9">
        <v>0.14000000000000001</v>
      </c>
      <c r="D783" s="9">
        <v>2.4</v>
      </c>
      <c r="E783" s="9">
        <v>0.114</v>
      </c>
      <c r="F783" s="9">
        <v>9</v>
      </c>
      <c r="G783" s="9">
        <v>37</v>
      </c>
      <c r="H783" s="9">
        <v>0.99731999999999998</v>
      </c>
      <c r="I783" s="9">
        <v>3.66</v>
      </c>
      <c r="J783" s="9">
        <v>0.65</v>
      </c>
      <c r="K783" s="9">
        <v>9.8000000000000007</v>
      </c>
      <c r="L783" s="9">
        <v>5</v>
      </c>
    </row>
    <row r="784" spans="1:12" x14ac:dyDescent="0.3">
      <c r="A784" s="9">
        <v>9</v>
      </c>
      <c r="B784" s="9">
        <v>0.82</v>
      </c>
      <c r="C784" s="9">
        <v>0.05</v>
      </c>
      <c r="D784" s="9">
        <v>2.4</v>
      </c>
      <c r="E784" s="9">
        <v>8.1000000000000003E-2</v>
      </c>
      <c r="F784" s="9">
        <v>26</v>
      </c>
      <c r="G784" s="9">
        <v>96</v>
      </c>
      <c r="H784" s="9">
        <v>0.99814000000000003</v>
      </c>
      <c r="I784" s="9">
        <v>3.36</v>
      </c>
      <c r="J784" s="9">
        <v>0.53</v>
      </c>
      <c r="K784" s="9">
        <v>10</v>
      </c>
      <c r="L784" s="9">
        <v>5</v>
      </c>
    </row>
    <row r="785" spans="1:12" x14ac:dyDescent="0.3">
      <c r="A785" s="9">
        <v>6.5</v>
      </c>
      <c r="B785" s="9">
        <v>0.46</v>
      </c>
      <c r="C785" s="9">
        <v>0.14000000000000001</v>
      </c>
      <c r="D785" s="9">
        <v>2.4</v>
      </c>
      <c r="E785" s="9">
        <v>0.114</v>
      </c>
      <c r="F785" s="9">
        <v>9</v>
      </c>
      <c r="G785" s="9">
        <v>37</v>
      </c>
      <c r="H785" s="9">
        <v>0.99731999999999998</v>
      </c>
      <c r="I785" s="9">
        <v>3.66</v>
      </c>
      <c r="J785" s="9">
        <v>0.65</v>
      </c>
      <c r="K785" s="9">
        <v>9.8000000000000007</v>
      </c>
      <c r="L785" s="9">
        <v>5</v>
      </c>
    </row>
    <row r="786" spans="1:12" x14ac:dyDescent="0.3">
      <c r="A786" s="9">
        <v>7.1</v>
      </c>
      <c r="B786" s="9">
        <v>0.59</v>
      </c>
      <c r="C786" s="9">
        <v>0.01</v>
      </c>
      <c r="D786" s="9">
        <v>2.5</v>
      </c>
      <c r="E786" s="9">
        <v>7.6999999999999999E-2</v>
      </c>
      <c r="F786" s="9">
        <v>20</v>
      </c>
      <c r="G786" s="9">
        <v>85</v>
      </c>
      <c r="H786" s="9">
        <v>0.99746000000000001</v>
      </c>
      <c r="I786" s="9">
        <v>3.55</v>
      </c>
      <c r="J786" s="9">
        <v>0.59</v>
      </c>
      <c r="K786" s="9">
        <v>9.8000000000000007</v>
      </c>
      <c r="L786" s="9">
        <v>5</v>
      </c>
    </row>
    <row r="787" spans="1:12" x14ac:dyDescent="0.3">
      <c r="A787" s="9">
        <v>9.9</v>
      </c>
      <c r="B787" s="9">
        <v>0.35</v>
      </c>
      <c r="C787" s="9">
        <v>0.41</v>
      </c>
      <c r="D787" s="9">
        <v>2.2999999999999998</v>
      </c>
      <c r="E787" s="9">
        <v>8.3000000000000004E-2</v>
      </c>
      <c r="F787" s="9">
        <v>11</v>
      </c>
      <c r="G787" s="9">
        <v>61</v>
      </c>
      <c r="H787" s="9">
        <v>0.99819999999999998</v>
      </c>
      <c r="I787" s="9">
        <v>3.21</v>
      </c>
      <c r="J787" s="9">
        <v>0.5</v>
      </c>
      <c r="K787" s="9">
        <v>9.5</v>
      </c>
      <c r="L787" s="9">
        <v>5</v>
      </c>
    </row>
    <row r="788" spans="1:12" x14ac:dyDescent="0.3">
      <c r="A788" s="9">
        <v>9.9</v>
      </c>
      <c r="B788" s="9">
        <v>0.35</v>
      </c>
      <c r="C788" s="9">
        <v>0.41</v>
      </c>
      <c r="D788" s="9">
        <v>2.2999999999999998</v>
      </c>
      <c r="E788" s="9">
        <v>8.3000000000000004E-2</v>
      </c>
      <c r="F788" s="9">
        <v>11</v>
      </c>
      <c r="G788" s="9">
        <v>61</v>
      </c>
      <c r="H788" s="9">
        <v>0.99819999999999998</v>
      </c>
      <c r="I788" s="9">
        <v>3.21</v>
      </c>
      <c r="J788" s="9">
        <v>0.5</v>
      </c>
      <c r="K788" s="9">
        <v>9.5</v>
      </c>
      <c r="L788" s="9">
        <v>5</v>
      </c>
    </row>
    <row r="789" spans="1:12" x14ac:dyDescent="0.3">
      <c r="A789" s="9">
        <v>10</v>
      </c>
      <c r="B789" s="9">
        <v>0.56000000000000005</v>
      </c>
      <c r="C789" s="9">
        <v>0.24</v>
      </c>
      <c r="D789" s="9">
        <v>2.2000000000000002</v>
      </c>
      <c r="E789" s="9">
        <v>7.9000000000000001E-2</v>
      </c>
      <c r="F789" s="9">
        <v>19</v>
      </c>
      <c r="G789" s="9">
        <v>58</v>
      </c>
      <c r="H789" s="9">
        <v>0.99909999999999999</v>
      </c>
      <c r="I789" s="9">
        <v>3.18</v>
      </c>
      <c r="J789" s="9">
        <v>0.56000000000000005</v>
      </c>
      <c r="K789" s="9">
        <v>10.1</v>
      </c>
      <c r="L789" s="9">
        <v>6</v>
      </c>
    </row>
    <row r="790" spans="1:12" x14ac:dyDescent="0.3">
      <c r="A790" s="9">
        <v>10</v>
      </c>
      <c r="B790" s="9">
        <v>0.56000000000000005</v>
      </c>
      <c r="C790" s="9">
        <v>0.24</v>
      </c>
      <c r="D790" s="9">
        <v>2.2000000000000002</v>
      </c>
      <c r="E790" s="9">
        <v>7.9000000000000001E-2</v>
      </c>
      <c r="F790" s="9">
        <v>19</v>
      </c>
      <c r="G790" s="9">
        <v>58</v>
      </c>
      <c r="H790" s="9">
        <v>0.99909999999999999</v>
      </c>
      <c r="I790" s="9">
        <v>3.18</v>
      </c>
      <c r="J790" s="9">
        <v>0.56000000000000005</v>
      </c>
      <c r="K790" s="9">
        <v>10.1</v>
      </c>
      <c r="L790" s="9">
        <v>6</v>
      </c>
    </row>
    <row r="791" spans="1:12" x14ac:dyDescent="0.3">
      <c r="A791" s="9">
        <v>8.6</v>
      </c>
      <c r="B791" s="9">
        <v>0.63</v>
      </c>
      <c r="C791" s="9">
        <v>0.17</v>
      </c>
      <c r="D791" s="9">
        <v>2.9</v>
      </c>
      <c r="E791" s="9">
        <v>9.9000000000000005E-2</v>
      </c>
      <c r="F791" s="9">
        <v>21</v>
      </c>
      <c r="G791" s="9">
        <v>119</v>
      </c>
      <c r="H791" s="9">
        <v>0.998</v>
      </c>
      <c r="I791" s="9">
        <v>3.09</v>
      </c>
      <c r="J791" s="9">
        <v>0.52</v>
      </c>
      <c r="K791" s="9">
        <v>9.3000000000000007</v>
      </c>
      <c r="L791" s="9">
        <v>5</v>
      </c>
    </row>
    <row r="792" spans="1:12" x14ac:dyDescent="0.3">
      <c r="A792" s="9">
        <v>7.4</v>
      </c>
      <c r="B792" s="9">
        <v>0.37</v>
      </c>
      <c r="C792" s="9">
        <v>0.43</v>
      </c>
      <c r="D792" s="9">
        <v>2.6</v>
      </c>
      <c r="E792" s="9">
        <v>8.2000000000000003E-2</v>
      </c>
      <c r="F792" s="9">
        <v>18</v>
      </c>
      <c r="G792" s="9">
        <v>82</v>
      </c>
      <c r="H792" s="9">
        <v>0.99707999999999997</v>
      </c>
      <c r="I792" s="9">
        <v>3.33</v>
      </c>
      <c r="J792" s="9">
        <v>0.68</v>
      </c>
      <c r="K792" s="9">
        <v>9.6999999999999993</v>
      </c>
      <c r="L792" s="9">
        <v>6</v>
      </c>
    </row>
    <row r="793" spans="1:12" x14ac:dyDescent="0.3">
      <c r="A793" s="9">
        <v>8.8000000000000007</v>
      </c>
      <c r="B793" s="9">
        <v>0.64</v>
      </c>
      <c r="C793" s="9">
        <v>0.17</v>
      </c>
      <c r="D793" s="9">
        <v>2.9</v>
      </c>
      <c r="E793" s="9">
        <v>8.4000000000000005E-2</v>
      </c>
      <c r="F793" s="9">
        <v>25</v>
      </c>
      <c r="G793" s="9">
        <v>130</v>
      </c>
      <c r="H793" s="9">
        <v>0.99817999999999996</v>
      </c>
      <c r="I793" s="9">
        <v>3.23</v>
      </c>
      <c r="J793" s="9">
        <v>0.54</v>
      </c>
      <c r="K793" s="9">
        <v>9.6</v>
      </c>
      <c r="L793" s="9">
        <v>5</v>
      </c>
    </row>
    <row r="794" spans="1:12" x14ac:dyDescent="0.3">
      <c r="A794" s="9">
        <v>7.1</v>
      </c>
      <c r="B794" s="9">
        <v>0.61</v>
      </c>
      <c r="C794" s="9">
        <v>0.02</v>
      </c>
      <c r="D794" s="9">
        <v>2.5</v>
      </c>
      <c r="E794" s="9">
        <v>8.1000000000000003E-2</v>
      </c>
      <c r="F794" s="9">
        <v>17</v>
      </c>
      <c r="G794" s="9">
        <v>87</v>
      </c>
      <c r="H794" s="9">
        <v>0.99744999999999995</v>
      </c>
      <c r="I794" s="9">
        <v>3.48</v>
      </c>
      <c r="J794" s="9">
        <v>0.6</v>
      </c>
      <c r="K794" s="9">
        <v>9.6999999999999993</v>
      </c>
      <c r="L794" s="9">
        <v>6</v>
      </c>
    </row>
    <row r="795" spans="1:12" x14ac:dyDescent="0.3">
      <c r="A795" s="9">
        <v>7.7</v>
      </c>
      <c r="B795" s="9">
        <v>0.6</v>
      </c>
      <c r="C795" s="9">
        <v>0</v>
      </c>
      <c r="D795" s="9">
        <v>2.6</v>
      </c>
      <c r="E795" s="9">
        <v>5.5E-2</v>
      </c>
      <c r="F795" s="9">
        <v>7</v>
      </c>
      <c r="G795" s="9">
        <v>13</v>
      </c>
      <c r="H795" s="9">
        <v>0.99639</v>
      </c>
      <c r="I795" s="9">
        <v>3.38</v>
      </c>
      <c r="J795" s="9">
        <v>0.56000000000000005</v>
      </c>
      <c r="K795" s="9">
        <v>10.8</v>
      </c>
      <c r="L795" s="9">
        <v>5</v>
      </c>
    </row>
    <row r="796" spans="1:12" x14ac:dyDescent="0.3">
      <c r="A796" s="9">
        <v>10.1</v>
      </c>
      <c r="B796" s="9">
        <v>0.27</v>
      </c>
      <c r="C796" s="9">
        <v>0.54</v>
      </c>
      <c r="D796" s="9">
        <v>2.2999999999999998</v>
      </c>
      <c r="E796" s="9">
        <v>6.5000000000000002E-2</v>
      </c>
      <c r="F796" s="9">
        <v>7</v>
      </c>
      <c r="G796" s="9">
        <v>26</v>
      </c>
      <c r="H796" s="9">
        <v>0.99531000000000003</v>
      </c>
      <c r="I796" s="9">
        <v>3.17</v>
      </c>
      <c r="J796" s="9">
        <v>0.53</v>
      </c>
      <c r="K796" s="9">
        <v>12.5</v>
      </c>
      <c r="L796" s="9">
        <v>6</v>
      </c>
    </row>
    <row r="797" spans="1:12" x14ac:dyDescent="0.3">
      <c r="A797" s="9">
        <v>10.8</v>
      </c>
      <c r="B797" s="9">
        <v>0.89</v>
      </c>
      <c r="C797" s="9">
        <v>0.3</v>
      </c>
      <c r="D797" s="9">
        <v>2.6</v>
      </c>
      <c r="E797" s="9">
        <v>0.13200000000000001</v>
      </c>
      <c r="F797" s="9">
        <v>7</v>
      </c>
      <c r="G797" s="9">
        <v>60</v>
      </c>
      <c r="H797" s="9">
        <v>0.99785999999999997</v>
      </c>
      <c r="I797" s="9">
        <v>2.99</v>
      </c>
      <c r="J797" s="9">
        <v>1.18</v>
      </c>
      <c r="K797" s="9">
        <v>10.199999999999999</v>
      </c>
      <c r="L797" s="9">
        <v>5</v>
      </c>
    </row>
    <row r="798" spans="1:12" x14ac:dyDescent="0.3">
      <c r="A798" s="9">
        <v>8.6999999999999993</v>
      </c>
      <c r="B798" s="9">
        <v>0.46</v>
      </c>
      <c r="C798" s="9">
        <v>0.31</v>
      </c>
      <c r="D798" s="9">
        <v>2.5</v>
      </c>
      <c r="E798" s="9">
        <v>0.126</v>
      </c>
      <c r="F798" s="9">
        <v>24</v>
      </c>
      <c r="G798" s="9">
        <v>64</v>
      </c>
      <c r="H798" s="9">
        <v>0.99746000000000001</v>
      </c>
      <c r="I798" s="9">
        <v>3.1</v>
      </c>
      <c r="J798" s="9">
        <v>0.74</v>
      </c>
      <c r="K798" s="9">
        <v>9.6</v>
      </c>
      <c r="L798" s="9">
        <v>5</v>
      </c>
    </row>
    <row r="799" spans="1:12" x14ac:dyDescent="0.3">
      <c r="A799" s="9">
        <v>9.3000000000000007</v>
      </c>
      <c r="B799" s="9">
        <v>0.37</v>
      </c>
      <c r="C799" s="9">
        <v>0.44</v>
      </c>
      <c r="D799" s="9">
        <v>1.6</v>
      </c>
      <c r="E799" s="9">
        <v>3.7999999999999999E-2</v>
      </c>
      <c r="F799" s="9">
        <v>21</v>
      </c>
      <c r="G799" s="9">
        <v>42</v>
      </c>
      <c r="H799" s="9">
        <v>0.99526000000000003</v>
      </c>
      <c r="I799" s="9">
        <v>3.24</v>
      </c>
      <c r="J799" s="9">
        <v>0.81</v>
      </c>
      <c r="K799" s="9">
        <v>10.8</v>
      </c>
      <c r="L799" s="9">
        <v>7</v>
      </c>
    </row>
    <row r="800" spans="1:12" x14ac:dyDescent="0.3">
      <c r="A800" s="9">
        <v>9.4</v>
      </c>
      <c r="B800" s="9">
        <v>0.5</v>
      </c>
      <c r="C800" s="9">
        <v>0.34</v>
      </c>
      <c r="D800" s="9">
        <v>3.6</v>
      </c>
      <c r="E800" s="9">
        <v>8.2000000000000003E-2</v>
      </c>
      <c r="F800" s="9">
        <v>5</v>
      </c>
      <c r="G800" s="9">
        <v>14</v>
      </c>
      <c r="H800" s="9">
        <v>0.99870000000000003</v>
      </c>
      <c r="I800" s="9">
        <v>3.29</v>
      </c>
      <c r="J800" s="9">
        <v>0.52</v>
      </c>
      <c r="K800" s="9">
        <v>10.7</v>
      </c>
      <c r="L800" s="9">
        <v>6</v>
      </c>
    </row>
    <row r="801" spans="1:12" x14ac:dyDescent="0.3">
      <c r="A801" s="9">
        <v>9.4</v>
      </c>
      <c r="B801" s="9">
        <v>0.5</v>
      </c>
      <c r="C801" s="9">
        <v>0.34</v>
      </c>
      <c r="D801" s="9">
        <v>3.6</v>
      </c>
      <c r="E801" s="9">
        <v>8.2000000000000003E-2</v>
      </c>
      <c r="F801" s="9">
        <v>5</v>
      </c>
      <c r="G801" s="9">
        <v>14</v>
      </c>
      <c r="H801" s="9">
        <v>0.99870000000000003</v>
      </c>
      <c r="I801" s="9">
        <v>3.29</v>
      </c>
      <c r="J801" s="9">
        <v>0.52</v>
      </c>
      <c r="K801" s="9">
        <v>10.7</v>
      </c>
      <c r="L801" s="9">
        <v>6</v>
      </c>
    </row>
    <row r="802" spans="1:12" x14ac:dyDescent="0.3">
      <c r="A802" s="9">
        <v>7.2</v>
      </c>
      <c r="B802" s="9">
        <v>0.61</v>
      </c>
      <c r="C802" s="9">
        <v>0.08</v>
      </c>
      <c r="D802" s="9">
        <v>4</v>
      </c>
      <c r="E802" s="9">
        <v>8.2000000000000003E-2</v>
      </c>
      <c r="F802" s="9">
        <v>26</v>
      </c>
      <c r="G802" s="9">
        <v>108</v>
      </c>
      <c r="H802" s="9">
        <v>0.99641000000000002</v>
      </c>
      <c r="I802" s="9">
        <v>3.25</v>
      </c>
      <c r="J802" s="9">
        <v>0.51</v>
      </c>
      <c r="K802" s="9">
        <v>9.4</v>
      </c>
      <c r="L802" s="9">
        <v>5</v>
      </c>
    </row>
    <row r="803" spans="1:12" x14ac:dyDescent="0.3">
      <c r="A803" s="9">
        <v>8.6</v>
      </c>
      <c r="B803" s="9">
        <v>0.55000000000000004</v>
      </c>
      <c r="C803" s="9">
        <v>0.09</v>
      </c>
      <c r="D803" s="9">
        <v>3.3</v>
      </c>
      <c r="E803" s="9">
        <v>6.8000000000000005E-2</v>
      </c>
      <c r="F803" s="9">
        <v>8</v>
      </c>
      <c r="G803" s="9">
        <v>17</v>
      </c>
      <c r="H803" s="9">
        <v>0.99734999999999996</v>
      </c>
      <c r="I803" s="9">
        <v>3.23</v>
      </c>
      <c r="J803" s="9">
        <v>0.44</v>
      </c>
      <c r="K803" s="9">
        <v>10</v>
      </c>
      <c r="L803" s="9">
        <v>5</v>
      </c>
    </row>
    <row r="804" spans="1:12" x14ac:dyDescent="0.3">
      <c r="A804" s="9">
        <v>5.0999999999999996</v>
      </c>
      <c r="B804" s="9">
        <v>0.58499999999999996</v>
      </c>
      <c r="C804" s="9">
        <v>0</v>
      </c>
      <c r="D804" s="9">
        <v>1.7</v>
      </c>
      <c r="E804" s="9">
        <v>4.3999999999999997E-2</v>
      </c>
      <c r="F804" s="9">
        <v>14</v>
      </c>
      <c r="G804" s="9">
        <v>86</v>
      </c>
      <c r="H804" s="9">
        <v>0.99263999999999997</v>
      </c>
      <c r="I804" s="9">
        <v>3.56</v>
      </c>
      <c r="J804" s="9">
        <v>0.94</v>
      </c>
      <c r="K804" s="9">
        <v>12.9</v>
      </c>
      <c r="L804" s="9">
        <v>7</v>
      </c>
    </row>
    <row r="805" spans="1:12" x14ac:dyDescent="0.3">
      <c r="A805" s="9">
        <v>7.7</v>
      </c>
      <c r="B805" s="9">
        <v>0.56000000000000005</v>
      </c>
      <c r="C805" s="9">
        <v>0.08</v>
      </c>
      <c r="D805" s="9">
        <v>2.5</v>
      </c>
      <c r="E805" s="9">
        <v>0.114</v>
      </c>
      <c r="F805" s="9">
        <v>14</v>
      </c>
      <c r="G805" s="9">
        <v>46</v>
      </c>
      <c r="H805" s="9">
        <v>0.99709999999999999</v>
      </c>
      <c r="I805" s="9">
        <v>3.24</v>
      </c>
      <c r="J805" s="9">
        <v>0.66</v>
      </c>
      <c r="K805" s="9">
        <v>9.6</v>
      </c>
      <c r="L805" s="9">
        <v>6</v>
      </c>
    </row>
    <row r="806" spans="1:12" x14ac:dyDescent="0.3">
      <c r="A806" s="9">
        <v>8.4</v>
      </c>
      <c r="B806" s="9">
        <v>0.52</v>
      </c>
      <c r="C806" s="9">
        <v>0.22</v>
      </c>
      <c r="D806" s="9">
        <v>2.7</v>
      </c>
      <c r="E806" s="9">
        <v>8.4000000000000005E-2</v>
      </c>
      <c r="F806" s="9">
        <v>4</v>
      </c>
      <c r="G806" s="9">
        <v>18</v>
      </c>
      <c r="H806" s="9">
        <v>0.99682000000000004</v>
      </c>
      <c r="I806" s="9">
        <v>3.26</v>
      </c>
      <c r="J806" s="9">
        <v>0.56999999999999995</v>
      </c>
      <c r="K806" s="9">
        <v>9.9</v>
      </c>
      <c r="L806" s="9">
        <v>6</v>
      </c>
    </row>
    <row r="807" spans="1:12" x14ac:dyDescent="0.3">
      <c r="A807" s="9">
        <v>8.1999999999999993</v>
      </c>
      <c r="B807" s="9">
        <v>0.28000000000000003</v>
      </c>
      <c r="C807" s="9">
        <v>0.4</v>
      </c>
      <c r="D807" s="9">
        <v>2.4</v>
      </c>
      <c r="E807" s="9">
        <v>5.1999999999999998E-2</v>
      </c>
      <c r="F807" s="9">
        <v>4</v>
      </c>
      <c r="G807" s="9">
        <v>10</v>
      </c>
      <c r="H807" s="9">
        <v>0.99356</v>
      </c>
      <c r="I807" s="9">
        <v>3.33</v>
      </c>
      <c r="J807" s="9">
        <v>0.7</v>
      </c>
      <c r="K807" s="9">
        <v>12.8</v>
      </c>
      <c r="L807" s="9">
        <v>7</v>
      </c>
    </row>
    <row r="808" spans="1:12" x14ac:dyDescent="0.3">
      <c r="A808" s="9">
        <v>8.4</v>
      </c>
      <c r="B808" s="9">
        <v>0.25</v>
      </c>
      <c r="C808" s="9">
        <v>0.39</v>
      </c>
      <c r="D808" s="9">
        <v>2</v>
      </c>
      <c r="E808" s="9">
        <v>4.1000000000000002E-2</v>
      </c>
      <c r="F808" s="9">
        <v>4</v>
      </c>
      <c r="G808" s="9">
        <v>10</v>
      </c>
      <c r="H808" s="9">
        <v>0.99385999999999997</v>
      </c>
      <c r="I808" s="9">
        <v>3.27</v>
      </c>
      <c r="J808" s="9">
        <v>0.71</v>
      </c>
      <c r="K808" s="9">
        <v>12.5</v>
      </c>
      <c r="L808" s="9">
        <v>7</v>
      </c>
    </row>
    <row r="809" spans="1:12" x14ac:dyDescent="0.3">
      <c r="A809" s="9">
        <v>8.1999999999999993</v>
      </c>
      <c r="B809" s="9">
        <v>0.28000000000000003</v>
      </c>
      <c r="C809" s="9">
        <v>0.4</v>
      </c>
      <c r="D809" s="9">
        <v>2.4</v>
      </c>
      <c r="E809" s="9">
        <v>5.1999999999999998E-2</v>
      </c>
      <c r="F809" s="9">
        <v>4</v>
      </c>
      <c r="G809" s="9">
        <v>10</v>
      </c>
      <c r="H809" s="9">
        <v>0.99356</v>
      </c>
      <c r="I809" s="9">
        <v>3.33</v>
      </c>
      <c r="J809" s="9">
        <v>0.7</v>
      </c>
      <c r="K809" s="9">
        <v>12.8</v>
      </c>
      <c r="L809" s="9">
        <v>7</v>
      </c>
    </row>
    <row r="810" spans="1:12" x14ac:dyDescent="0.3">
      <c r="A810" s="9">
        <v>7.4</v>
      </c>
      <c r="B810" s="9">
        <v>0.53</v>
      </c>
      <c r="C810" s="9">
        <v>0.12</v>
      </c>
      <c r="D810" s="9">
        <v>1.9</v>
      </c>
      <c r="E810" s="9">
        <v>0.16500000000000001</v>
      </c>
      <c r="F810" s="9">
        <v>4</v>
      </c>
      <c r="G810" s="9">
        <v>12</v>
      </c>
      <c r="H810" s="9">
        <v>0.99702000000000002</v>
      </c>
      <c r="I810" s="9">
        <v>3.26</v>
      </c>
      <c r="J810" s="9">
        <v>0.86</v>
      </c>
      <c r="K810" s="9">
        <v>9.1999999999999993</v>
      </c>
      <c r="L810" s="9">
        <v>5</v>
      </c>
    </row>
    <row r="811" spans="1:12" x14ac:dyDescent="0.3">
      <c r="A811" s="9">
        <v>7.6</v>
      </c>
      <c r="B811" s="9">
        <v>0.48</v>
      </c>
      <c r="C811" s="9">
        <v>0.31</v>
      </c>
      <c r="D811" s="9">
        <v>2.8</v>
      </c>
      <c r="E811" s="9">
        <v>7.0000000000000007E-2</v>
      </c>
      <c r="F811" s="9">
        <v>4</v>
      </c>
      <c r="G811" s="9">
        <v>15</v>
      </c>
      <c r="H811" s="9">
        <v>0.99692999999999998</v>
      </c>
      <c r="I811" s="9">
        <v>3.22</v>
      </c>
      <c r="J811" s="9">
        <v>0.55000000000000004</v>
      </c>
      <c r="K811" s="9">
        <v>10.3</v>
      </c>
      <c r="L811" s="9">
        <v>6</v>
      </c>
    </row>
    <row r="812" spans="1:12" x14ac:dyDescent="0.3">
      <c r="A812" s="9">
        <v>7.3</v>
      </c>
      <c r="B812" s="9">
        <v>0.49</v>
      </c>
      <c r="C812" s="9">
        <v>0.1</v>
      </c>
      <c r="D812" s="9">
        <v>2.6</v>
      </c>
      <c r="E812" s="9">
        <v>6.8000000000000005E-2</v>
      </c>
      <c r="F812" s="9">
        <v>4</v>
      </c>
      <c r="G812" s="9">
        <v>14</v>
      </c>
      <c r="H812" s="9">
        <v>0.99561999999999995</v>
      </c>
      <c r="I812" s="9">
        <v>3.3</v>
      </c>
      <c r="J812" s="9">
        <v>0.47</v>
      </c>
      <c r="K812" s="9">
        <v>10.5</v>
      </c>
      <c r="L812" s="9">
        <v>5</v>
      </c>
    </row>
    <row r="813" spans="1:12" x14ac:dyDescent="0.3">
      <c r="A813" s="9">
        <v>12.9</v>
      </c>
      <c r="B813" s="9">
        <v>0.5</v>
      </c>
      <c r="C813" s="9">
        <v>0.55000000000000004</v>
      </c>
      <c r="D813" s="9">
        <v>2.8</v>
      </c>
      <c r="E813" s="9">
        <v>7.1999999999999995E-2</v>
      </c>
      <c r="F813" s="9">
        <v>7</v>
      </c>
      <c r="G813" s="9">
        <v>24</v>
      </c>
      <c r="H813" s="9">
        <v>1.0001199999999999</v>
      </c>
      <c r="I813" s="9">
        <v>3.09</v>
      </c>
      <c r="J813" s="9">
        <v>0.68</v>
      </c>
      <c r="K813" s="9">
        <v>10.9</v>
      </c>
      <c r="L813" s="9">
        <v>6</v>
      </c>
    </row>
    <row r="814" spans="1:12" x14ac:dyDescent="0.3">
      <c r="A814" s="9">
        <v>10.8</v>
      </c>
      <c r="B814" s="9">
        <v>0.45</v>
      </c>
      <c r="C814" s="9">
        <v>0.33</v>
      </c>
      <c r="D814" s="9">
        <v>2.5</v>
      </c>
      <c r="E814" s="9">
        <v>9.9000000000000005E-2</v>
      </c>
      <c r="F814" s="9">
        <v>20</v>
      </c>
      <c r="G814" s="9">
        <v>38</v>
      </c>
      <c r="H814" s="9">
        <v>0.99817999999999996</v>
      </c>
      <c r="I814" s="9">
        <v>3.24</v>
      </c>
      <c r="J814" s="9">
        <v>0.71</v>
      </c>
      <c r="K814" s="9">
        <v>10.8</v>
      </c>
      <c r="L814" s="9">
        <v>5</v>
      </c>
    </row>
    <row r="815" spans="1:12" x14ac:dyDescent="0.3">
      <c r="A815" s="9">
        <v>6.9</v>
      </c>
      <c r="B815" s="9">
        <v>0.39</v>
      </c>
      <c r="C815" s="9">
        <v>0.24</v>
      </c>
      <c r="D815" s="9">
        <v>2.1</v>
      </c>
      <c r="E815" s="9">
        <v>0.10199999999999999</v>
      </c>
      <c r="F815" s="9">
        <v>4</v>
      </c>
      <c r="G815" s="9">
        <v>7</v>
      </c>
      <c r="H815" s="9">
        <v>0.99461999999999995</v>
      </c>
      <c r="I815" s="9">
        <v>3.44</v>
      </c>
      <c r="J815" s="9">
        <v>0.57999999999999996</v>
      </c>
      <c r="K815" s="9">
        <v>11.4</v>
      </c>
      <c r="L815" s="9">
        <v>4</v>
      </c>
    </row>
    <row r="816" spans="1:12" x14ac:dyDescent="0.3">
      <c r="A816" s="9">
        <v>12.6</v>
      </c>
      <c r="B816" s="9">
        <v>0.41</v>
      </c>
      <c r="C816" s="9">
        <v>0.54</v>
      </c>
      <c r="D816" s="9">
        <v>2.8</v>
      </c>
      <c r="E816" s="9">
        <v>0.10299999999999999</v>
      </c>
      <c r="F816" s="9">
        <v>19</v>
      </c>
      <c r="G816" s="9">
        <v>41</v>
      </c>
      <c r="H816" s="9">
        <v>0.99939</v>
      </c>
      <c r="I816" s="9">
        <v>3.21</v>
      </c>
      <c r="J816" s="9">
        <v>0.76</v>
      </c>
      <c r="K816" s="9">
        <v>11.3</v>
      </c>
      <c r="L816" s="9">
        <v>6</v>
      </c>
    </row>
    <row r="817" spans="1:12" x14ac:dyDescent="0.3">
      <c r="A817" s="9">
        <v>10.8</v>
      </c>
      <c r="B817" s="9">
        <v>0.45</v>
      </c>
      <c r="C817" s="9">
        <v>0.33</v>
      </c>
      <c r="D817" s="9">
        <v>2.5</v>
      </c>
      <c r="E817" s="9">
        <v>9.9000000000000005E-2</v>
      </c>
      <c r="F817" s="9">
        <v>20</v>
      </c>
      <c r="G817" s="9">
        <v>38</v>
      </c>
      <c r="H817" s="9">
        <v>0.99817999999999996</v>
      </c>
      <c r="I817" s="9">
        <v>3.24</v>
      </c>
      <c r="J817" s="9">
        <v>0.71</v>
      </c>
      <c r="K817" s="9">
        <v>10.8</v>
      </c>
      <c r="L817" s="9">
        <v>5</v>
      </c>
    </row>
    <row r="818" spans="1:12" x14ac:dyDescent="0.3">
      <c r="A818" s="9">
        <v>9.8000000000000007</v>
      </c>
      <c r="B818" s="9">
        <v>0.51</v>
      </c>
      <c r="C818" s="9">
        <v>0.19</v>
      </c>
      <c r="D818" s="9">
        <v>3.2</v>
      </c>
      <c r="E818" s="9">
        <v>8.1000000000000003E-2</v>
      </c>
      <c r="F818" s="9">
        <v>8</v>
      </c>
      <c r="G818" s="9">
        <v>30</v>
      </c>
      <c r="H818" s="9">
        <v>0.99839999999999995</v>
      </c>
      <c r="I818" s="9">
        <v>3.23</v>
      </c>
      <c r="J818" s="9">
        <v>0.57999999999999996</v>
      </c>
      <c r="K818" s="9">
        <v>10.5</v>
      </c>
      <c r="L818" s="9">
        <v>6</v>
      </c>
    </row>
    <row r="819" spans="1:12" x14ac:dyDescent="0.3">
      <c r="A819" s="9">
        <v>10.8</v>
      </c>
      <c r="B819" s="9">
        <v>0.28999999999999998</v>
      </c>
      <c r="C819" s="9">
        <v>0.42</v>
      </c>
      <c r="D819" s="9">
        <v>1.6</v>
      </c>
      <c r="E819" s="9">
        <v>8.4000000000000005E-2</v>
      </c>
      <c r="F819" s="9">
        <v>19</v>
      </c>
      <c r="G819" s="9">
        <v>27</v>
      </c>
      <c r="H819" s="9">
        <v>0.99544999999999995</v>
      </c>
      <c r="I819" s="9">
        <v>3.28</v>
      </c>
      <c r="J819" s="9">
        <v>0.73</v>
      </c>
      <c r="K819" s="9">
        <v>11.9</v>
      </c>
      <c r="L819" s="9">
        <v>6</v>
      </c>
    </row>
    <row r="820" spans="1:12" x14ac:dyDescent="0.3">
      <c r="A820" s="9">
        <v>7.1</v>
      </c>
      <c r="B820" s="9">
        <v>0.71499999999999997</v>
      </c>
      <c r="C820" s="9">
        <v>0</v>
      </c>
      <c r="D820" s="9">
        <v>2.35</v>
      </c>
      <c r="E820" s="9">
        <v>7.0999999999999994E-2</v>
      </c>
      <c r="F820" s="9">
        <v>21</v>
      </c>
      <c r="G820" s="9">
        <v>47</v>
      </c>
      <c r="H820" s="9">
        <v>0.99631999999999998</v>
      </c>
      <c r="I820" s="9">
        <v>3.29</v>
      </c>
      <c r="J820" s="9">
        <v>0.45</v>
      </c>
      <c r="K820" s="9">
        <v>9.4</v>
      </c>
      <c r="L820" s="9">
        <v>5</v>
      </c>
    </row>
    <row r="821" spans="1:12" x14ac:dyDescent="0.3">
      <c r="A821" s="9">
        <v>9.1</v>
      </c>
      <c r="B821" s="9">
        <v>0.66</v>
      </c>
      <c r="C821" s="9">
        <v>0.15</v>
      </c>
      <c r="D821" s="9">
        <v>3.2</v>
      </c>
      <c r="E821" s="9">
        <v>9.7000000000000003E-2</v>
      </c>
      <c r="F821" s="9">
        <v>9</v>
      </c>
      <c r="G821" s="9">
        <v>59</v>
      </c>
      <c r="H821" s="9">
        <v>0.99975999999999998</v>
      </c>
      <c r="I821" s="9">
        <v>3.28</v>
      </c>
      <c r="J821" s="9">
        <v>0.54</v>
      </c>
      <c r="K821" s="9">
        <v>9.6</v>
      </c>
      <c r="L821" s="9">
        <v>5</v>
      </c>
    </row>
    <row r="822" spans="1:12" x14ac:dyDescent="0.3">
      <c r="A822" s="9">
        <v>7</v>
      </c>
      <c r="B822" s="9">
        <v>0.68500000000000005</v>
      </c>
      <c r="C822" s="9">
        <v>0</v>
      </c>
      <c r="D822" s="9">
        <v>1.9</v>
      </c>
      <c r="E822" s="9">
        <v>9.9000000000000005E-2</v>
      </c>
      <c r="F822" s="9">
        <v>9</v>
      </c>
      <c r="G822" s="9">
        <v>22</v>
      </c>
      <c r="H822" s="9">
        <v>0.99605999999999995</v>
      </c>
      <c r="I822" s="9">
        <v>3.34</v>
      </c>
      <c r="J822" s="9">
        <v>0.6</v>
      </c>
      <c r="K822" s="9">
        <v>9.6999999999999993</v>
      </c>
      <c r="L822" s="9">
        <v>5</v>
      </c>
    </row>
    <row r="823" spans="1:12" x14ac:dyDescent="0.3">
      <c r="A823" s="9">
        <v>4.9000000000000004</v>
      </c>
      <c r="B823" s="9">
        <v>0.42</v>
      </c>
      <c r="C823" s="9">
        <v>0</v>
      </c>
      <c r="D823" s="9">
        <v>2.1</v>
      </c>
      <c r="E823" s="9">
        <v>4.8000000000000001E-2</v>
      </c>
      <c r="F823" s="9">
        <v>16</v>
      </c>
      <c r="G823" s="9">
        <v>42</v>
      </c>
      <c r="H823" s="9">
        <v>0.99153999999999998</v>
      </c>
      <c r="I823" s="9">
        <v>3.71</v>
      </c>
      <c r="J823" s="9">
        <v>0.74</v>
      </c>
      <c r="K823" s="9">
        <v>14</v>
      </c>
      <c r="L823" s="9">
        <v>7</v>
      </c>
    </row>
    <row r="824" spans="1:12" x14ac:dyDescent="0.3">
      <c r="A824" s="9">
        <v>6.7</v>
      </c>
      <c r="B824" s="9">
        <v>0.54</v>
      </c>
      <c r="C824" s="9">
        <v>0.13</v>
      </c>
      <c r="D824" s="9">
        <v>2</v>
      </c>
      <c r="E824" s="9">
        <v>7.5999999999999998E-2</v>
      </c>
      <c r="F824" s="9">
        <v>15</v>
      </c>
      <c r="G824" s="9">
        <v>36</v>
      </c>
      <c r="H824" s="9">
        <v>0.99729999999999996</v>
      </c>
      <c r="I824" s="9">
        <v>3.61</v>
      </c>
      <c r="J824" s="9">
        <v>0.64</v>
      </c>
      <c r="K824" s="9">
        <v>9.8000000000000007</v>
      </c>
      <c r="L824" s="9">
        <v>5</v>
      </c>
    </row>
    <row r="825" spans="1:12" x14ac:dyDescent="0.3">
      <c r="A825" s="9">
        <v>6.7</v>
      </c>
      <c r="B825" s="9">
        <v>0.54</v>
      </c>
      <c r="C825" s="9">
        <v>0.13</v>
      </c>
      <c r="D825" s="9">
        <v>2</v>
      </c>
      <c r="E825" s="9">
        <v>7.5999999999999998E-2</v>
      </c>
      <c r="F825" s="9">
        <v>15</v>
      </c>
      <c r="G825" s="9">
        <v>36</v>
      </c>
      <c r="H825" s="9">
        <v>0.99729999999999996</v>
      </c>
      <c r="I825" s="9">
        <v>3.61</v>
      </c>
      <c r="J825" s="9">
        <v>0.64</v>
      </c>
      <c r="K825" s="9">
        <v>9.8000000000000007</v>
      </c>
      <c r="L825" s="9">
        <v>5</v>
      </c>
    </row>
    <row r="826" spans="1:12" x14ac:dyDescent="0.3">
      <c r="A826" s="9">
        <v>7.1</v>
      </c>
      <c r="B826" s="9">
        <v>0.48</v>
      </c>
      <c r="C826" s="9">
        <v>0.28000000000000003</v>
      </c>
      <c r="D826" s="9">
        <v>2.8</v>
      </c>
      <c r="E826" s="9">
        <v>6.8000000000000005E-2</v>
      </c>
      <c r="F826" s="9">
        <v>6</v>
      </c>
      <c r="G826" s="9">
        <v>16</v>
      </c>
      <c r="H826" s="9">
        <v>0.99682000000000004</v>
      </c>
      <c r="I826" s="9">
        <v>3.24</v>
      </c>
      <c r="J826" s="9">
        <v>0.53</v>
      </c>
      <c r="K826" s="9">
        <v>10.3</v>
      </c>
      <c r="L826" s="9">
        <v>5</v>
      </c>
    </row>
    <row r="827" spans="1:12" x14ac:dyDescent="0.3">
      <c r="A827" s="9">
        <v>7.1</v>
      </c>
      <c r="B827" s="9">
        <v>0.46</v>
      </c>
      <c r="C827" s="9">
        <v>0.14000000000000001</v>
      </c>
      <c r="D827" s="9">
        <v>2.8</v>
      </c>
      <c r="E827" s="9">
        <v>7.5999999999999998E-2</v>
      </c>
      <c r="F827" s="9">
        <v>15</v>
      </c>
      <c r="G827" s="9">
        <v>37</v>
      </c>
      <c r="H827" s="9">
        <v>0.99624000000000001</v>
      </c>
      <c r="I827" s="9">
        <v>3.36</v>
      </c>
      <c r="J827" s="9">
        <v>0.49</v>
      </c>
      <c r="K827" s="9">
        <v>10.7</v>
      </c>
      <c r="L827" s="9">
        <v>5</v>
      </c>
    </row>
    <row r="828" spans="1:12" x14ac:dyDescent="0.3">
      <c r="A828" s="9">
        <v>7.5</v>
      </c>
      <c r="B828" s="9">
        <v>0.27</v>
      </c>
      <c r="C828" s="9">
        <v>0.34</v>
      </c>
      <c r="D828" s="9">
        <v>2.2999999999999998</v>
      </c>
      <c r="E828" s="9">
        <v>0.05</v>
      </c>
      <c r="F828" s="9">
        <v>4</v>
      </c>
      <c r="G828" s="9">
        <v>8</v>
      </c>
      <c r="H828" s="9">
        <v>0.99509999999999998</v>
      </c>
      <c r="I828" s="9">
        <v>3.4</v>
      </c>
      <c r="J828" s="9">
        <v>0.64</v>
      </c>
      <c r="K828" s="9">
        <v>11</v>
      </c>
      <c r="L828" s="9">
        <v>7</v>
      </c>
    </row>
    <row r="829" spans="1:12" x14ac:dyDescent="0.3">
      <c r="A829" s="9">
        <v>7.1</v>
      </c>
      <c r="B829" s="9">
        <v>0.46</v>
      </c>
      <c r="C829" s="9">
        <v>0.14000000000000001</v>
      </c>
      <c r="D829" s="9">
        <v>2.8</v>
      </c>
      <c r="E829" s="9">
        <v>7.5999999999999998E-2</v>
      </c>
      <c r="F829" s="9">
        <v>15</v>
      </c>
      <c r="G829" s="9">
        <v>37</v>
      </c>
      <c r="H829" s="9">
        <v>0.99624000000000001</v>
      </c>
      <c r="I829" s="9">
        <v>3.36</v>
      </c>
      <c r="J829" s="9">
        <v>0.49</v>
      </c>
      <c r="K829" s="9">
        <v>10.7</v>
      </c>
      <c r="L829" s="9">
        <v>5</v>
      </c>
    </row>
    <row r="830" spans="1:12" x14ac:dyDescent="0.3">
      <c r="A830" s="9">
        <v>7.8</v>
      </c>
      <c r="B830" s="9">
        <v>0.56999999999999995</v>
      </c>
      <c r="C830" s="9">
        <v>0.09</v>
      </c>
      <c r="D830" s="9">
        <v>2.2999999999999998</v>
      </c>
      <c r="E830" s="9">
        <v>6.5000000000000002E-2</v>
      </c>
      <c r="F830" s="9">
        <v>34</v>
      </c>
      <c r="G830" s="9">
        <v>45</v>
      </c>
      <c r="H830" s="9">
        <v>0.99417</v>
      </c>
      <c r="I830" s="9">
        <v>3.46</v>
      </c>
      <c r="J830" s="9">
        <v>0.74</v>
      </c>
      <c r="K830" s="9">
        <v>12.7</v>
      </c>
      <c r="L830" s="9">
        <v>8</v>
      </c>
    </row>
    <row r="831" spans="1:12" x14ac:dyDescent="0.3">
      <c r="A831" s="9">
        <v>5.9</v>
      </c>
      <c r="B831" s="9">
        <v>0.61</v>
      </c>
      <c r="C831" s="9">
        <v>0.08</v>
      </c>
      <c r="D831" s="9">
        <v>2.1</v>
      </c>
      <c r="E831" s="9">
        <v>7.0999999999999994E-2</v>
      </c>
      <c r="F831" s="9">
        <v>16</v>
      </c>
      <c r="G831" s="9">
        <v>24</v>
      </c>
      <c r="H831" s="9">
        <v>0.99375999999999998</v>
      </c>
      <c r="I831" s="9">
        <v>3.56</v>
      </c>
      <c r="J831" s="9">
        <v>0.77</v>
      </c>
      <c r="K831" s="9">
        <v>11.1</v>
      </c>
      <c r="L831" s="9">
        <v>6</v>
      </c>
    </row>
    <row r="832" spans="1:12" x14ac:dyDescent="0.3">
      <c r="A832" s="9">
        <v>7.5</v>
      </c>
      <c r="B832" s="9">
        <v>0.68500000000000005</v>
      </c>
      <c r="C832" s="9">
        <v>7.0000000000000007E-2</v>
      </c>
      <c r="D832" s="9">
        <v>2.5</v>
      </c>
      <c r="E832" s="9">
        <v>5.8000000000000003E-2</v>
      </c>
      <c r="F832" s="9">
        <v>5</v>
      </c>
      <c r="G832" s="9">
        <v>9</v>
      </c>
      <c r="H832" s="9">
        <v>0.99631999999999998</v>
      </c>
      <c r="I832" s="9">
        <v>3.38</v>
      </c>
      <c r="J832" s="9">
        <v>0.55000000000000004</v>
      </c>
      <c r="K832" s="9">
        <v>10.9</v>
      </c>
      <c r="L832" s="9">
        <v>4</v>
      </c>
    </row>
    <row r="833" spans="1:12" x14ac:dyDescent="0.3">
      <c r="A833" s="9">
        <v>5.9</v>
      </c>
      <c r="B833" s="9">
        <v>0.61</v>
      </c>
      <c r="C833" s="9">
        <v>0.08</v>
      </c>
      <c r="D833" s="9">
        <v>2.1</v>
      </c>
      <c r="E833" s="9">
        <v>7.0999999999999994E-2</v>
      </c>
      <c r="F833" s="9">
        <v>16</v>
      </c>
      <c r="G833" s="9">
        <v>24</v>
      </c>
      <c r="H833" s="9">
        <v>0.99375999999999998</v>
      </c>
      <c r="I833" s="9">
        <v>3.56</v>
      </c>
      <c r="J833" s="9">
        <v>0.77</v>
      </c>
      <c r="K833" s="9">
        <v>11.1</v>
      </c>
      <c r="L833" s="9">
        <v>6</v>
      </c>
    </row>
    <row r="834" spans="1:12" x14ac:dyDescent="0.3">
      <c r="A834" s="9">
        <v>10.4</v>
      </c>
      <c r="B834" s="9">
        <v>0.44</v>
      </c>
      <c r="C834" s="9">
        <v>0.42</v>
      </c>
      <c r="D834" s="9">
        <v>1.5</v>
      </c>
      <c r="E834" s="9">
        <v>0.14499999999999999</v>
      </c>
      <c r="F834" s="9">
        <v>34</v>
      </c>
      <c r="G834" s="9">
        <v>48</v>
      </c>
      <c r="H834" s="9">
        <v>0.99831999999999999</v>
      </c>
      <c r="I834" s="9">
        <v>3.38</v>
      </c>
      <c r="J834" s="9">
        <v>0.86</v>
      </c>
      <c r="K834" s="9">
        <v>9.9</v>
      </c>
      <c r="L834" s="9">
        <v>3</v>
      </c>
    </row>
    <row r="835" spans="1:12" x14ac:dyDescent="0.3">
      <c r="A835" s="9">
        <v>11.6</v>
      </c>
      <c r="B835" s="9">
        <v>0.47</v>
      </c>
      <c r="C835" s="9">
        <v>0.44</v>
      </c>
      <c r="D835" s="9">
        <v>1.6</v>
      </c>
      <c r="E835" s="9">
        <v>0.14699999999999999</v>
      </c>
      <c r="F835" s="9">
        <v>36</v>
      </c>
      <c r="G835" s="9">
        <v>51</v>
      </c>
      <c r="H835" s="9">
        <v>0.99836000000000003</v>
      </c>
      <c r="I835" s="9">
        <v>3.38</v>
      </c>
      <c r="J835" s="9">
        <v>0.86</v>
      </c>
      <c r="K835" s="9">
        <v>9.9</v>
      </c>
      <c r="L835" s="9">
        <v>4</v>
      </c>
    </row>
    <row r="836" spans="1:12" x14ac:dyDescent="0.3">
      <c r="A836" s="9">
        <v>8.8000000000000007</v>
      </c>
      <c r="B836" s="9">
        <v>0.68500000000000005</v>
      </c>
      <c r="C836" s="9">
        <v>0.26</v>
      </c>
      <c r="D836" s="9">
        <v>1.6</v>
      </c>
      <c r="E836" s="9">
        <v>8.7999999999999995E-2</v>
      </c>
      <c r="F836" s="9">
        <v>16</v>
      </c>
      <c r="G836" s="9">
        <v>23</v>
      </c>
      <c r="H836" s="9">
        <v>0.99694000000000005</v>
      </c>
      <c r="I836" s="9">
        <v>3.32</v>
      </c>
      <c r="J836" s="9">
        <v>0.47</v>
      </c>
      <c r="K836" s="9">
        <v>9.4</v>
      </c>
      <c r="L836" s="9">
        <v>5</v>
      </c>
    </row>
    <row r="837" spans="1:12" x14ac:dyDescent="0.3">
      <c r="A837" s="9">
        <v>7.6</v>
      </c>
      <c r="B837" s="9">
        <v>0.66500000000000004</v>
      </c>
      <c r="C837" s="9">
        <v>0.1</v>
      </c>
      <c r="D837" s="9">
        <v>1.5</v>
      </c>
      <c r="E837" s="9">
        <v>6.6000000000000003E-2</v>
      </c>
      <c r="F837" s="9">
        <v>27</v>
      </c>
      <c r="G837" s="9">
        <v>55</v>
      </c>
      <c r="H837" s="9">
        <v>0.99655000000000005</v>
      </c>
      <c r="I837" s="9">
        <v>3.39</v>
      </c>
      <c r="J837" s="9">
        <v>0.51</v>
      </c>
      <c r="K837" s="9">
        <v>9.3000000000000007</v>
      </c>
      <c r="L837" s="9">
        <v>5</v>
      </c>
    </row>
    <row r="838" spans="1:12" x14ac:dyDescent="0.3">
      <c r="A838" s="9">
        <v>6.7</v>
      </c>
      <c r="B838" s="9">
        <v>0.28000000000000003</v>
      </c>
      <c r="C838" s="9">
        <v>0.28000000000000003</v>
      </c>
      <c r="D838" s="9">
        <v>2.4</v>
      </c>
      <c r="E838" s="9">
        <v>1.2E-2</v>
      </c>
      <c r="F838" s="9">
        <v>36</v>
      </c>
      <c r="G838" s="9">
        <v>100</v>
      </c>
      <c r="H838" s="9">
        <v>0.99063999999999997</v>
      </c>
      <c r="I838" s="9">
        <v>3.26</v>
      </c>
      <c r="J838" s="9">
        <v>0.39</v>
      </c>
      <c r="K838" s="9">
        <v>11.7</v>
      </c>
      <c r="L838" s="9">
        <v>7</v>
      </c>
    </row>
    <row r="839" spans="1:12" x14ac:dyDescent="0.3">
      <c r="A839" s="9">
        <v>6.7</v>
      </c>
      <c r="B839" s="9">
        <v>0.28000000000000003</v>
      </c>
      <c r="C839" s="9">
        <v>0.28000000000000003</v>
      </c>
      <c r="D839" s="9">
        <v>2.4</v>
      </c>
      <c r="E839" s="9">
        <v>1.2E-2</v>
      </c>
      <c r="F839" s="9">
        <v>36</v>
      </c>
      <c r="G839" s="9">
        <v>100</v>
      </c>
      <c r="H839" s="9">
        <v>0.99063999999999997</v>
      </c>
      <c r="I839" s="9">
        <v>3.26</v>
      </c>
      <c r="J839" s="9">
        <v>0.39</v>
      </c>
      <c r="K839" s="9">
        <v>11.7</v>
      </c>
      <c r="L839" s="9">
        <v>7</v>
      </c>
    </row>
    <row r="840" spans="1:12" x14ac:dyDescent="0.3">
      <c r="A840" s="9">
        <v>10.1</v>
      </c>
      <c r="B840" s="9">
        <v>0.31</v>
      </c>
      <c r="C840" s="9">
        <v>0.35</v>
      </c>
      <c r="D840" s="9">
        <v>1.6</v>
      </c>
      <c r="E840" s="9">
        <v>7.4999999999999997E-2</v>
      </c>
      <c r="F840" s="9">
        <v>9</v>
      </c>
      <c r="G840" s="9">
        <v>28</v>
      </c>
      <c r="H840" s="9">
        <v>0.99672000000000005</v>
      </c>
      <c r="I840" s="9">
        <v>3.24</v>
      </c>
      <c r="J840" s="9">
        <v>0.83</v>
      </c>
      <c r="K840" s="9">
        <v>11.2</v>
      </c>
      <c r="L840" s="9">
        <v>7</v>
      </c>
    </row>
    <row r="841" spans="1:12" x14ac:dyDescent="0.3">
      <c r="A841" s="9">
        <v>6</v>
      </c>
      <c r="B841" s="9">
        <v>0.5</v>
      </c>
      <c r="C841" s="9">
        <v>0.04</v>
      </c>
      <c r="D841" s="9">
        <v>2.2000000000000002</v>
      </c>
      <c r="E841" s="9">
        <v>9.1999999999999998E-2</v>
      </c>
      <c r="F841" s="9">
        <v>13</v>
      </c>
      <c r="G841" s="9">
        <v>26</v>
      </c>
      <c r="H841" s="9">
        <v>0.99646999999999997</v>
      </c>
      <c r="I841" s="9">
        <v>3.46</v>
      </c>
      <c r="J841" s="9">
        <v>0.47</v>
      </c>
      <c r="K841" s="9">
        <v>10</v>
      </c>
      <c r="L841" s="9">
        <v>5</v>
      </c>
    </row>
    <row r="842" spans="1:12" x14ac:dyDescent="0.3">
      <c r="A842" s="9">
        <v>11.1</v>
      </c>
      <c r="B842" s="9">
        <v>0.42</v>
      </c>
      <c r="C842" s="9">
        <v>0.47</v>
      </c>
      <c r="D842" s="9">
        <v>2.65</v>
      </c>
      <c r="E842" s="9">
        <v>8.5000000000000006E-2</v>
      </c>
      <c r="F842" s="9">
        <v>9</v>
      </c>
      <c r="G842" s="9">
        <v>34</v>
      </c>
      <c r="H842" s="9">
        <v>0.99736000000000002</v>
      </c>
      <c r="I842" s="9">
        <v>3.24</v>
      </c>
      <c r="J842" s="9">
        <v>0.77</v>
      </c>
      <c r="K842" s="9">
        <v>12.1</v>
      </c>
      <c r="L842" s="9">
        <v>7</v>
      </c>
    </row>
    <row r="843" spans="1:12" x14ac:dyDescent="0.3">
      <c r="A843" s="9">
        <v>6.6</v>
      </c>
      <c r="B843" s="9">
        <v>0.66</v>
      </c>
      <c r="C843" s="9">
        <v>0</v>
      </c>
      <c r="D843" s="9">
        <v>3</v>
      </c>
      <c r="E843" s="9">
        <v>0.115</v>
      </c>
      <c r="F843" s="9">
        <v>21</v>
      </c>
      <c r="G843" s="9">
        <v>31</v>
      </c>
      <c r="H843" s="9">
        <v>0.99629000000000001</v>
      </c>
      <c r="I843" s="9">
        <v>3.45</v>
      </c>
      <c r="J843" s="9">
        <v>0.63</v>
      </c>
      <c r="K843" s="9">
        <v>10.3</v>
      </c>
      <c r="L843" s="9">
        <v>5</v>
      </c>
    </row>
    <row r="844" spans="1:12" x14ac:dyDescent="0.3">
      <c r="A844" s="9">
        <v>10.6</v>
      </c>
      <c r="B844" s="9">
        <v>0.5</v>
      </c>
      <c r="C844" s="9">
        <v>0.45</v>
      </c>
      <c r="D844" s="9">
        <v>2.6</v>
      </c>
      <c r="E844" s="9">
        <v>0.11899999999999999</v>
      </c>
      <c r="F844" s="9">
        <v>34</v>
      </c>
      <c r="G844" s="9">
        <v>68</v>
      </c>
      <c r="H844" s="9">
        <v>0.99707999999999997</v>
      </c>
      <c r="I844" s="9">
        <v>3.23</v>
      </c>
      <c r="J844" s="9">
        <v>0.72</v>
      </c>
      <c r="K844" s="9">
        <v>10.9</v>
      </c>
      <c r="L844" s="9">
        <v>6</v>
      </c>
    </row>
    <row r="845" spans="1:12" x14ac:dyDescent="0.3">
      <c r="A845" s="9">
        <v>7.1</v>
      </c>
      <c r="B845" s="9">
        <v>0.68500000000000005</v>
      </c>
      <c r="C845" s="9">
        <v>0.35</v>
      </c>
      <c r="D845" s="9">
        <v>2</v>
      </c>
      <c r="E845" s="9">
        <v>8.7999999999999995E-2</v>
      </c>
      <c r="F845" s="9">
        <v>9</v>
      </c>
      <c r="G845" s="9">
        <v>92</v>
      </c>
      <c r="H845" s="9">
        <v>0.99629999999999996</v>
      </c>
      <c r="I845" s="9">
        <v>3.28</v>
      </c>
      <c r="J845" s="9">
        <v>0.62</v>
      </c>
      <c r="K845" s="9">
        <v>9.4</v>
      </c>
      <c r="L845" s="9">
        <v>5</v>
      </c>
    </row>
    <row r="846" spans="1:12" x14ac:dyDescent="0.3">
      <c r="A846" s="9">
        <v>9.9</v>
      </c>
      <c r="B846" s="9">
        <v>0.25</v>
      </c>
      <c r="C846" s="9">
        <v>0.46</v>
      </c>
      <c r="D846" s="9">
        <v>1.7</v>
      </c>
      <c r="E846" s="9">
        <v>6.2E-2</v>
      </c>
      <c r="F846" s="9">
        <v>26</v>
      </c>
      <c r="G846" s="9">
        <v>42</v>
      </c>
      <c r="H846" s="9">
        <v>0.99590000000000001</v>
      </c>
      <c r="I846" s="9">
        <v>3.18</v>
      </c>
      <c r="J846" s="9">
        <v>0.83</v>
      </c>
      <c r="K846" s="9">
        <v>10.6</v>
      </c>
      <c r="L846" s="9">
        <v>6</v>
      </c>
    </row>
    <row r="847" spans="1:12" x14ac:dyDescent="0.3">
      <c r="A847" s="9">
        <v>6.4</v>
      </c>
      <c r="B847" s="9">
        <v>0.64</v>
      </c>
      <c r="C847" s="9">
        <v>0.21</v>
      </c>
      <c r="D847" s="9">
        <v>1.8</v>
      </c>
      <c r="E847" s="9">
        <v>8.1000000000000003E-2</v>
      </c>
      <c r="F847" s="9">
        <v>14</v>
      </c>
      <c r="G847" s="9">
        <v>31</v>
      </c>
      <c r="H847" s="9">
        <v>0.99689000000000005</v>
      </c>
      <c r="I847" s="9">
        <v>3.59</v>
      </c>
      <c r="J847" s="9">
        <v>0.66</v>
      </c>
      <c r="K847" s="9">
        <v>9.8000000000000007</v>
      </c>
      <c r="L847" s="9">
        <v>5</v>
      </c>
    </row>
    <row r="848" spans="1:12" x14ac:dyDescent="0.3">
      <c r="A848" s="9">
        <v>6.4</v>
      </c>
      <c r="B848" s="9">
        <v>0.64</v>
      </c>
      <c r="C848" s="9">
        <v>0.21</v>
      </c>
      <c r="D848" s="9">
        <v>1.8</v>
      </c>
      <c r="E848" s="9">
        <v>8.1000000000000003E-2</v>
      </c>
      <c r="F848" s="9">
        <v>14</v>
      </c>
      <c r="G848" s="9">
        <v>31</v>
      </c>
      <c r="H848" s="9">
        <v>0.99689000000000005</v>
      </c>
      <c r="I848" s="9">
        <v>3.59</v>
      </c>
      <c r="J848" s="9">
        <v>0.66</v>
      </c>
      <c r="K848" s="9">
        <v>9.8000000000000007</v>
      </c>
      <c r="L848" s="9">
        <v>5</v>
      </c>
    </row>
    <row r="849" spans="1:12" x14ac:dyDescent="0.3">
      <c r="A849" s="9">
        <v>7.4</v>
      </c>
      <c r="B849" s="9">
        <v>0.68</v>
      </c>
      <c r="C849" s="9">
        <v>0.16</v>
      </c>
      <c r="D849" s="9">
        <v>1.8</v>
      </c>
      <c r="E849" s="9">
        <v>7.8E-2</v>
      </c>
      <c r="F849" s="9">
        <v>12</v>
      </c>
      <c r="G849" s="9">
        <v>39</v>
      </c>
      <c r="H849" s="9">
        <v>0.99770000000000003</v>
      </c>
      <c r="I849" s="9">
        <v>3.5</v>
      </c>
      <c r="J849" s="9">
        <v>0.7</v>
      </c>
      <c r="K849" s="9">
        <v>9.9</v>
      </c>
      <c r="L849" s="9">
        <v>6</v>
      </c>
    </row>
    <row r="850" spans="1:12" x14ac:dyDescent="0.3">
      <c r="A850" s="9">
        <v>6.4</v>
      </c>
      <c r="B850" s="9">
        <v>0.64</v>
      </c>
      <c r="C850" s="9">
        <v>0.21</v>
      </c>
      <c r="D850" s="9">
        <v>1.8</v>
      </c>
      <c r="E850" s="9">
        <v>8.1000000000000003E-2</v>
      </c>
      <c r="F850" s="9">
        <v>14</v>
      </c>
      <c r="G850" s="9">
        <v>31</v>
      </c>
      <c r="H850" s="9">
        <v>0.99689000000000005</v>
      </c>
      <c r="I850" s="9">
        <v>3.59</v>
      </c>
      <c r="J850" s="9">
        <v>0.66</v>
      </c>
      <c r="K850" s="9">
        <v>9.8000000000000007</v>
      </c>
      <c r="L850" s="9">
        <v>5</v>
      </c>
    </row>
    <row r="851" spans="1:12" x14ac:dyDescent="0.3">
      <c r="A851" s="9">
        <v>6.4</v>
      </c>
      <c r="B851" s="9">
        <v>0.63</v>
      </c>
      <c r="C851" s="9">
        <v>0.21</v>
      </c>
      <c r="D851" s="9">
        <v>1.6</v>
      </c>
      <c r="E851" s="9">
        <v>0.08</v>
      </c>
      <c r="F851" s="9">
        <v>12</v>
      </c>
      <c r="G851" s="9">
        <v>32</v>
      </c>
      <c r="H851" s="9">
        <v>0.99689000000000005</v>
      </c>
      <c r="I851" s="9">
        <v>3.58</v>
      </c>
      <c r="J851" s="9">
        <v>0.66</v>
      </c>
      <c r="K851" s="9">
        <v>9.8000000000000007</v>
      </c>
      <c r="L851" s="9">
        <v>5</v>
      </c>
    </row>
    <row r="852" spans="1:12" x14ac:dyDescent="0.3">
      <c r="A852" s="9">
        <v>9.3000000000000007</v>
      </c>
      <c r="B852" s="9">
        <v>0.43</v>
      </c>
      <c r="C852" s="9">
        <v>0.44</v>
      </c>
      <c r="D852" s="9">
        <v>1.9</v>
      </c>
      <c r="E852" s="9">
        <v>8.5000000000000006E-2</v>
      </c>
      <c r="F852" s="9">
        <v>9</v>
      </c>
      <c r="G852" s="9">
        <v>22</v>
      </c>
      <c r="H852" s="9">
        <v>0.99707999999999997</v>
      </c>
      <c r="I852" s="9">
        <v>3.28</v>
      </c>
      <c r="J852" s="9">
        <v>0.55000000000000004</v>
      </c>
      <c r="K852" s="9">
        <v>9.5</v>
      </c>
      <c r="L852" s="9">
        <v>5</v>
      </c>
    </row>
    <row r="853" spans="1:12" x14ac:dyDescent="0.3">
      <c r="A853" s="9">
        <v>9.3000000000000007</v>
      </c>
      <c r="B853" s="9">
        <v>0.43</v>
      </c>
      <c r="C853" s="9">
        <v>0.44</v>
      </c>
      <c r="D853" s="9">
        <v>1.9</v>
      </c>
      <c r="E853" s="9">
        <v>8.5000000000000006E-2</v>
      </c>
      <c r="F853" s="9">
        <v>9</v>
      </c>
      <c r="G853" s="9">
        <v>22</v>
      </c>
      <c r="H853" s="9">
        <v>0.99707999999999997</v>
      </c>
      <c r="I853" s="9">
        <v>3.28</v>
      </c>
      <c r="J853" s="9">
        <v>0.55000000000000004</v>
      </c>
      <c r="K853" s="9">
        <v>9.5</v>
      </c>
      <c r="L853" s="9">
        <v>5</v>
      </c>
    </row>
    <row r="854" spans="1:12" x14ac:dyDescent="0.3">
      <c r="A854" s="9">
        <v>8</v>
      </c>
      <c r="B854" s="9">
        <v>0.42</v>
      </c>
      <c r="C854" s="9">
        <v>0.32</v>
      </c>
      <c r="D854" s="9">
        <v>2.5</v>
      </c>
      <c r="E854" s="9">
        <v>0.08</v>
      </c>
      <c r="F854" s="9">
        <v>26</v>
      </c>
      <c r="G854" s="9">
        <v>122</v>
      </c>
      <c r="H854" s="9">
        <v>0.99800999999999995</v>
      </c>
      <c r="I854" s="9">
        <v>3.22</v>
      </c>
      <c r="J854" s="9">
        <v>1.07</v>
      </c>
      <c r="K854" s="9">
        <v>9.6999999999999993</v>
      </c>
      <c r="L854" s="9">
        <v>5</v>
      </c>
    </row>
    <row r="855" spans="1:12" x14ac:dyDescent="0.3">
      <c r="A855" s="9">
        <v>9.3000000000000007</v>
      </c>
      <c r="B855" s="9">
        <v>0.36</v>
      </c>
      <c r="C855" s="9">
        <v>0.39</v>
      </c>
      <c r="D855" s="9">
        <v>1.5</v>
      </c>
      <c r="E855" s="9">
        <v>0.08</v>
      </c>
      <c r="F855" s="9">
        <v>41</v>
      </c>
      <c r="G855" s="9">
        <v>55</v>
      </c>
      <c r="H855" s="9">
        <v>0.99651999999999996</v>
      </c>
      <c r="I855" s="9">
        <v>3.47</v>
      </c>
      <c r="J855" s="9">
        <v>0.73</v>
      </c>
      <c r="K855" s="9">
        <v>10.9</v>
      </c>
      <c r="L855" s="9">
        <v>6</v>
      </c>
    </row>
    <row r="856" spans="1:12" x14ac:dyDescent="0.3">
      <c r="A856" s="9">
        <v>9.3000000000000007</v>
      </c>
      <c r="B856" s="9">
        <v>0.36</v>
      </c>
      <c r="C856" s="9">
        <v>0.39</v>
      </c>
      <c r="D856" s="9">
        <v>1.5</v>
      </c>
      <c r="E856" s="9">
        <v>0.08</v>
      </c>
      <c r="F856" s="9">
        <v>41</v>
      </c>
      <c r="G856" s="9">
        <v>55</v>
      </c>
      <c r="H856" s="9">
        <v>0.99651999999999996</v>
      </c>
      <c r="I856" s="9">
        <v>3.47</v>
      </c>
      <c r="J856" s="9">
        <v>0.73</v>
      </c>
      <c r="K856" s="9">
        <v>10.9</v>
      </c>
      <c r="L856" s="9">
        <v>6</v>
      </c>
    </row>
    <row r="857" spans="1:12" x14ac:dyDescent="0.3">
      <c r="A857" s="9">
        <v>7.6</v>
      </c>
      <c r="B857" s="9">
        <v>0.73499999999999999</v>
      </c>
      <c r="C857" s="9">
        <v>0.02</v>
      </c>
      <c r="D857" s="9">
        <v>2.5</v>
      </c>
      <c r="E857" s="9">
        <v>7.0999999999999994E-2</v>
      </c>
      <c r="F857" s="9">
        <v>10</v>
      </c>
      <c r="G857" s="9">
        <v>14</v>
      </c>
      <c r="H857" s="9">
        <v>0.99538000000000004</v>
      </c>
      <c r="I857" s="9">
        <v>3.51</v>
      </c>
      <c r="J857" s="9">
        <v>0.71</v>
      </c>
      <c r="K857" s="9">
        <v>11.7</v>
      </c>
      <c r="L857" s="9">
        <v>7</v>
      </c>
    </row>
    <row r="858" spans="1:12" x14ac:dyDescent="0.3">
      <c r="A858" s="9">
        <v>9.3000000000000007</v>
      </c>
      <c r="B858" s="9">
        <v>0.36</v>
      </c>
      <c r="C858" s="9">
        <v>0.39</v>
      </c>
      <c r="D858" s="9">
        <v>1.5</v>
      </c>
      <c r="E858" s="9">
        <v>0.08</v>
      </c>
      <c r="F858" s="9">
        <v>41</v>
      </c>
      <c r="G858" s="9">
        <v>55</v>
      </c>
      <c r="H858" s="9">
        <v>0.99651999999999996</v>
      </c>
      <c r="I858" s="9">
        <v>3.47</v>
      </c>
      <c r="J858" s="9">
        <v>0.73</v>
      </c>
      <c r="K858" s="9">
        <v>10.9</v>
      </c>
      <c r="L858" s="9">
        <v>6</v>
      </c>
    </row>
    <row r="859" spans="1:12" x14ac:dyDescent="0.3">
      <c r="A859" s="9">
        <v>8.1999999999999993</v>
      </c>
      <c r="B859" s="9">
        <v>0.26</v>
      </c>
      <c r="C859" s="9">
        <v>0.34</v>
      </c>
      <c r="D859" s="9">
        <v>2.5</v>
      </c>
      <c r="E859" s="9">
        <v>7.2999999999999995E-2</v>
      </c>
      <c r="F859" s="9">
        <v>16</v>
      </c>
      <c r="G859" s="9">
        <v>47</v>
      </c>
      <c r="H859" s="9">
        <v>0.99594000000000005</v>
      </c>
      <c r="I859" s="9">
        <v>3.4</v>
      </c>
      <c r="J859" s="9">
        <v>0.78</v>
      </c>
      <c r="K859" s="9">
        <v>11.3</v>
      </c>
      <c r="L859" s="9">
        <v>7</v>
      </c>
    </row>
    <row r="860" spans="1:12" x14ac:dyDescent="0.3">
      <c r="A860" s="9">
        <v>11.7</v>
      </c>
      <c r="B860" s="9">
        <v>0.28000000000000003</v>
      </c>
      <c r="C860" s="9">
        <v>0.47</v>
      </c>
      <c r="D860" s="9">
        <v>1.7</v>
      </c>
      <c r="E860" s="9">
        <v>5.3999999999999999E-2</v>
      </c>
      <c r="F860" s="9">
        <v>17</v>
      </c>
      <c r="G860" s="9">
        <v>32</v>
      </c>
      <c r="H860" s="9">
        <v>0.99685999999999997</v>
      </c>
      <c r="I860" s="9">
        <v>3.15</v>
      </c>
      <c r="J860" s="9">
        <v>0.67</v>
      </c>
      <c r="K860" s="9">
        <v>10.6</v>
      </c>
      <c r="L860" s="9">
        <v>7</v>
      </c>
    </row>
    <row r="861" spans="1:12" x14ac:dyDescent="0.3">
      <c r="A861" s="9">
        <v>6.8</v>
      </c>
      <c r="B861" s="9">
        <v>0.56000000000000005</v>
      </c>
      <c r="C861" s="9">
        <v>0.22</v>
      </c>
      <c r="D861" s="9">
        <v>1.8</v>
      </c>
      <c r="E861" s="9">
        <v>7.3999999999999996E-2</v>
      </c>
      <c r="F861" s="9">
        <v>15</v>
      </c>
      <c r="G861" s="9">
        <v>24</v>
      </c>
      <c r="H861" s="9">
        <v>0.99438000000000004</v>
      </c>
      <c r="I861" s="9">
        <v>3.4</v>
      </c>
      <c r="J861" s="9">
        <v>0.82</v>
      </c>
      <c r="K861" s="9">
        <v>11.2</v>
      </c>
      <c r="L861" s="9">
        <v>6</v>
      </c>
    </row>
    <row r="862" spans="1:12" x14ac:dyDescent="0.3">
      <c r="A862" s="9">
        <v>7.2</v>
      </c>
      <c r="B862" s="9">
        <v>0.62</v>
      </c>
      <c r="C862" s="9">
        <v>0.06</v>
      </c>
      <c r="D862" s="9">
        <v>2.7</v>
      </c>
      <c r="E862" s="9">
        <v>7.6999999999999999E-2</v>
      </c>
      <c r="F862" s="9">
        <v>15</v>
      </c>
      <c r="G862" s="9">
        <v>85</v>
      </c>
      <c r="H862" s="9">
        <v>0.99746000000000001</v>
      </c>
      <c r="I862" s="9">
        <v>3.51</v>
      </c>
      <c r="J862" s="9">
        <v>0.54</v>
      </c>
      <c r="K862" s="9">
        <v>9.5</v>
      </c>
      <c r="L862" s="9">
        <v>5</v>
      </c>
    </row>
    <row r="863" spans="1:12" x14ac:dyDescent="0.3">
      <c r="A863" s="9">
        <v>5.8</v>
      </c>
      <c r="B863" s="9">
        <v>1.01</v>
      </c>
      <c r="C863" s="9">
        <v>0.66</v>
      </c>
      <c r="D863" s="9">
        <v>2</v>
      </c>
      <c r="E863" s="9">
        <v>3.9E-2</v>
      </c>
      <c r="F863" s="9">
        <v>15</v>
      </c>
      <c r="G863" s="9">
        <v>88</v>
      </c>
      <c r="H863" s="9">
        <v>0.99356999999999995</v>
      </c>
      <c r="I863" s="9">
        <v>3.66</v>
      </c>
      <c r="J863" s="9">
        <v>0.6</v>
      </c>
      <c r="K863" s="9">
        <v>11.5</v>
      </c>
      <c r="L863" s="9">
        <v>6</v>
      </c>
    </row>
    <row r="864" spans="1:12" x14ac:dyDescent="0.3">
      <c r="A864" s="9">
        <v>7.5</v>
      </c>
      <c r="B864" s="9">
        <v>0.42</v>
      </c>
      <c r="C864" s="9">
        <v>0.32</v>
      </c>
      <c r="D864" s="9">
        <v>2.7</v>
      </c>
      <c r="E864" s="9">
        <v>6.7000000000000004E-2</v>
      </c>
      <c r="F864" s="9">
        <v>7</v>
      </c>
      <c r="G864" s="9">
        <v>25</v>
      </c>
      <c r="H864" s="9">
        <v>0.99628000000000005</v>
      </c>
      <c r="I864" s="9">
        <v>3.24</v>
      </c>
      <c r="J864" s="9">
        <v>0.44</v>
      </c>
      <c r="K864" s="9">
        <v>10.4</v>
      </c>
      <c r="L864" s="9">
        <v>5</v>
      </c>
    </row>
    <row r="865" spans="1:12" x14ac:dyDescent="0.3">
      <c r="A865" s="9">
        <v>7.2</v>
      </c>
      <c r="B865" s="9">
        <v>0.62</v>
      </c>
      <c r="C865" s="9">
        <v>0.06</v>
      </c>
      <c r="D865" s="9">
        <v>2.5</v>
      </c>
      <c r="E865" s="9">
        <v>7.8E-2</v>
      </c>
      <c r="F865" s="9">
        <v>17</v>
      </c>
      <c r="G865" s="9">
        <v>84</v>
      </c>
      <c r="H865" s="9">
        <v>0.99746000000000001</v>
      </c>
      <c r="I865" s="9">
        <v>3.51</v>
      </c>
      <c r="J865" s="9">
        <v>0.53</v>
      </c>
      <c r="K865" s="9">
        <v>9.6999999999999993</v>
      </c>
      <c r="L865" s="9">
        <v>5</v>
      </c>
    </row>
    <row r="866" spans="1:12" x14ac:dyDescent="0.3">
      <c r="A866" s="9">
        <v>7.2</v>
      </c>
      <c r="B866" s="9">
        <v>0.62</v>
      </c>
      <c r="C866" s="9">
        <v>0.06</v>
      </c>
      <c r="D866" s="9">
        <v>2.7</v>
      </c>
      <c r="E866" s="9">
        <v>7.6999999999999999E-2</v>
      </c>
      <c r="F866" s="9">
        <v>15</v>
      </c>
      <c r="G866" s="9">
        <v>85</v>
      </c>
      <c r="H866" s="9">
        <v>0.99746000000000001</v>
      </c>
      <c r="I866" s="9">
        <v>3.51</v>
      </c>
      <c r="J866" s="9">
        <v>0.54</v>
      </c>
      <c r="K866" s="9">
        <v>9.5</v>
      </c>
      <c r="L866" s="9">
        <v>5</v>
      </c>
    </row>
    <row r="867" spans="1:12" x14ac:dyDescent="0.3">
      <c r="A867" s="9">
        <v>7.2</v>
      </c>
      <c r="B867" s="9">
        <v>0.63500000000000001</v>
      </c>
      <c r="C867" s="9">
        <v>7.0000000000000007E-2</v>
      </c>
      <c r="D867" s="9">
        <v>2.6</v>
      </c>
      <c r="E867" s="9">
        <v>7.6999999999999999E-2</v>
      </c>
      <c r="F867" s="9">
        <v>16</v>
      </c>
      <c r="G867" s="9">
        <v>86</v>
      </c>
      <c r="H867" s="9">
        <v>0.99748000000000003</v>
      </c>
      <c r="I867" s="9">
        <v>3.51</v>
      </c>
      <c r="J867" s="9">
        <v>0.54</v>
      </c>
      <c r="K867" s="9">
        <v>9.6999999999999993</v>
      </c>
      <c r="L867" s="9">
        <v>5</v>
      </c>
    </row>
    <row r="868" spans="1:12" x14ac:dyDescent="0.3">
      <c r="A868" s="9">
        <v>6.8</v>
      </c>
      <c r="B868" s="9">
        <v>0.49</v>
      </c>
      <c r="C868" s="9">
        <v>0.22</v>
      </c>
      <c r="D868" s="9">
        <v>2.2999999999999998</v>
      </c>
      <c r="E868" s="9">
        <v>7.0999999999999994E-2</v>
      </c>
      <c r="F868" s="9">
        <v>13</v>
      </c>
      <c r="G868" s="9">
        <v>24</v>
      </c>
      <c r="H868" s="9">
        <v>0.99438000000000004</v>
      </c>
      <c r="I868" s="9">
        <v>3.41</v>
      </c>
      <c r="J868" s="9">
        <v>0.83</v>
      </c>
      <c r="K868" s="9">
        <v>11.3</v>
      </c>
      <c r="L868" s="9">
        <v>6</v>
      </c>
    </row>
    <row r="869" spans="1:12" x14ac:dyDescent="0.3">
      <c r="A869" s="9">
        <v>6.9</v>
      </c>
      <c r="B869" s="9">
        <v>0.51</v>
      </c>
      <c r="C869" s="9">
        <v>0.23</v>
      </c>
      <c r="D869" s="9">
        <v>2</v>
      </c>
      <c r="E869" s="9">
        <v>7.1999999999999995E-2</v>
      </c>
      <c r="F869" s="9">
        <v>13</v>
      </c>
      <c r="G869" s="9">
        <v>22</v>
      </c>
      <c r="H869" s="9">
        <v>0.99438000000000004</v>
      </c>
      <c r="I869" s="9">
        <v>3.4</v>
      </c>
      <c r="J869" s="9">
        <v>0.84</v>
      </c>
      <c r="K869" s="9">
        <v>11.2</v>
      </c>
      <c r="L869" s="9">
        <v>6</v>
      </c>
    </row>
    <row r="870" spans="1:12" x14ac:dyDescent="0.3">
      <c r="A870" s="9">
        <v>6.8</v>
      </c>
      <c r="B870" s="9">
        <v>0.56000000000000005</v>
      </c>
      <c r="C870" s="9">
        <v>0.22</v>
      </c>
      <c r="D870" s="9">
        <v>1.8</v>
      </c>
      <c r="E870" s="9">
        <v>7.3999999999999996E-2</v>
      </c>
      <c r="F870" s="9">
        <v>15</v>
      </c>
      <c r="G870" s="9">
        <v>24</v>
      </c>
      <c r="H870" s="9">
        <v>0.99438000000000004</v>
      </c>
      <c r="I870" s="9">
        <v>3.4</v>
      </c>
      <c r="J870" s="9">
        <v>0.82</v>
      </c>
      <c r="K870" s="9">
        <v>11.2</v>
      </c>
      <c r="L870" s="9">
        <v>6</v>
      </c>
    </row>
    <row r="871" spans="1:12" x14ac:dyDescent="0.3">
      <c r="A871" s="9">
        <v>7.6</v>
      </c>
      <c r="B871" s="9">
        <v>0.63</v>
      </c>
      <c r="C871" s="9">
        <v>0.03</v>
      </c>
      <c r="D871" s="9">
        <v>2</v>
      </c>
      <c r="E871" s="9">
        <v>0.08</v>
      </c>
      <c r="F871" s="9">
        <v>27</v>
      </c>
      <c r="G871" s="9">
        <v>43</v>
      </c>
      <c r="H871" s="9">
        <v>0.99578</v>
      </c>
      <c r="I871" s="9">
        <v>3.44</v>
      </c>
      <c r="J871" s="9">
        <v>0.64</v>
      </c>
      <c r="K871" s="9">
        <v>10.9</v>
      </c>
      <c r="L871" s="9">
        <v>6</v>
      </c>
    </row>
    <row r="872" spans="1:12" x14ac:dyDescent="0.3">
      <c r="A872" s="9">
        <v>7.7</v>
      </c>
      <c r="B872" s="9">
        <v>0.71499999999999997</v>
      </c>
      <c r="C872" s="9">
        <v>0.01</v>
      </c>
      <c r="D872" s="9">
        <v>2.1</v>
      </c>
      <c r="E872" s="9">
        <v>6.4000000000000001E-2</v>
      </c>
      <c r="F872" s="9">
        <v>31</v>
      </c>
      <c r="G872" s="9">
        <v>43</v>
      </c>
      <c r="H872" s="9">
        <v>0.99370999999999998</v>
      </c>
      <c r="I872" s="9">
        <v>3.41</v>
      </c>
      <c r="J872" s="9">
        <v>0.56999999999999995</v>
      </c>
      <c r="K872" s="9">
        <v>11.8</v>
      </c>
      <c r="L872" s="9">
        <v>6</v>
      </c>
    </row>
    <row r="873" spans="1:12" x14ac:dyDescent="0.3">
      <c r="A873" s="9">
        <v>6.9</v>
      </c>
      <c r="B873" s="9">
        <v>0.56000000000000005</v>
      </c>
      <c r="C873" s="9">
        <v>0.03</v>
      </c>
      <c r="D873" s="9">
        <v>1.5</v>
      </c>
      <c r="E873" s="9">
        <v>8.5999999999999993E-2</v>
      </c>
      <c r="F873" s="9">
        <v>36</v>
      </c>
      <c r="G873" s="9">
        <v>46</v>
      </c>
      <c r="H873" s="9">
        <v>0.99521999999999999</v>
      </c>
      <c r="I873" s="9">
        <v>3.53</v>
      </c>
      <c r="J873" s="9">
        <v>0.56999999999999995</v>
      </c>
      <c r="K873" s="9">
        <v>10.6</v>
      </c>
      <c r="L873" s="9">
        <v>5</v>
      </c>
    </row>
    <row r="874" spans="1:12" x14ac:dyDescent="0.3">
      <c r="A874" s="9">
        <v>7.3</v>
      </c>
      <c r="B874" s="9">
        <v>0.35</v>
      </c>
      <c r="C874" s="9">
        <v>0.24</v>
      </c>
      <c r="D874" s="9">
        <v>2</v>
      </c>
      <c r="E874" s="9">
        <v>6.7000000000000004E-2</v>
      </c>
      <c r="F874" s="9">
        <v>28</v>
      </c>
      <c r="G874" s="9">
        <v>48</v>
      </c>
      <c r="H874" s="9">
        <v>0.99575999999999998</v>
      </c>
      <c r="I874" s="9">
        <v>3.43</v>
      </c>
      <c r="J874" s="9">
        <v>0.54</v>
      </c>
      <c r="K874" s="9">
        <v>10</v>
      </c>
      <c r="L874" s="9">
        <v>4</v>
      </c>
    </row>
    <row r="875" spans="1:12" x14ac:dyDescent="0.3">
      <c r="A875" s="9">
        <v>9.1</v>
      </c>
      <c r="B875" s="9">
        <v>0.21</v>
      </c>
      <c r="C875" s="9">
        <v>0.37</v>
      </c>
      <c r="D875" s="9">
        <v>1.6</v>
      </c>
      <c r="E875" s="9">
        <v>6.7000000000000004E-2</v>
      </c>
      <c r="F875" s="9">
        <v>6</v>
      </c>
      <c r="G875" s="9">
        <v>10</v>
      </c>
      <c r="H875" s="9">
        <v>0.99551999999999996</v>
      </c>
      <c r="I875" s="9">
        <v>3.23</v>
      </c>
      <c r="J875" s="9">
        <v>0.57999999999999996</v>
      </c>
      <c r="K875" s="9">
        <v>11.1</v>
      </c>
      <c r="L875" s="9">
        <v>7</v>
      </c>
    </row>
    <row r="876" spans="1:12" x14ac:dyDescent="0.3">
      <c r="A876" s="9">
        <v>10.4</v>
      </c>
      <c r="B876" s="9">
        <v>0.38</v>
      </c>
      <c r="C876" s="9">
        <v>0.46</v>
      </c>
      <c r="D876" s="9">
        <v>2.1</v>
      </c>
      <c r="E876" s="9">
        <v>0.104</v>
      </c>
      <c r="F876" s="9">
        <v>6</v>
      </c>
      <c r="G876" s="9">
        <v>10</v>
      </c>
      <c r="H876" s="9">
        <v>0.99663999999999997</v>
      </c>
      <c r="I876" s="9">
        <v>3.12</v>
      </c>
      <c r="J876" s="9">
        <v>0.65</v>
      </c>
      <c r="K876" s="9">
        <v>11.8</v>
      </c>
      <c r="L876" s="9">
        <v>7</v>
      </c>
    </row>
    <row r="877" spans="1:12" x14ac:dyDescent="0.3">
      <c r="A877" s="9">
        <v>8.8000000000000007</v>
      </c>
      <c r="B877" s="9">
        <v>0.31</v>
      </c>
      <c r="C877" s="9">
        <v>0.4</v>
      </c>
      <c r="D877" s="9">
        <v>2.8</v>
      </c>
      <c r="E877" s="9">
        <v>0.109</v>
      </c>
      <c r="F877" s="9">
        <v>7</v>
      </c>
      <c r="G877" s="9">
        <v>16</v>
      </c>
      <c r="H877" s="9">
        <v>0.99614000000000003</v>
      </c>
      <c r="I877" s="9">
        <v>3.31</v>
      </c>
      <c r="J877" s="9">
        <v>0.79</v>
      </c>
      <c r="K877" s="9">
        <v>11.8</v>
      </c>
      <c r="L877" s="9">
        <v>7</v>
      </c>
    </row>
    <row r="878" spans="1:12" x14ac:dyDescent="0.3">
      <c r="A878" s="9">
        <v>7.1</v>
      </c>
      <c r="B878" s="9">
        <v>0.47</v>
      </c>
      <c r="C878" s="9">
        <v>0</v>
      </c>
      <c r="D878" s="9">
        <v>2.2000000000000002</v>
      </c>
      <c r="E878" s="9">
        <v>6.7000000000000004E-2</v>
      </c>
      <c r="F878" s="9">
        <v>7</v>
      </c>
      <c r="G878" s="9">
        <v>14</v>
      </c>
      <c r="H878" s="9">
        <v>0.99517</v>
      </c>
      <c r="I878" s="9">
        <v>3.4</v>
      </c>
      <c r="J878" s="9">
        <v>0.57999999999999996</v>
      </c>
      <c r="K878" s="9">
        <v>10.9</v>
      </c>
      <c r="L878" s="9">
        <v>4</v>
      </c>
    </row>
    <row r="879" spans="1:12" x14ac:dyDescent="0.3">
      <c r="A879" s="9">
        <v>7.7</v>
      </c>
      <c r="B879" s="9">
        <v>0.71499999999999997</v>
      </c>
      <c r="C879" s="9">
        <v>0.01</v>
      </c>
      <c r="D879" s="9">
        <v>2.1</v>
      </c>
      <c r="E879" s="9">
        <v>6.4000000000000001E-2</v>
      </c>
      <c r="F879" s="9">
        <v>31</v>
      </c>
      <c r="G879" s="9">
        <v>43</v>
      </c>
      <c r="H879" s="9">
        <v>0.99370999999999998</v>
      </c>
      <c r="I879" s="9">
        <v>3.41</v>
      </c>
      <c r="J879" s="9">
        <v>0.56999999999999995</v>
      </c>
      <c r="K879" s="9">
        <v>11.8</v>
      </c>
      <c r="L879" s="9">
        <v>6</v>
      </c>
    </row>
    <row r="880" spans="1:12" x14ac:dyDescent="0.3">
      <c r="A880" s="9">
        <v>8.8000000000000007</v>
      </c>
      <c r="B880" s="9">
        <v>0.61</v>
      </c>
      <c r="C880" s="9">
        <v>0.19</v>
      </c>
      <c r="D880" s="9">
        <v>4</v>
      </c>
      <c r="E880" s="9">
        <v>9.4E-2</v>
      </c>
      <c r="F880" s="9">
        <v>30</v>
      </c>
      <c r="G880" s="9">
        <v>69</v>
      </c>
      <c r="H880" s="9">
        <v>0.99787000000000003</v>
      </c>
      <c r="I880" s="9">
        <v>3.22</v>
      </c>
      <c r="J880" s="9">
        <v>0.5</v>
      </c>
      <c r="K880" s="9">
        <v>10</v>
      </c>
      <c r="L880" s="9">
        <v>6</v>
      </c>
    </row>
    <row r="881" spans="1:12" x14ac:dyDescent="0.3">
      <c r="A881" s="9">
        <v>7.2</v>
      </c>
      <c r="B881" s="9">
        <v>0.6</v>
      </c>
      <c r="C881" s="9">
        <v>0.04</v>
      </c>
      <c r="D881" s="9">
        <v>2.5</v>
      </c>
      <c r="E881" s="9">
        <v>7.5999999999999998E-2</v>
      </c>
      <c r="F881" s="9">
        <v>18</v>
      </c>
      <c r="G881" s="9">
        <v>88</v>
      </c>
      <c r="H881" s="9">
        <v>0.99744999999999995</v>
      </c>
      <c r="I881" s="9">
        <v>3.53</v>
      </c>
      <c r="J881" s="9">
        <v>0.55000000000000004</v>
      </c>
      <c r="K881" s="9">
        <v>9.5</v>
      </c>
      <c r="L881" s="9">
        <v>5</v>
      </c>
    </row>
    <row r="882" spans="1:12" x14ac:dyDescent="0.3">
      <c r="A882" s="9">
        <v>9.1999999999999993</v>
      </c>
      <c r="B882" s="9">
        <v>0.56000000000000005</v>
      </c>
      <c r="C882" s="9">
        <v>0.18</v>
      </c>
      <c r="D882" s="9">
        <v>1.6</v>
      </c>
      <c r="E882" s="9">
        <v>7.8E-2</v>
      </c>
      <c r="F882" s="9">
        <v>10</v>
      </c>
      <c r="G882" s="9">
        <v>21</v>
      </c>
      <c r="H882" s="9">
        <v>0.99575999999999998</v>
      </c>
      <c r="I882" s="9">
        <v>3.15</v>
      </c>
      <c r="J882" s="9">
        <v>0.49</v>
      </c>
      <c r="K882" s="9">
        <v>9.9</v>
      </c>
      <c r="L882" s="9">
        <v>5</v>
      </c>
    </row>
    <row r="883" spans="1:12" x14ac:dyDescent="0.3">
      <c r="A883" s="9">
        <v>7.6</v>
      </c>
      <c r="B883" s="9">
        <v>0.71499999999999997</v>
      </c>
      <c r="C883" s="9">
        <v>0</v>
      </c>
      <c r="D883" s="9">
        <v>2.1</v>
      </c>
      <c r="E883" s="9">
        <v>6.8000000000000005E-2</v>
      </c>
      <c r="F883" s="9">
        <v>30</v>
      </c>
      <c r="G883" s="9">
        <v>35</v>
      </c>
      <c r="H883" s="9">
        <v>0.99533000000000005</v>
      </c>
      <c r="I883" s="9">
        <v>3.48</v>
      </c>
      <c r="J883" s="9">
        <v>0.65</v>
      </c>
      <c r="K883" s="9">
        <v>11.4</v>
      </c>
      <c r="L883" s="9">
        <v>6</v>
      </c>
    </row>
    <row r="884" spans="1:12" x14ac:dyDescent="0.3">
      <c r="A884" s="9">
        <v>8.4</v>
      </c>
      <c r="B884" s="9">
        <v>0.31</v>
      </c>
      <c r="C884" s="9">
        <v>0.28999999999999998</v>
      </c>
      <c r="D884" s="9">
        <v>3.1</v>
      </c>
      <c r="E884" s="9">
        <v>0.19400000000000001</v>
      </c>
      <c r="F884" s="9">
        <v>14</v>
      </c>
      <c r="G884" s="9">
        <v>26</v>
      </c>
      <c r="H884" s="9">
        <v>0.99536000000000002</v>
      </c>
      <c r="I884" s="9">
        <v>3.22</v>
      </c>
      <c r="J884" s="9">
        <v>0.78</v>
      </c>
      <c r="K884" s="9">
        <v>12</v>
      </c>
      <c r="L884" s="9">
        <v>6</v>
      </c>
    </row>
    <row r="885" spans="1:12" x14ac:dyDescent="0.3">
      <c r="A885" s="9">
        <v>7.2</v>
      </c>
      <c r="B885" s="9">
        <v>0.6</v>
      </c>
      <c r="C885" s="9">
        <v>0.04</v>
      </c>
      <c r="D885" s="9">
        <v>2.5</v>
      </c>
      <c r="E885" s="9">
        <v>7.5999999999999998E-2</v>
      </c>
      <c r="F885" s="9">
        <v>18</v>
      </c>
      <c r="G885" s="9">
        <v>88</v>
      </c>
      <c r="H885" s="9">
        <v>0.99744999999999995</v>
      </c>
      <c r="I885" s="9">
        <v>3.53</v>
      </c>
      <c r="J885" s="9">
        <v>0.55000000000000004</v>
      </c>
      <c r="K885" s="9">
        <v>9.5</v>
      </c>
      <c r="L885" s="9">
        <v>5</v>
      </c>
    </row>
    <row r="886" spans="1:12" x14ac:dyDescent="0.3">
      <c r="A886" s="9">
        <v>8.8000000000000007</v>
      </c>
      <c r="B886" s="9">
        <v>0.61</v>
      </c>
      <c r="C886" s="9">
        <v>0.19</v>
      </c>
      <c r="D886" s="9">
        <v>4</v>
      </c>
      <c r="E886" s="9">
        <v>9.4E-2</v>
      </c>
      <c r="F886" s="9">
        <v>30</v>
      </c>
      <c r="G886" s="9">
        <v>69</v>
      </c>
      <c r="H886" s="9">
        <v>0.99787000000000003</v>
      </c>
      <c r="I886" s="9">
        <v>3.22</v>
      </c>
      <c r="J886" s="9">
        <v>0.5</v>
      </c>
      <c r="K886" s="9">
        <v>10</v>
      </c>
      <c r="L886" s="9">
        <v>6</v>
      </c>
    </row>
    <row r="887" spans="1:12" x14ac:dyDescent="0.3">
      <c r="A887" s="9">
        <v>8.9</v>
      </c>
      <c r="B887" s="9">
        <v>0.75</v>
      </c>
      <c r="C887" s="9">
        <v>0.14000000000000001</v>
      </c>
      <c r="D887" s="9">
        <v>2.5</v>
      </c>
      <c r="E887" s="9">
        <v>8.5999999999999993E-2</v>
      </c>
      <c r="F887" s="9">
        <v>9</v>
      </c>
      <c r="G887" s="9">
        <v>30</v>
      </c>
      <c r="H887" s="9">
        <v>0.99824000000000002</v>
      </c>
      <c r="I887" s="9">
        <v>3.34</v>
      </c>
      <c r="J887" s="9">
        <v>0.64</v>
      </c>
      <c r="K887" s="9">
        <v>10.5</v>
      </c>
      <c r="L887" s="9">
        <v>5</v>
      </c>
    </row>
    <row r="888" spans="1:12" x14ac:dyDescent="0.3">
      <c r="A888" s="9">
        <v>9</v>
      </c>
      <c r="B888" s="9">
        <v>0.8</v>
      </c>
      <c r="C888" s="9">
        <v>0.12</v>
      </c>
      <c r="D888" s="9">
        <v>2.4</v>
      </c>
      <c r="E888" s="9">
        <v>8.3000000000000004E-2</v>
      </c>
      <c r="F888" s="9">
        <v>8</v>
      </c>
      <c r="G888" s="9">
        <v>28</v>
      </c>
      <c r="H888" s="9">
        <v>0.99836000000000003</v>
      </c>
      <c r="I888" s="9">
        <v>3.33</v>
      </c>
      <c r="J888" s="9">
        <v>0.65</v>
      </c>
      <c r="K888" s="9">
        <v>10.4</v>
      </c>
      <c r="L888" s="9">
        <v>6</v>
      </c>
    </row>
    <row r="889" spans="1:12" x14ac:dyDescent="0.3">
      <c r="A889" s="9">
        <v>10.7</v>
      </c>
      <c r="B889" s="9">
        <v>0.52</v>
      </c>
      <c r="C889" s="9">
        <v>0.38</v>
      </c>
      <c r="D889" s="9">
        <v>2.6</v>
      </c>
      <c r="E889" s="9">
        <v>6.6000000000000003E-2</v>
      </c>
      <c r="F889" s="9">
        <v>29</v>
      </c>
      <c r="G889" s="9">
        <v>56</v>
      </c>
      <c r="H889" s="9">
        <v>0.99577000000000004</v>
      </c>
      <c r="I889" s="9">
        <v>3.15</v>
      </c>
      <c r="J889" s="9">
        <v>0.79</v>
      </c>
      <c r="K889" s="9">
        <v>12.1</v>
      </c>
      <c r="L889" s="9">
        <v>7</v>
      </c>
    </row>
    <row r="890" spans="1:12" x14ac:dyDescent="0.3">
      <c r="A890" s="9">
        <v>6.8</v>
      </c>
      <c r="B890" s="9">
        <v>0.56999999999999995</v>
      </c>
      <c r="C890" s="9">
        <v>0</v>
      </c>
      <c r="D890" s="9">
        <v>2.5</v>
      </c>
      <c r="E890" s="9">
        <v>7.1999999999999995E-2</v>
      </c>
      <c r="F890" s="9">
        <v>32</v>
      </c>
      <c r="G890" s="9">
        <v>64</v>
      </c>
      <c r="H890" s="9">
        <v>0.99490999999999996</v>
      </c>
      <c r="I890" s="9">
        <v>3.43</v>
      </c>
      <c r="J890" s="9">
        <v>0.56000000000000005</v>
      </c>
      <c r="K890" s="9">
        <v>11.2</v>
      </c>
      <c r="L890" s="9">
        <v>6</v>
      </c>
    </row>
    <row r="891" spans="1:12" x14ac:dyDescent="0.3">
      <c r="A891" s="9">
        <v>10.7</v>
      </c>
      <c r="B891" s="9">
        <v>0.9</v>
      </c>
      <c r="C891" s="9">
        <v>0.34</v>
      </c>
      <c r="D891" s="9">
        <v>6.6</v>
      </c>
      <c r="E891" s="9">
        <v>0.112</v>
      </c>
      <c r="F891" s="9">
        <v>23</v>
      </c>
      <c r="G891" s="9">
        <v>99</v>
      </c>
      <c r="H891" s="9">
        <v>1.0028900000000001</v>
      </c>
      <c r="I891" s="9">
        <v>3.22</v>
      </c>
      <c r="J891" s="9">
        <v>0.68</v>
      </c>
      <c r="K891" s="9">
        <v>9.3000000000000007</v>
      </c>
      <c r="L891" s="9">
        <v>5</v>
      </c>
    </row>
    <row r="892" spans="1:12" x14ac:dyDescent="0.3">
      <c r="A892" s="9">
        <v>7.2</v>
      </c>
      <c r="B892" s="9">
        <v>0.34</v>
      </c>
      <c r="C892" s="9">
        <v>0.24</v>
      </c>
      <c r="D892" s="9">
        <v>2</v>
      </c>
      <c r="E892" s="9">
        <v>7.0999999999999994E-2</v>
      </c>
      <c r="F892" s="9">
        <v>30</v>
      </c>
      <c r="G892" s="9">
        <v>52</v>
      </c>
      <c r="H892" s="9">
        <v>0.99575999999999998</v>
      </c>
      <c r="I892" s="9">
        <v>3.44</v>
      </c>
      <c r="J892" s="9">
        <v>0.57999999999999996</v>
      </c>
      <c r="K892" s="9">
        <v>10.1</v>
      </c>
      <c r="L892" s="9">
        <v>5</v>
      </c>
    </row>
    <row r="893" spans="1:12" x14ac:dyDescent="0.3">
      <c r="A893" s="9">
        <v>7.2</v>
      </c>
      <c r="B893" s="9">
        <v>0.66</v>
      </c>
      <c r="C893" s="9">
        <v>0.03</v>
      </c>
      <c r="D893" s="9">
        <v>2.2999999999999998</v>
      </c>
      <c r="E893" s="9">
        <v>7.8E-2</v>
      </c>
      <c r="F893" s="9">
        <v>16</v>
      </c>
      <c r="G893" s="9">
        <v>86</v>
      </c>
      <c r="H893" s="9">
        <v>0.99743000000000004</v>
      </c>
      <c r="I893" s="9">
        <v>3.53</v>
      </c>
      <c r="J893" s="9">
        <v>0.56999999999999995</v>
      </c>
      <c r="K893" s="9">
        <v>9.6999999999999993</v>
      </c>
      <c r="L893" s="9">
        <v>5</v>
      </c>
    </row>
    <row r="894" spans="1:12" x14ac:dyDescent="0.3">
      <c r="A894" s="9">
        <v>10.1</v>
      </c>
      <c r="B894" s="9">
        <v>0.45</v>
      </c>
      <c r="C894" s="9">
        <v>0.23</v>
      </c>
      <c r="D894" s="9">
        <v>1.9</v>
      </c>
      <c r="E894" s="9">
        <v>8.2000000000000003E-2</v>
      </c>
      <c r="F894" s="9">
        <v>10</v>
      </c>
      <c r="G894" s="9">
        <v>18</v>
      </c>
      <c r="H894" s="9">
        <v>0.99773999999999996</v>
      </c>
      <c r="I894" s="9">
        <v>3.22</v>
      </c>
      <c r="J894" s="9">
        <v>0.65</v>
      </c>
      <c r="K894" s="9">
        <v>9.3000000000000007</v>
      </c>
      <c r="L894" s="9">
        <v>6</v>
      </c>
    </row>
    <row r="895" spans="1:12" x14ac:dyDescent="0.3">
      <c r="A895" s="9">
        <v>7.2</v>
      </c>
      <c r="B895" s="9">
        <v>0.66</v>
      </c>
      <c r="C895" s="9">
        <v>0.03</v>
      </c>
      <c r="D895" s="9">
        <v>2.2999999999999998</v>
      </c>
      <c r="E895" s="9">
        <v>7.8E-2</v>
      </c>
      <c r="F895" s="9">
        <v>16</v>
      </c>
      <c r="G895" s="9">
        <v>86</v>
      </c>
      <c r="H895" s="9">
        <v>0.99743000000000004</v>
      </c>
      <c r="I895" s="9">
        <v>3.53</v>
      </c>
      <c r="J895" s="9">
        <v>0.56999999999999995</v>
      </c>
      <c r="K895" s="9">
        <v>9.6999999999999993</v>
      </c>
      <c r="L895" s="9">
        <v>5</v>
      </c>
    </row>
    <row r="896" spans="1:12" x14ac:dyDescent="0.3">
      <c r="A896" s="9">
        <v>7.2</v>
      </c>
      <c r="B896" s="9">
        <v>0.63</v>
      </c>
      <c r="C896" s="9">
        <v>0.03</v>
      </c>
      <c r="D896" s="9">
        <v>2.2000000000000002</v>
      </c>
      <c r="E896" s="9">
        <v>0.08</v>
      </c>
      <c r="F896" s="9">
        <v>17</v>
      </c>
      <c r="G896" s="9">
        <v>88</v>
      </c>
      <c r="H896" s="9">
        <v>0.99744999999999995</v>
      </c>
      <c r="I896" s="9">
        <v>3.53</v>
      </c>
      <c r="J896" s="9">
        <v>0.57999999999999996</v>
      </c>
      <c r="K896" s="9">
        <v>9.8000000000000007</v>
      </c>
      <c r="L896" s="9">
        <v>6</v>
      </c>
    </row>
    <row r="897" spans="1:12" x14ac:dyDescent="0.3">
      <c r="A897" s="9">
        <v>7.1</v>
      </c>
      <c r="B897" s="9">
        <v>0.59</v>
      </c>
      <c r="C897" s="9">
        <v>0.01</v>
      </c>
      <c r="D897" s="9">
        <v>2.2999999999999998</v>
      </c>
      <c r="E897" s="9">
        <v>0.08</v>
      </c>
      <c r="F897" s="9">
        <v>27</v>
      </c>
      <c r="G897" s="9">
        <v>43</v>
      </c>
      <c r="H897" s="9">
        <v>0.99550000000000005</v>
      </c>
      <c r="I897" s="9">
        <v>3.42</v>
      </c>
      <c r="J897" s="9">
        <v>0.57999999999999996</v>
      </c>
      <c r="K897" s="9">
        <v>10.7</v>
      </c>
      <c r="L897" s="9">
        <v>6</v>
      </c>
    </row>
    <row r="898" spans="1:12" x14ac:dyDescent="0.3">
      <c r="A898" s="9">
        <v>8.3000000000000007</v>
      </c>
      <c r="B898" s="9">
        <v>0.31</v>
      </c>
      <c r="C898" s="9">
        <v>0.39</v>
      </c>
      <c r="D898" s="9">
        <v>2.4</v>
      </c>
      <c r="E898" s="9">
        <v>7.8E-2</v>
      </c>
      <c r="F898" s="9">
        <v>17</v>
      </c>
      <c r="G898" s="9">
        <v>43</v>
      </c>
      <c r="H898" s="9">
        <v>0.99443999999999999</v>
      </c>
      <c r="I898" s="9">
        <v>3.31</v>
      </c>
      <c r="J898" s="9">
        <v>0.77</v>
      </c>
      <c r="K898" s="9">
        <v>12.5</v>
      </c>
      <c r="L898" s="9">
        <v>7</v>
      </c>
    </row>
    <row r="899" spans="1:12" x14ac:dyDescent="0.3">
      <c r="A899" s="9">
        <v>7.1</v>
      </c>
      <c r="B899" s="9">
        <v>0.59</v>
      </c>
      <c r="C899" s="9">
        <v>0.01</v>
      </c>
      <c r="D899" s="9">
        <v>2.2999999999999998</v>
      </c>
      <c r="E899" s="9">
        <v>0.08</v>
      </c>
      <c r="F899" s="9">
        <v>27</v>
      </c>
      <c r="G899" s="9">
        <v>43</v>
      </c>
      <c r="H899" s="9">
        <v>0.99550000000000005</v>
      </c>
      <c r="I899" s="9">
        <v>3.42</v>
      </c>
      <c r="J899" s="9">
        <v>0.57999999999999996</v>
      </c>
      <c r="K899" s="9">
        <v>10.7</v>
      </c>
      <c r="L899" s="9">
        <v>6</v>
      </c>
    </row>
    <row r="900" spans="1:12" x14ac:dyDescent="0.3">
      <c r="A900" s="9">
        <v>8.3000000000000007</v>
      </c>
      <c r="B900" s="9">
        <v>0.31</v>
      </c>
      <c r="C900" s="9">
        <v>0.39</v>
      </c>
      <c r="D900" s="9">
        <v>2.4</v>
      </c>
      <c r="E900" s="9">
        <v>7.8E-2</v>
      </c>
      <c r="F900" s="9">
        <v>17</v>
      </c>
      <c r="G900" s="9">
        <v>43</v>
      </c>
      <c r="H900" s="9">
        <v>0.99443999999999999</v>
      </c>
      <c r="I900" s="9">
        <v>3.31</v>
      </c>
      <c r="J900" s="9">
        <v>0.77</v>
      </c>
      <c r="K900" s="9">
        <v>12.5</v>
      </c>
      <c r="L900" s="9">
        <v>7</v>
      </c>
    </row>
    <row r="901" spans="1:12" x14ac:dyDescent="0.3">
      <c r="A901" s="9">
        <v>8.3000000000000007</v>
      </c>
      <c r="B901" s="9">
        <v>1.02</v>
      </c>
      <c r="C901" s="9">
        <v>0.02</v>
      </c>
      <c r="D901" s="9">
        <v>3.4</v>
      </c>
      <c r="E901" s="9">
        <v>8.4000000000000005E-2</v>
      </c>
      <c r="F901" s="9">
        <v>6</v>
      </c>
      <c r="G901" s="9">
        <v>11</v>
      </c>
      <c r="H901" s="9">
        <v>0.99892000000000003</v>
      </c>
      <c r="I901" s="9">
        <v>3.48</v>
      </c>
      <c r="J901" s="9">
        <v>0.49</v>
      </c>
      <c r="K901" s="9">
        <v>11</v>
      </c>
      <c r="L901" s="9">
        <v>3</v>
      </c>
    </row>
    <row r="902" spans="1:12" x14ac:dyDescent="0.3">
      <c r="A902" s="9">
        <v>8.9</v>
      </c>
      <c r="B902" s="9">
        <v>0.31</v>
      </c>
      <c r="C902" s="9">
        <v>0.36</v>
      </c>
      <c r="D902" s="9">
        <v>2.6</v>
      </c>
      <c r="E902" s="9">
        <v>5.6000000000000001E-2</v>
      </c>
      <c r="F902" s="9">
        <v>10</v>
      </c>
      <c r="G902" s="9">
        <v>39</v>
      </c>
      <c r="H902" s="9">
        <v>0.99561999999999995</v>
      </c>
      <c r="I902" s="9">
        <v>3.4</v>
      </c>
      <c r="J902" s="9">
        <v>0.69</v>
      </c>
      <c r="K902" s="9">
        <v>11.8</v>
      </c>
      <c r="L902" s="9">
        <v>5</v>
      </c>
    </row>
    <row r="903" spans="1:12" x14ac:dyDescent="0.3">
      <c r="A903" s="9">
        <v>7.4</v>
      </c>
      <c r="B903" s="9">
        <v>0.63500000000000001</v>
      </c>
      <c r="C903" s="9">
        <v>0.1</v>
      </c>
      <c r="D903" s="9">
        <v>2.4</v>
      </c>
      <c r="E903" s="9">
        <v>0.08</v>
      </c>
      <c r="F903" s="9">
        <v>16</v>
      </c>
      <c r="G903" s="9">
        <v>33</v>
      </c>
      <c r="H903" s="9">
        <v>0.99736000000000002</v>
      </c>
      <c r="I903" s="9">
        <v>3.58</v>
      </c>
      <c r="J903" s="9">
        <v>0.69</v>
      </c>
      <c r="K903" s="9">
        <v>10.8</v>
      </c>
      <c r="L903" s="9">
        <v>7</v>
      </c>
    </row>
    <row r="904" spans="1:12" x14ac:dyDescent="0.3">
      <c r="A904" s="9">
        <v>7.4</v>
      </c>
      <c r="B904" s="9">
        <v>0.63500000000000001</v>
      </c>
      <c r="C904" s="9">
        <v>0.1</v>
      </c>
      <c r="D904" s="9">
        <v>2.4</v>
      </c>
      <c r="E904" s="9">
        <v>0.08</v>
      </c>
      <c r="F904" s="9">
        <v>16</v>
      </c>
      <c r="G904" s="9">
        <v>33</v>
      </c>
      <c r="H904" s="9">
        <v>0.99736000000000002</v>
      </c>
      <c r="I904" s="9">
        <v>3.58</v>
      </c>
      <c r="J904" s="9">
        <v>0.69</v>
      </c>
      <c r="K904" s="9">
        <v>10.8</v>
      </c>
      <c r="L904" s="9">
        <v>7</v>
      </c>
    </row>
    <row r="905" spans="1:12" x14ac:dyDescent="0.3">
      <c r="A905" s="9">
        <v>6.8</v>
      </c>
      <c r="B905" s="9">
        <v>0.59</v>
      </c>
      <c r="C905" s="9">
        <v>0.06</v>
      </c>
      <c r="D905" s="9">
        <v>6</v>
      </c>
      <c r="E905" s="9">
        <v>0.06</v>
      </c>
      <c r="F905" s="9">
        <v>11</v>
      </c>
      <c r="G905" s="9">
        <v>18</v>
      </c>
      <c r="H905" s="9">
        <v>0.99619999999999997</v>
      </c>
      <c r="I905" s="9">
        <v>3.41</v>
      </c>
      <c r="J905" s="9">
        <v>0.59</v>
      </c>
      <c r="K905" s="9">
        <v>10.8</v>
      </c>
      <c r="L905" s="9">
        <v>7</v>
      </c>
    </row>
    <row r="906" spans="1:12" x14ac:dyDescent="0.3">
      <c r="A906" s="9">
        <v>6.8</v>
      </c>
      <c r="B906" s="9">
        <v>0.59</v>
      </c>
      <c r="C906" s="9">
        <v>0.06</v>
      </c>
      <c r="D906" s="9">
        <v>6</v>
      </c>
      <c r="E906" s="9">
        <v>0.06</v>
      </c>
      <c r="F906" s="9">
        <v>11</v>
      </c>
      <c r="G906" s="9">
        <v>18</v>
      </c>
      <c r="H906" s="9">
        <v>0.99619999999999997</v>
      </c>
      <c r="I906" s="9">
        <v>3.41</v>
      </c>
      <c r="J906" s="9">
        <v>0.59</v>
      </c>
      <c r="K906" s="9">
        <v>10.8</v>
      </c>
      <c r="L906" s="9">
        <v>7</v>
      </c>
    </row>
    <row r="907" spans="1:12" x14ac:dyDescent="0.3">
      <c r="A907" s="9">
        <v>9.1999999999999993</v>
      </c>
      <c r="B907" s="9">
        <v>0.57999999999999996</v>
      </c>
      <c r="C907" s="9">
        <v>0.2</v>
      </c>
      <c r="D907" s="9">
        <v>3</v>
      </c>
      <c r="E907" s="9">
        <v>8.1000000000000003E-2</v>
      </c>
      <c r="F907" s="9">
        <v>15</v>
      </c>
      <c r="G907" s="9">
        <v>115</v>
      </c>
      <c r="H907" s="9">
        <v>0.998</v>
      </c>
      <c r="I907" s="9">
        <v>3.23</v>
      </c>
      <c r="J907" s="9">
        <v>0.59</v>
      </c>
      <c r="K907" s="9">
        <v>9.5</v>
      </c>
      <c r="L907" s="9">
        <v>5</v>
      </c>
    </row>
    <row r="908" spans="1:12" x14ac:dyDescent="0.3">
      <c r="A908" s="9">
        <v>7.2</v>
      </c>
      <c r="B908" s="9">
        <v>0.54</v>
      </c>
      <c r="C908" s="9">
        <v>0.27</v>
      </c>
      <c r="D908" s="9">
        <v>2.6</v>
      </c>
      <c r="E908" s="9">
        <v>8.4000000000000005E-2</v>
      </c>
      <c r="F908" s="9">
        <v>12</v>
      </c>
      <c r="G908" s="9">
        <v>78</v>
      </c>
      <c r="H908" s="9">
        <v>0.99639999999999995</v>
      </c>
      <c r="I908" s="9">
        <v>3.39</v>
      </c>
      <c r="J908" s="9">
        <v>0.71</v>
      </c>
      <c r="K908" s="9">
        <v>11</v>
      </c>
      <c r="L908" s="9">
        <v>5</v>
      </c>
    </row>
    <row r="909" spans="1:12" x14ac:dyDescent="0.3">
      <c r="A909" s="9">
        <v>6.1</v>
      </c>
      <c r="B909" s="9">
        <v>0.56000000000000005</v>
      </c>
      <c r="C909" s="9">
        <v>0</v>
      </c>
      <c r="D909" s="9">
        <v>2.2000000000000002</v>
      </c>
      <c r="E909" s="9">
        <v>7.9000000000000001E-2</v>
      </c>
      <c r="F909" s="9">
        <v>6</v>
      </c>
      <c r="G909" s="9">
        <v>9</v>
      </c>
      <c r="H909" s="9">
        <v>0.99480000000000002</v>
      </c>
      <c r="I909" s="9">
        <v>3.59</v>
      </c>
      <c r="J909" s="9">
        <v>0.54</v>
      </c>
      <c r="K909" s="9">
        <v>11.5</v>
      </c>
      <c r="L909" s="9">
        <v>6</v>
      </c>
    </row>
    <row r="910" spans="1:12" x14ac:dyDescent="0.3">
      <c r="A910" s="9">
        <v>7.4</v>
      </c>
      <c r="B910" s="9">
        <v>0.52</v>
      </c>
      <c r="C910" s="9">
        <v>0.13</v>
      </c>
      <c r="D910" s="9">
        <v>2.4</v>
      </c>
      <c r="E910" s="9">
        <v>7.8E-2</v>
      </c>
      <c r="F910" s="9">
        <v>34</v>
      </c>
      <c r="G910" s="9">
        <v>61</v>
      </c>
      <c r="H910" s="9">
        <v>0.99528000000000005</v>
      </c>
      <c r="I910" s="9">
        <v>3.43</v>
      </c>
      <c r="J910" s="9">
        <v>0.59</v>
      </c>
      <c r="K910" s="9">
        <v>10.8</v>
      </c>
      <c r="L910" s="9">
        <v>6</v>
      </c>
    </row>
    <row r="911" spans="1:12" x14ac:dyDescent="0.3">
      <c r="A911" s="9">
        <v>7.3</v>
      </c>
      <c r="B911" s="9">
        <v>0.30499999999999999</v>
      </c>
      <c r="C911" s="9">
        <v>0.39</v>
      </c>
      <c r="D911" s="9">
        <v>1.2</v>
      </c>
      <c r="E911" s="9">
        <v>5.8999999999999997E-2</v>
      </c>
      <c r="F911" s="9">
        <v>7</v>
      </c>
      <c r="G911" s="9">
        <v>11</v>
      </c>
      <c r="H911" s="9">
        <v>0.99331000000000003</v>
      </c>
      <c r="I911" s="9">
        <v>3.29</v>
      </c>
      <c r="J911" s="9">
        <v>0.52</v>
      </c>
      <c r="K911" s="9">
        <v>11.5</v>
      </c>
      <c r="L911" s="9">
        <v>6</v>
      </c>
    </row>
    <row r="912" spans="1:12" x14ac:dyDescent="0.3">
      <c r="A912" s="9">
        <v>9.3000000000000007</v>
      </c>
      <c r="B912" s="9">
        <v>0.38</v>
      </c>
      <c r="C912" s="9">
        <v>0.48</v>
      </c>
      <c r="D912" s="9">
        <v>3.8</v>
      </c>
      <c r="E912" s="9">
        <v>0.13200000000000001</v>
      </c>
      <c r="F912" s="9">
        <v>3</v>
      </c>
      <c r="G912" s="9">
        <v>11</v>
      </c>
      <c r="H912" s="9">
        <v>0.99577000000000004</v>
      </c>
      <c r="I912" s="9">
        <v>3.23</v>
      </c>
      <c r="J912" s="9">
        <v>0.56999999999999995</v>
      </c>
      <c r="K912" s="9">
        <v>13.2</v>
      </c>
      <c r="L912" s="9">
        <v>6</v>
      </c>
    </row>
    <row r="913" spans="1:12" x14ac:dyDescent="0.3">
      <c r="A913" s="9">
        <v>9.1</v>
      </c>
      <c r="B913" s="9">
        <v>0.28000000000000003</v>
      </c>
      <c r="C913" s="9">
        <v>0.46</v>
      </c>
      <c r="D913" s="9">
        <v>9</v>
      </c>
      <c r="E913" s="9">
        <v>0.114</v>
      </c>
      <c r="F913" s="9">
        <v>3</v>
      </c>
      <c r="G913" s="9">
        <v>9</v>
      </c>
      <c r="H913" s="9">
        <v>0.99900999999999995</v>
      </c>
      <c r="I913" s="9">
        <v>3.18</v>
      </c>
      <c r="J913" s="9">
        <v>0.6</v>
      </c>
      <c r="K913" s="9">
        <v>10.9</v>
      </c>
      <c r="L913" s="9">
        <v>6</v>
      </c>
    </row>
    <row r="914" spans="1:12" x14ac:dyDescent="0.3">
      <c r="A914" s="9">
        <v>10</v>
      </c>
      <c r="B914" s="9">
        <v>0.46</v>
      </c>
      <c r="C914" s="9">
        <v>0.44</v>
      </c>
      <c r="D914" s="9">
        <v>2.9</v>
      </c>
      <c r="E914" s="9">
        <v>6.5000000000000002E-2</v>
      </c>
      <c r="F914" s="9">
        <v>4</v>
      </c>
      <c r="G914" s="9">
        <v>8</v>
      </c>
      <c r="H914" s="9">
        <v>0.99673999999999996</v>
      </c>
      <c r="I914" s="9">
        <v>3.33</v>
      </c>
      <c r="J914" s="9">
        <v>0.62</v>
      </c>
      <c r="K914" s="9">
        <v>12.2</v>
      </c>
      <c r="L914" s="9">
        <v>6</v>
      </c>
    </row>
    <row r="915" spans="1:12" x14ac:dyDescent="0.3">
      <c r="A915" s="9">
        <v>9.4</v>
      </c>
      <c r="B915" s="9">
        <v>0.39500000000000002</v>
      </c>
      <c r="C915" s="9">
        <v>0.46</v>
      </c>
      <c r="D915" s="9">
        <v>4.5999999999999996</v>
      </c>
      <c r="E915" s="9">
        <v>9.4E-2</v>
      </c>
      <c r="F915" s="9">
        <v>3</v>
      </c>
      <c r="G915" s="9">
        <v>10</v>
      </c>
      <c r="H915" s="9">
        <v>0.99639</v>
      </c>
      <c r="I915" s="9">
        <v>3.27</v>
      </c>
      <c r="J915" s="9">
        <v>0.64</v>
      </c>
      <c r="K915" s="9">
        <v>12.2</v>
      </c>
      <c r="L915" s="9">
        <v>7</v>
      </c>
    </row>
    <row r="916" spans="1:12" x14ac:dyDescent="0.3">
      <c r="A916" s="9">
        <v>7.3</v>
      </c>
      <c r="B916" s="9">
        <v>0.30499999999999999</v>
      </c>
      <c r="C916" s="9">
        <v>0.39</v>
      </c>
      <c r="D916" s="9">
        <v>1.2</v>
      </c>
      <c r="E916" s="9">
        <v>5.8999999999999997E-2</v>
      </c>
      <c r="F916" s="9">
        <v>7</v>
      </c>
      <c r="G916" s="9">
        <v>11</v>
      </c>
      <c r="H916" s="9">
        <v>0.99331000000000003</v>
      </c>
      <c r="I916" s="9">
        <v>3.29</v>
      </c>
      <c r="J916" s="9">
        <v>0.52</v>
      </c>
      <c r="K916" s="9">
        <v>11.5</v>
      </c>
      <c r="L916" s="9">
        <v>6</v>
      </c>
    </row>
    <row r="917" spans="1:12" x14ac:dyDescent="0.3">
      <c r="A917" s="9">
        <v>8.6</v>
      </c>
      <c r="B917" s="9">
        <v>0.315</v>
      </c>
      <c r="C917" s="9">
        <v>0.4</v>
      </c>
      <c r="D917" s="9">
        <v>2.2000000000000002</v>
      </c>
      <c r="E917" s="9">
        <v>7.9000000000000001E-2</v>
      </c>
      <c r="F917" s="9">
        <v>3</v>
      </c>
      <c r="G917" s="9">
        <v>6</v>
      </c>
      <c r="H917" s="9">
        <v>0.99512</v>
      </c>
      <c r="I917" s="9">
        <v>3.27</v>
      </c>
      <c r="J917" s="9">
        <v>0.67</v>
      </c>
      <c r="K917" s="9">
        <v>11.9</v>
      </c>
      <c r="L917" s="9">
        <v>6</v>
      </c>
    </row>
    <row r="918" spans="1:12" x14ac:dyDescent="0.3">
      <c r="A918" s="9">
        <v>5.3</v>
      </c>
      <c r="B918" s="9">
        <v>0.71499999999999997</v>
      </c>
      <c r="C918" s="9">
        <v>0.19</v>
      </c>
      <c r="D918" s="9">
        <v>1.5</v>
      </c>
      <c r="E918" s="9">
        <v>0.161</v>
      </c>
      <c r="F918" s="9">
        <v>7</v>
      </c>
      <c r="G918" s="9">
        <v>62</v>
      </c>
      <c r="H918" s="9">
        <v>0.99395</v>
      </c>
      <c r="I918" s="9">
        <v>3.62</v>
      </c>
      <c r="J918" s="9">
        <v>0.61</v>
      </c>
      <c r="K918" s="9">
        <v>11</v>
      </c>
      <c r="L918" s="9">
        <v>5</v>
      </c>
    </row>
    <row r="919" spans="1:12" x14ac:dyDescent="0.3">
      <c r="A919" s="9">
        <v>6.8</v>
      </c>
      <c r="B919" s="9">
        <v>0.41</v>
      </c>
      <c r="C919" s="9">
        <v>0.31</v>
      </c>
      <c r="D919" s="9">
        <v>8.8000000000000007</v>
      </c>
      <c r="E919" s="9">
        <v>8.4000000000000005E-2</v>
      </c>
      <c r="F919" s="9">
        <v>26</v>
      </c>
      <c r="G919" s="9">
        <v>45</v>
      </c>
      <c r="H919" s="9">
        <v>0.99824000000000002</v>
      </c>
      <c r="I919" s="9">
        <v>3.38</v>
      </c>
      <c r="J919" s="9">
        <v>0.64</v>
      </c>
      <c r="K919" s="9">
        <v>10.1</v>
      </c>
      <c r="L919" s="9">
        <v>6</v>
      </c>
    </row>
    <row r="920" spans="1:12" x14ac:dyDescent="0.3">
      <c r="A920" s="9">
        <v>8.4</v>
      </c>
      <c r="B920" s="9">
        <v>0.36</v>
      </c>
      <c r="C920" s="9">
        <v>0.32</v>
      </c>
      <c r="D920" s="9">
        <v>2.2000000000000002</v>
      </c>
      <c r="E920" s="9">
        <v>8.1000000000000003E-2</v>
      </c>
      <c r="F920" s="9">
        <v>32</v>
      </c>
      <c r="G920" s="9">
        <v>79</v>
      </c>
      <c r="H920" s="9">
        <v>0.99639999999999995</v>
      </c>
      <c r="I920" s="9">
        <v>3.3</v>
      </c>
      <c r="J920" s="9">
        <v>0.72</v>
      </c>
      <c r="K920" s="9">
        <v>11</v>
      </c>
      <c r="L920" s="9">
        <v>6</v>
      </c>
    </row>
    <row r="921" spans="1:12" x14ac:dyDescent="0.3">
      <c r="A921" s="9">
        <v>8.4</v>
      </c>
      <c r="B921" s="9">
        <v>0.62</v>
      </c>
      <c r="C921" s="9">
        <v>0.12</v>
      </c>
      <c r="D921" s="9">
        <v>1.8</v>
      </c>
      <c r="E921" s="9">
        <v>7.1999999999999995E-2</v>
      </c>
      <c r="F921" s="9">
        <v>38</v>
      </c>
      <c r="G921" s="9">
        <v>46</v>
      </c>
      <c r="H921" s="9">
        <v>0.99504000000000004</v>
      </c>
      <c r="I921" s="9">
        <v>3.38</v>
      </c>
      <c r="J921" s="9">
        <v>0.89</v>
      </c>
      <c r="K921" s="9">
        <v>11.8</v>
      </c>
      <c r="L921" s="9">
        <v>6</v>
      </c>
    </row>
    <row r="922" spans="1:12" x14ac:dyDescent="0.3">
      <c r="A922" s="9">
        <v>9.6</v>
      </c>
      <c r="B922" s="9">
        <v>0.41</v>
      </c>
      <c r="C922" s="9">
        <v>0.37</v>
      </c>
      <c r="D922" s="9">
        <v>2.2999999999999998</v>
      </c>
      <c r="E922" s="9">
        <v>9.0999999999999998E-2</v>
      </c>
      <c r="F922" s="9">
        <v>10</v>
      </c>
      <c r="G922" s="9">
        <v>23</v>
      </c>
      <c r="H922" s="9">
        <v>0.99785999999999997</v>
      </c>
      <c r="I922" s="9">
        <v>3.24</v>
      </c>
      <c r="J922" s="9">
        <v>0.56000000000000005</v>
      </c>
      <c r="K922" s="9">
        <v>10.5</v>
      </c>
      <c r="L922" s="9">
        <v>5</v>
      </c>
    </row>
    <row r="923" spans="1:12" x14ac:dyDescent="0.3">
      <c r="A923" s="9">
        <v>8.4</v>
      </c>
      <c r="B923" s="9">
        <v>0.36</v>
      </c>
      <c r="C923" s="9">
        <v>0.32</v>
      </c>
      <c r="D923" s="9">
        <v>2.2000000000000002</v>
      </c>
      <c r="E923" s="9">
        <v>8.1000000000000003E-2</v>
      </c>
      <c r="F923" s="9">
        <v>32</v>
      </c>
      <c r="G923" s="9">
        <v>79</v>
      </c>
      <c r="H923" s="9">
        <v>0.99639999999999995</v>
      </c>
      <c r="I923" s="9">
        <v>3.3</v>
      </c>
      <c r="J923" s="9">
        <v>0.72</v>
      </c>
      <c r="K923" s="9">
        <v>11</v>
      </c>
      <c r="L923" s="9">
        <v>6</v>
      </c>
    </row>
    <row r="924" spans="1:12" x14ac:dyDescent="0.3">
      <c r="A924" s="9">
        <v>8.4</v>
      </c>
      <c r="B924" s="9">
        <v>0.62</v>
      </c>
      <c r="C924" s="9">
        <v>0.12</v>
      </c>
      <c r="D924" s="9">
        <v>1.8</v>
      </c>
      <c r="E924" s="9">
        <v>7.1999999999999995E-2</v>
      </c>
      <c r="F924" s="9">
        <v>38</v>
      </c>
      <c r="G924" s="9">
        <v>46</v>
      </c>
      <c r="H924" s="9">
        <v>0.99504000000000004</v>
      </c>
      <c r="I924" s="9">
        <v>3.38</v>
      </c>
      <c r="J924" s="9">
        <v>0.89</v>
      </c>
      <c r="K924" s="9">
        <v>11.8</v>
      </c>
      <c r="L924" s="9">
        <v>6</v>
      </c>
    </row>
    <row r="925" spans="1:12" x14ac:dyDescent="0.3">
      <c r="A925" s="9">
        <v>6.8</v>
      </c>
      <c r="B925" s="9">
        <v>0.41</v>
      </c>
      <c r="C925" s="9">
        <v>0.31</v>
      </c>
      <c r="D925" s="9">
        <v>8.8000000000000007</v>
      </c>
      <c r="E925" s="9">
        <v>8.4000000000000005E-2</v>
      </c>
      <c r="F925" s="9">
        <v>26</v>
      </c>
      <c r="G925" s="9">
        <v>45</v>
      </c>
      <c r="H925" s="9">
        <v>0.99824000000000002</v>
      </c>
      <c r="I925" s="9">
        <v>3.38</v>
      </c>
      <c r="J925" s="9">
        <v>0.64</v>
      </c>
      <c r="K925" s="9">
        <v>10.1</v>
      </c>
      <c r="L925" s="9">
        <v>6</v>
      </c>
    </row>
    <row r="926" spans="1:12" x14ac:dyDescent="0.3">
      <c r="A926" s="9">
        <v>8.6</v>
      </c>
      <c r="B926" s="9">
        <v>0.47</v>
      </c>
      <c r="C926" s="9">
        <v>0.27</v>
      </c>
      <c r="D926" s="9">
        <v>2.2999999999999998</v>
      </c>
      <c r="E926" s="9">
        <v>5.5E-2</v>
      </c>
      <c r="F926" s="9">
        <v>14</v>
      </c>
      <c r="G926" s="9">
        <v>28</v>
      </c>
      <c r="H926" s="9">
        <v>0.99516000000000004</v>
      </c>
      <c r="I926" s="9">
        <v>3.18</v>
      </c>
      <c r="J926" s="9">
        <v>0.8</v>
      </c>
      <c r="K926" s="9">
        <v>11.2</v>
      </c>
      <c r="L926" s="9">
        <v>5</v>
      </c>
    </row>
    <row r="927" spans="1:12" x14ac:dyDescent="0.3">
      <c r="A927" s="9">
        <v>8.6</v>
      </c>
      <c r="B927" s="9">
        <v>0.22</v>
      </c>
      <c r="C927" s="9">
        <v>0.36</v>
      </c>
      <c r="D927" s="9">
        <v>1.9</v>
      </c>
      <c r="E927" s="9">
        <v>6.4000000000000001E-2</v>
      </c>
      <c r="F927" s="9">
        <v>53</v>
      </c>
      <c r="G927" s="9">
        <v>77</v>
      </c>
      <c r="H927" s="9">
        <v>0.99604000000000004</v>
      </c>
      <c r="I927" s="9">
        <v>3.47</v>
      </c>
      <c r="J927" s="9">
        <v>0.87</v>
      </c>
      <c r="K927" s="9">
        <v>11</v>
      </c>
      <c r="L927" s="9">
        <v>7</v>
      </c>
    </row>
    <row r="928" spans="1:12" x14ac:dyDescent="0.3">
      <c r="A928" s="9">
        <v>9.4</v>
      </c>
      <c r="B928" s="9">
        <v>0.24</v>
      </c>
      <c r="C928" s="9">
        <v>0.33</v>
      </c>
      <c r="D928" s="9">
        <v>2.2999999999999998</v>
      </c>
      <c r="E928" s="9">
        <v>6.0999999999999999E-2</v>
      </c>
      <c r="F928" s="9">
        <v>52</v>
      </c>
      <c r="G928" s="9">
        <v>73</v>
      </c>
      <c r="H928" s="9">
        <v>0.99785999999999997</v>
      </c>
      <c r="I928" s="9">
        <v>3.47</v>
      </c>
      <c r="J928" s="9">
        <v>0.9</v>
      </c>
      <c r="K928" s="9">
        <v>10.199999999999999</v>
      </c>
      <c r="L928" s="9">
        <v>6</v>
      </c>
    </row>
    <row r="929" spans="1:12" x14ac:dyDescent="0.3">
      <c r="A929" s="9">
        <v>8.4</v>
      </c>
      <c r="B929" s="9">
        <v>0.67</v>
      </c>
      <c r="C929" s="9">
        <v>0.19</v>
      </c>
      <c r="D929" s="9">
        <v>2.2000000000000002</v>
      </c>
      <c r="E929" s="9">
        <v>9.2999999999999999E-2</v>
      </c>
      <c r="F929" s="9">
        <v>11</v>
      </c>
      <c r="G929" s="9">
        <v>75</v>
      </c>
      <c r="H929" s="9">
        <v>0.99736000000000002</v>
      </c>
      <c r="I929" s="9">
        <v>3.2</v>
      </c>
      <c r="J929" s="9">
        <v>0.59</v>
      </c>
      <c r="K929" s="9">
        <v>9.1999999999999993</v>
      </c>
      <c r="L929" s="9">
        <v>4</v>
      </c>
    </row>
    <row r="930" spans="1:12" x14ac:dyDescent="0.3">
      <c r="A930" s="9">
        <v>8.6</v>
      </c>
      <c r="B930" s="9">
        <v>0.47</v>
      </c>
      <c r="C930" s="9">
        <v>0.27</v>
      </c>
      <c r="D930" s="9">
        <v>2.2999999999999998</v>
      </c>
      <c r="E930" s="9">
        <v>5.5E-2</v>
      </c>
      <c r="F930" s="9">
        <v>14</v>
      </c>
      <c r="G930" s="9">
        <v>28</v>
      </c>
      <c r="H930" s="9">
        <v>0.99516000000000004</v>
      </c>
      <c r="I930" s="9">
        <v>3.18</v>
      </c>
      <c r="J930" s="9">
        <v>0.8</v>
      </c>
      <c r="K930" s="9">
        <v>11.2</v>
      </c>
      <c r="L930" s="9">
        <v>5</v>
      </c>
    </row>
    <row r="931" spans="1:12" x14ac:dyDescent="0.3">
      <c r="A931" s="9">
        <v>8.6999999999999993</v>
      </c>
      <c r="B931" s="9">
        <v>0.33</v>
      </c>
      <c r="C931" s="9">
        <v>0.38</v>
      </c>
      <c r="D931" s="9">
        <v>3.3</v>
      </c>
      <c r="E931" s="9">
        <v>6.3E-2</v>
      </c>
      <c r="F931" s="9">
        <v>10</v>
      </c>
      <c r="G931" s="9">
        <v>19</v>
      </c>
      <c r="H931" s="9">
        <v>0.99468000000000001</v>
      </c>
      <c r="I931" s="9">
        <v>3.3</v>
      </c>
      <c r="J931" s="9">
        <v>0.73</v>
      </c>
      <c r="K931" s="9">
        <v>12</v>
      </c>
      <c r="L931" s="9">
        <v>7</v>
      </c>
    </row>
    <row r="932" spans="1:12" x14ac:dyDescent="0.3">
      <c r="A932" s="9">
        <v>6.6</v>
      </c>
      <c r="B932" s="9">
        <v>0.61</v>
      </c>
      <c r="C932" s="9">
        <v>0.01</v>
      </c>
      <c r="D932" s="9">
        <v>1.9</v>
      </c>
      <c r="E932" s="9">
        <v>0.08</v>
      </c>
      <c r="F932" s="9">
        <v>8</v>
      </c>
      <c r="G932" s="9">
        <v>25</v>
      </c>
      <c r="H932" s="9">
        <v>0.99746000000000001</v>
      </c>
      <c r="I932" s="9">
        <v>3.69</v>
      </c>
      <c r="J932" s="9">
        <v>0.73</v>
      </c>
      <c r="K932" s="9">
        <v>10.5</v>
      </c>
      <c r="L932" s="9">
        <v>5</v>
      </c>
    </row>
    <row r="933" spans="1:12" x14ac:dyDescent="0.3">
      <c r="A933" s="9">
        <v>7.4</v>
      </c>
      <c r="B933" s="9">
        <v>0.61</v>
      </c>
      <c r="C933" s="9">
        <v>0.01</v>
      </c>
      <c r="D933" s="9">
        <v>2</v>
      </c>
      <c r="E933" s="9">
        <v>7.3999999999999996E-2</v>
      </c>
      <c r="F933" s="9">
        <v>13</v>
      </c>
      <c r="G933" s="9">
        <v>38</v>
      </c>
      <c r="H933" s="9">
        <v>0.99748000000000003</v>
      </c>
      <c r="I933" s="9">
        <v>3.48</v>
      </c>
      <c r="J933" s="9">
        <v>0.65</v>
      </c>
      <c r="K933" s="9">
        <v>9.8000000000000007</v>
      </c>
      <c r="L933" s="9">
        <v>5</v>
      </c>
    </row>
    <row r="934" spans="1:12" x14ac:dyDescent="0.3">
      <c r="A934" s="9">
        <v>7.6</v>
      </c>
      <c r="B934" s="9">
        <v>0.4</v>
      </c>
      <c r="C934" s="9">
        <v>0.28999999999999998</v>
      </c>
      <c r="D934" s="9">
        <v>1.9</v>
      </c>
      <c r="E934" s="9">
        <v>7.8E-2</v>
      </c>
      <c r="F934" s="9">
        <v>29</v>
      </c>
      <c r="G934" s="9">
        <v>66</v>
      </c>
      <c r="H934" s="9">
        <v>0.99709999999999999</v>
      </c>
      <c r="I934" s="9">
        <v>3.45</v>
      </c>
      <c r="J934" s="9">
        <v>0.59</v>
      </c>
      <c r="K934" s="9">
        <v>9.5</v>
      </c>
      <c r="L934" s="9">
        <v>6</v>
      </c>
    </row>
    <row r="935" spans="1:12" x14ac:dyDescent="0.3">
      <c r="A935" s="9">
        <v>7.4</v>
      </c>
      <c r="B935" s="9">
        <v>0.61</v>
      </c>
      <c r="C935" s="9">
        <v>0.01</v>
      </c>
      <c r="D935" s="9">
        <v>2</v>
      </c>
      <c r="E935" s="9">
        <v>7.3999999999999996E-2</v>
      </c>
      <c r="F935" s="9">
        <v>13</v>
      </c>
      <c r="G935" s="9">
        <v>38</v>
      </c>
      <c r="H935" s="9">
        <v>0.99748000000000003</v>
      </c>
      <c r="I935" s="9">
        <v>3.48</v>
      </c>
      <c r="J935" s="9">
        <v>0.65</v>
      </c>
      <c r="K935" s="9">
        <v>9.8000000000000007</v>
      </c>
      <c r="L935" s="9">
        <v>5</v>
      </c>
    </row>
    <row r="936" spans="1:12" x14ac:dyDescent="0.3">
      <c r="A936" s="9">
        <v>6.6</v>
      </c>
      <c r="B936" s="9">
        <v>0.61</v>
      </c>
      <c r="C936" s="9">
        <v>0.01</v>
      </c>
      <c r="D936" s="9">
        <v>1.9</v>
      </c>
      <c r="E936" s="9">
        <v>0.08</v>
      </c>
      <c r="F936" s="9">
        <v>8</v>
      </c>
      <c r="G936" s="9">
        <v>25</v>
      </c>
      <c r="H936" s="9">
        <v>0.99746000000000001</v>
      </c>
      <c r="I936" s="9">
        <v>3.69</v>
      </c>
      <c r="J936" s="9">
        <v>0.73</v>
      </c>
      <c r="K936" s="9">
        <v>10.5</v>
      </c>
      <c r="L936" s="9">
        <v>5</v>
      </c>
    </row>
    <row r="937" spans="1:12" x14ac:dyDescent="0.3">
      <c r="A937" s="9">
        <v>8.8000000000000007</v>
      </c>
      <c r="B937" s="9">
        <v>0.3</v>
      </c>
      <c r="C937" s="9">
        <v>0.38</v>
      </c>
      <c r="D937" s="9">
        <v>2.2999999999999998</v>
      </c>
      <c r="E937" s="9">
        <v>0.06</v>
      </c>
      <c r="F937" s="9">
        <v>19</v>
      </c>
      <c r="G937" s="9">
        <v>72</v>
      </c>
      <c r="H937" s="9">
        <v>0.99543000000000004</v>
      </c>
      <c r="I937" s="9">
        <v>3.39</v>
      </c>
      <c r="J937" s="9">
        <v>0.72</v>
      </c>
      <c r="K937" s="9">
        <v>11.8</v>
      </c>
      <c r="L937" s="9">
        <v>6</v>
      </c>
    </row>
    <row r="938" spans="1:12" x14ac:dyDescent="0.3">
      <c r="A938" s="9">
        <v>8.8000000000000007</v>
      </c>
      <c r="B938" s="9">
        <v>0.3</v>
      </c>
      <c r="C938" s="9">
        <v>0.38</v>
      </c>
      <c r="D938" s="9">
        <v>2.2999999999999998</v>
      </c>
      <c r="E938" s="9">
        <v>0.06</v>
      </c>
      <c r="F938" s="9">
        <v>19</v>
      </c>
      <c r="G938" s="9">
        <v>72</v>
      </c>
      <c r="H938" s="9">
        <v>0.99543000000000004</v>
      </c>
      <c r="I938" s="9">
        <v>3.39</v>
      </c>
      <c r="J938" s="9">
        <v>0.72</v>
      </c>
      <c r="K938" s="9">
        <v>11.8</v>
      </c>
      <c r="L938" s="9">
        <v>6</v>
      </c>
    </row>
    <row r="939" spans="1:12" x14ac:dyDescent="0.3">
      <c r="A939" s="9">
        <v>12</v>
      </c>
      <c r="B939" s="9">
        <v>0.63</v>
      </c>
      <c r="C939" s="9">
        <v>0.5</v>
      </c>
      <c r="D939" s="9">
        <v>1.4</v>
      </c>
      <c r="E939" s="9">
        <v>7.0999999999999994E-2</v>
      </c>
      <c r="F939" s="9">
        <v>6</v>
      </c>
      <c r="G939" s="9">
        <v>26</v>
      </c>
      <c r="H939" s="9">
        <v>0.99790999999999996</v>
      </c>
      <c r="I939" s="9">
        <v>3.07</v>
      </c>
      <c r="J939" s="9">
        <v>0.6</v>
      </c>
      <c r="K939" s="9">
        <v>10.4</v>
      </c>
      <c r="L939" s="9">
        <v>4</v>
      </c>
    </row>
    <row r="940" spans="1:12" x14ac:dyDescent="0.3">
      <c r="A940" s="9">
        <v>7.2</v>
      </c>
      <c r="B940" s="9">
        <v>0.38</v>
      </c>
      <c r="C940" s="9">
        <v>0.38</v>
      </c>
      <c r="D940" s="9">
        <v>2.8</v>
      </c>
      <c r="E940" s="9">
        <v>6.8000000000000005E-2</v>
      </c>
      <c r="F940" s="9">
        <v>23</v>
      </c>
      <c r="G940" s="9">
        <v>42</v>
      </c>
      <c r="H940" s="9">
        <v>0.99356</v>
      </c>
      <c r="I940" s="9">
        <v>3.34</v>
      </c>
      <c r="J940" s="9">
        <v>0.72</v>
      </c>
      <c r="K940" s="9">
        <v>12.9</v>
      </c>
      <c r="L940" s="9">
        <v>7</v>
      </c>
    </row>
    <row r="941" spans="1:12" x14ac:dyDescent="0.3">
      <c r="A941" s="9">
        <v>6.2</v>
      </c>
      <c r="B941" s="9">
        <v>0.46</v>
      </c>
      <c r="C941" s="9">
        <v>0.17</v>
      </c>
      <c r="D941" s="9">
        <v>1.6</v>
      </c>
      <c r="E941" s="9">
        <v>7.2999999999999995E-2</v>
      </c>
      <c r="F941" s="9">
        <v>7</v>
      </c>
      <c r="G941" s="9">
        <v>11</v>
      </c>
      <c r="H941" s="9">
        <v>0.99424999999999997</v>
      </c>
      <c r="I941" s="9">
        <v>3.61</v>
      </c>
      <c r="J941" s="9">
        <v>0.54</v>
      </c>
      <c r="K941" s="9">
        <v>11.4</v>
      </c>
      <c r="L941" s="9">
        <v>5</v>
      </c>
    </row>
    <row r="942" spans="1:12" x14ac:dyDescent="0.3">
      <c r="A942" s="9">
        <v>9.6</v>
      </c>
      <c r="B942" s="9">
        <v>0.33</v>
      </c>
      <c r="C942" s="9">
        <v>0.52</v>
      </c>
      <c r="D942" s="9">
        <v>2.2000000000000002</v>
      </c>
      <c r="E942" s="9">
        <v>7.3999999999999996E-2</v>
      </c>
      <c r="F942" s="9">
        <v>13</v>
      </c>
      <c r="G942" s="9">
        <v>25</v>
      </c>
      <c r="H942" s="9">
        <v>0.99509000000000003</v>
      </c>
      <c r="I942" s="9">
        <v>3.36</v>
      </c>
      <c r="J942" s="9">
        <v>0.76</v>
      </c>
      <c r="K942" s="9">
        <v>12.4</v>
      </c>
      <c r="L942" s="9">
        <v>7</v>
      </c>
    </row>
    <row r="943" spans="1:12" x14ac:dyDescent="0.3">
      <c r="A943" s="9">
        <v>9.9</v>
      </c>
      <c r="B943" s="9">
        <v>0.27</v>
      </c>
      <c r="C943" s="9">
        <v>0.49</v>
      </c>
      <c r="D943" s="9">
        <v>5</v>
      </c>
      <c r="E943" s="9">
        <v>8.2000000000000003E-2</v>
      </c>
      <c r="F943" s="9">
        <v>9</v>
      </c>
      <c r="G943" s="9">
        <v>17</v>
      </c>
      <c r="H943" s="9">
        <v>0.99483999999999995</v>
      </c>
      <c r="I943" s="9">
        <v>3.19</v>
      </c>
      <c r="J943" s="9">
        <v>0.52</v>
      </c>
      <c r="K943" s="9">
        <v>12.5</v>
      </c>
      <c r="L943" s="9">
        <v>7</v>
      </c>
    </row>
    <row r="944" spans="1:12" x14ac:dyDescent="0.3">
      <c r="A944" s="9">
        <v>10.1</v>
      </c>
      <c r="B944" s="9">
        <v>0.43</v>
      </c>
      <c r="C944" s="9">
        <v>0.4</v>
      </c>
      <c r="D944" s="9">
        <v>2.6</v>
      </c>
      <c r="E944" s="9">
        <v>9.1999999999999998E-2</v>
      </c>
      <c r="F944" s="9">
        <v>13</v>
      </c>
      <c r="G944" s="9">
        <v>52</v>
      </c>
      <c r="H944" s="9">
        <v>0.99834000000000001</v>
      </c>
      <c r="I944" s="9">
        <v>3.22</v>
      </c>
      <c r="J944" s="9">
        <v>0.64</v>
      </c>
      <c r="K944" s="9">
        <v>10</v>
      </c>
      <c r="L944" s="9">
        <v>7</v>
      </c>
    </row>
    <row r="945" spans="1:12" x14ac:dyDescent="0.3">
      <c r="A945" s="9">
        <v>9.8000000000000007</v>
      </c>
      <c r="B945" s="9">
        <v>0.5</v>
      </c>
      <c r="C945" s="9">
        <v>0.34</v>
      </c>
      <c r="D945" s="9">
        <v>2.2999999999999998</v>
      </c>
      <c r="E945" s="9">
        <v>9.4E-2</v>
      </c>
      <c r="F945" s="9">
        <v>10</v>
      </c>
      <c r="G945" s="9">
        <v>45</v>
      </c>
      <c r="H945" s="9">
        <v>0.99863999999999997</v>
      </c>
      <c r="I945" s="9">
        <v>3.24</v>
      </c>
      <c r="J945" s="9">
        <v>0.6</v>
      </c>
      <c r="K945" s="9">
        <v>9.6999999999999993</v>
      </c>
      <c r="L945" s="9">
        <v>7</v>
      </c>
    </row>
    <row r="946" spans="1:12" x14ac:dyDescent="0.3">
      <c r="A946" s="9">
        <v>8.3000000000000007</v>
      </c>
      <c r="B946" s="9">
        <v>0.3</v>
      </c>
      <c r="C946" s="9">
        <v>0.49</v>
      </c>
      <c r="D946" s="9">
        <v>3.8</v>
      </c>
      <c r="E946" s="9">
        <v>0.09</v>
      </c>
      <c r="F946" s="9">
        <v>11</v>
      </c>
      <c r="G946" s="9">
        <v>24</v>
      </c>
      <c r="H946" s="9">
        <v>0.99497999999999998</v>
      </c>
      <c r="I946" s="9">
        <v>3.27</v>
      </c>
      <c r="J946" s="9">
        <v>0.64</v>
      </c>
      <c r="K946" s="9">
        <v>12.1</v>
      </c>
      <c r="L946" s="9">
        <v>7</v>
      </c>
    </row>
    <row r="947" spans="1:12" x14ac:dyDescent="0.3">
      <c r="A947" s="9">
        <v>10.199999999999999</v>
      </c>
      <c r="B947" s="9">
        <v>0.44</v>
      </c>
      <c r="C947" s="9">
        <v>0.42</v>
      </c>
      <c r="D947" s="9">
        <v>2</v>
      </c>
      <c r="E947" s="9">
        <v>7.0999999999999994E-2</v>
      </c>
      <c r="F947" s="9">
        <v>7</v>
      </c>
      <c r="G947" s="9">
        <v>20</v>
      </c>
      <c r="H947" s="9">
        <v>0.99565999999999999</v>
      </c>
      <c r="I947" s="9">
        <v>3.14</v>
      </c>
      <c r="J947" s="9">
        <v>0.79</v>
      </c>
      <c r="K947" s="9">
        <v>11.1</v>
      </c>
      <c r="L947" s="9">
        <v>7</v>
      </c>
    </row>
    <row r="948" spans="1:12" x14ac:dyDescent="0.3">
      <c r="A948" s="9">
        <v>10.199999999999999</v>
      </c>
      <c r="B948" s="9">
        <v>0.44</v>
      </c>
      <c r="C948" s="9">
        <v>0.57999999999999996</v>
      </c>
      <c r="D948" s="9">
        <v>4.0999999999999996</v>
      </c>
      <c r="E948" s="9">
        <v>9.1999999999999998E-2</v>
      </c>
      <c r="F948" s="9">
        <v>11</v>
      </c>
      <c r="G948" s="9">
        <v>24</v>
      </c>
      <c r="H948" s="9">
        <v>0.99744999999999995</v>
      </c>
      <c r="I948" s="9">
        <v>3.29</v>
      </c>
      <c r="J948" s="9">
        <v>0.99</v>
      </c>
      <c r="K948" s="9">
        <v>12</v>
      </c>
      <c r="L948" s="9">
        <v>7</v>
      </c>
    </row>
    <row r="949" spans="1:12" x14ac:dyDescent="0.3">
      <c r="A949" s="9">
        <v>8.3000000000000007</v>
      </c>
      <c r="B949" s="9">
        <v>0.28000000000000003</v>
      </c>
      <c r="C949" s="9">
        <v>0.48</v>
      </c>
      <c r="D949" s="9">
        <v>2.1</v>
      </c>
      <c r="E949" s="9">
        <v>9.2999999999999999E-2</v>
      </c>
      <c r="F949" s="9">
        <v>6</v>
      </c>
      <c r="G949" s="9">
        <v>12</v>
      </c>
      <c r="H949" s="9">
        <v>0.99407999999999996</v>
      </c>
      <c r="I949" s="9">
        <v>3.26</v>
      </c>
      <c r="J949" s="9">
        <v>0.62</v>
      </c>
      <c r="K949" s="9">
        <v>12.4</v>
      </c>
      <c r="L949" s="9">
        <v>7</v>
      </c>
    </row>
    <row r="950" spans="1:12" x14ac:dyDescent="0.3">
      <c r="A950" s="9">
        <v>8.9</v>
      </c>
      <c r="B950" s="9">
        <v>0.12</v>
      </c>
      <c r="C950" s="9">
        <v>0.45</v>
      </c>
      <c r="D950" s="9">
        <v>1.8</v>
      </c>
      <c r="E950" s="9">
        <v>7.4999999999999997E-2</v>
      </c>
      <c r="F950" s="9">
        <v>10</v>
      </c>
      <c r="G950" s="9">
        <v>21</v>
      </c>
      <c r="H950" s="9">
        <v>0.99551999999999996</v>
      </c>
      <c r="I950" s="9">
        <v>3.41</v>
      </c>
      <c r="J950" s="9">
        <v>0.76</v>
      </c>
      <c r="K950" s="9">
        <v>11.9</v>
      </c>
      <c r="L950" s="9">
        <v>7</v>
      </c>
    </row>
    <row r="951" spans="1:12" x14ac:dyDescent="0.3">
      <c r="A951" s="9">
        <v>8.9</v>
      </c>
      <c r="B951" s="9">
        <v>0.12</v>
      </c>
      <c r="C951" s="9">
        <v>0.45</v>
      </c>
      <c r="D951" s="9">
        <v>1.8</v>
      </c>
      <c r="E951" s="9">
        <v>7.4999999999999997E-2</v>
      </c>
      <c r="F951" s="9">
        <v>10</v>
      </c>
      <c r="G951" s="9">
        <v>21</v>
      </c>
      <c r="H951" s="9">
        <v>0.99551999999999996</v>
      </c>
      <c r="I951" s="9">
        <v>3.41</v>
      </c>
      <c r="J951" s="9">
        <v>0.76</v>
      </c>
      <c r="K951" s="9">
        <v>11.9</v>
      </c>
      <c r="L951" s="9">
        <v>7</v>
      </c>
    </row>
    <row r="952" spans="1:12" x14ac:dyDescent="0.3">
      <c r="A952" s="9">
        <v>8.9</v>
      </c>
      <c r="B952" s="9">
        <v>0.12</v>
      </c>
      <c r="C952" s="9">
        <v>0.45</v>
      </c>
      <c r="D952" s="9">
        <v>1.8</v>
      </c>
      <c r="E952" s="9">
        <v>7.4999999999999997E-2</v>
      </c>
      <c r="F952" s="9">
        <v>10</v>
      </c>
      <c r="G952" s="9">
        <v>21</v>
      </c>
      <c r="H952" s="9">
        <v>0.99551999999999996</v>
      </c>
      <c r="I952" s="9">
        <v>3.41</v>
      </c>
      <c r="J952" s="9">
        <v>0.76</v>
      </c>
      <c r="K952" s="9">
        <v>11.9</v>
      </c>
      <c r="L952" s="9">
        <v>7</v>
      </c>
    </row>
    <row r="953" spans="1:12" x14ac:dyDescent="0.3">
      <c r="A953" s="9">
        <v>8.3000000000000007</v>
      </c>
      <c r="B953" s="9">
        <v>0.28000000000000003</v>
      </c>
      <c r="C953" s="9">
        <v>0.48</v>
      </c>
      <c r="D953" s="9">
        <v>2.1</v>
      </c>
      <c r="E953" s="9">
        <v>9.2999999999999999E-2</v>
      </c>
      <c r="F953" s="9">
        <v>6</v>
      </c>
      <c r="G953" s="9">
        <v>12</v>
      </c>
      <c r="H953" s="9">
        <v>0.99407999999999996</v>
      </c>
      <c r="I953" s="9">
        <v>3.26</v>
      </c>
      <c r="J953" s="9">
        <v>0.62</v>
      </c>
      <c r="K953" s="9">
        <v>12.4</v>
      </c>
      <c r="L953" s="9">
        <v>7</v>
      </c>
    </row>
    <row r="954" spans="1:12" x14ac:dyDescent="0.3">
      <c r="A954" s="9">
        <v>8.1999999999999993</v>
      </c>
      <c r="B954" s="9">
        <v>0.31</v>
      </c>
      <c r="C954" s="9">
        <v>0.4</v>
      </c>
      <c r="D954" s="9">
        <v>2.2000000000000002</v>
      </c>
      <c r="E954" s="9">
        <v>5.8000000000000003E-2</v>
      </c>
      <c r="F954" s="9">
        <v>6</v>
      </c>
      <c r="G954" s="9">
        <v>10</v>
      </c>
      <c r="H954" s="9">
        <v>0.99536000000000002</v>
      </c>
      <c r="I954" s="9">
        <v>3.31</v>
      </c>
      <c r="J954" s="9">
        <v>0.68</v>
      </c>
      <c r="K954" s="9">
        <v>11.2</v>
      </c>
      <c r="L954" s="9">
        <v>7</v>
      </c>
    </row>
    <row r="955" spans="1:12" x14ac:dyDescent="0.3">
      <c r="A955" s="9">
        <v>10.199999999999999</v>
      </c>
      <c r="B955" s="9">
        <v>0.34</v>
      </c>
      <c r="C955" s="9">
        <v>0.48</v>
      </c>
      <c r="D955" s="9">
        <v>2.1</v>
      </c>
      <c r="E955" s="9">
        <v>5.1999999999999998E-2</v>
      </c>
      <c r="F955" s="9">
        <v>5</v>
      </c>
      <c r="G955" s="9">
        <v>9</v>
      </c>
      <c r="H955" s="9">
        <v>0.99458000000000002</v>
      </c>
      <c r="I955" s="9">
        <v>3.2</v>
      </c>
      <c r="J955" s="9">
        <v>0.69</v>
      </c>
      <c r="K955" s="9">
        <v>12.1</v>
      </c>
      <c r="L955" s="9">
        <v>7</v>
      </c>
    </row>
    <row r="956" spans="1:12" x14ac:dyDescent="0.3">
      <c r="A956" s="9">
        <v>7.6</v>
      </c>
      <c r="B956" s="9">
        <v>0.43</v>
      </c>
      <c r="C956" s="9">
        <v>0.4</v>
      </c>
      <c r="D956" s="9">
        <v>2.7</v>
      </c>
      <c r="E956" s="9">
        <v>8.2000000000000003E-2</v>
      </c>
      <c r="F956" s="9">
        <v>6</v>
      </c>
      <c r="G956" s="9">
        <v>11</v>
      </c>
      <c r="H956" s="9">
        <v>0.99538000000000004</v>
      </c>
      <c r="I956" s="9">
        <v>3.44</v>
      </c>
      <c r="J956" s="9">
        <v>0.54</v>
      </c>
      <c r="K956" s="9">
        <v>12.2</v>
      </c>
      <c r="L956" s="9">
        <v>6</v>
      </c>
    </row>
    <row r="957" spans="1:12" x14ac:dyDescent="0.3">
      <c r="A957" s="9">
        <v>8.5</v>
      </c>
      <c r="B957" s="9">
        <v>0.21</v>
      </c>
      <c r="C957" s="9">
        <v>0.52</v>
      </c>
      <c r="D957" s="9">
        <v>1.9</v>
      </c>
      <c r="E957" s="9">
        <v>0.09</v>
      </c>
      <c r="F957" s="9">
        <v>9</v>
      </c>
      <c r="G957" s="9">
        <v>23</v>
      </c>
      <c r="H957" s="9">
        <v>0.99648000000000003</v>
      </c>
      <c r="I957" s="9">
        <v>3.36</v>
      </c>
      <c r="J957" s="9">
        <v>0.67</v>
      </c>
      <c r="K957" s="9">
        <v>10.4</v>
      </c>
      <c r="L957" s="9">
        <v>5</v>
      </c>
    </row>
    <row r="958" spans="1:12" x14ac:dyDescent="0.3">
      <c r="A958" s="9">
        <v>9</v>
      </c>
      <c r="B958" s="9">
        <v>0.36</v>
      </c>
      <c r="C958" s="9">
        <v>0.52</v>
      </c>
      <c r="D958" s="9">
        <v>2.1</v>
      </c>
      <c r="E958" s="9">
        <v>0.111</v>
      </c>
      <c r="F958" s="9">
        <v>5</v>
      </c>
      <c r="G958" s="9">
        <v>10</v>
      </c>
      <c r="H958" s="9">
        <v>0.99568000000000001</v>
      </c>
      <c r="I958" s="9">
        <v>3.31</v>
      </c>
      <c r="J958" s="9">
        <v>0.62</v>
      </c>
      <c r="K958" s="9">
        <v>11.3</v>
      </c>
      <c r="L958" s="9">
        <v>6</v>
      </c>
    </row>
    <row r="959" spans="1:12" x14ac:dyDescent="0.3">
      <c r="A959" s="9">
        <v>9.5</v>
      </c>
      <c r="B959" s="9">
        <v>0.37</v>
      </c>
      <c r="C959" s="9">
        <v>0.52</v>
      </c>
      <c r="D959" s="9">
        <v>2</v>
      </c>
      <c r="E959" s="9">
        <v>8.7999999999999995E-2</v>
      </c>
      <c r="F959" s="9">
        <v>12</v>
      </c>
      <c r="G959" s="9">
        <v>51</v>
      </c>
      <c r="H959" s="9">
        <v>0.99612999999999996</v>
      </c>
      <c r="I959" s="9">
        <v>3.29</v>
      </c>
      <c r="J959" s="9">
        <v>0.57999999999999996</v>
      </c>
      <c r="K959" s="9">
        <v>11.1</v>
      </c>
      <c r="L959" s="9">
        <v>6</v>
      </c>
    </row>
    <row r="960" spans="1:12" x14ac:dyDescent="0.3">
      <c r="A960" s="9">
        <v>6.4</v>
      </c>
      <c r="B960" s="9">
        <v>0.56999999999999995</v>
      </c>
      <c r="C960" s="9">
        <v>0.12</v>
      </c>
      <c r="D960" s="9">
        <v>2.2999999999999998</v>
      </c>
      <c r="E960" s="9">
        <v>0.12</v>
      </c>
      <c r="F960" s="9">
        <v>25</v>
      </c>
      <c r="G960" s="9">
        <v>36</v>
      </c>
      <c r="H960" s="9">
        <v>0.99519000000000002</v>
      </c>
      <c r="I960" s="9">
        <v>3.47</v>
      </c>
      <c r="J960" s="9">
        <v>0.71</v>
      </c>
      <c r="K960" s="9">
        <v>11.3</v>
      </c>
      <c r="L960" s="9">
        <v>7</v>
      </c>
    </row>
    <row r="961" spans="1:12" x14ac:dyDescent="0.3">
      <c r="A961" s="9">
        <v>8</v>
      </c>
      <c r="B961" s="9">
        <v>0.59</v>
      </c>
      <c r="C961" s="9">
        <v>0.05</v>
      </c>
      <c r="D961" s="9">
        <v>2</v>
      </c>
      <c r="E961" s="9">
        <v>8.8999999999999996E-2</v>
      </c>
      <c r="F961" s="9">
        <v>12</v>
      </c>
      <c r="G961" s="9">
        <v>32</v>
      </c>
      <c r="H961" s="9">
        <v>0.99734999999999996</v>
      </c>
      <c r="I961" s="9">
        <v>3.36</v>
      </c>
      <c r="J961" s="9">
        <v>0.61</v>
      </c>
      <c r="K961" s="9">
        <v>10</v>
      </c>
      <c r="L961" s="9">
        <v>5</v>
      </c>
    </row>
    <row r="962" spans="1:12" x14ac:dyDescent="0.3">
      <c r="A962" s="9">
        <v>8.5</v>
      </c>
      <c r="B962" s="9">
        <v>0.47</v>
      </c>
      <c r="C962" s="9">
        <v>0.27</v>
      </c>
      <c r="D962" s="9">
        <v>1.9</v>
      </c>
      <c r="E962" s="9">
        <v>5.8000000000000003E-2</v>
      </c>
      <c r="F962" s="9">
        <v>18</v>
      </c>
      <c r="G962" s="9">
        <v>38</v>
      </c>
      <c r="H962" s="9">
        <v>0.99517999999999995</v>
      </c>
      <c r="I962" s="9">
        <v>3.16</v>
      </c>
      <c r="J962" s="9">
        <v>0.85</v>
      </c>
      <c r="K962" s="9">
        <v>11.1</v>
      </c>
      <c r="L962" s="9">
        <v>6</v>
      </c>
    </row>
    <row r="963" spans="1:12" x14ac:dyDescent="0.3">
      <c r="A963" s="9">
        <v>7.1</v>
      </c>
      <c r="B963" s="9">
        <v>0.56000000000000005</v>
      </c>
      <c r="C963" s="9">
        <v>0.14000000000000001</v>
      </c>
      <c r="D963" s="9">
        <v>1.6</v>
      </c>
      <c r="E963" s="9">
        <v>7.8E-2</v>
      </c>
      <c r="F963" s="9">
        <v>7</v>
      </c>
      <c r="G963" s="9">
        <v>18</v>
      </c>
      <c r="H963" s="9">
        <v>0.99592000000000003</v>
      </c>
      <c r="I963" s="9">
        <v>3.27</v>
      </c>
      <c r="J963" s="9">
        <v>0.62</v>
      </c>
      <c r="K963" s="9">
        <v>9.3000000000000007</v>
      </c>
      <c r="L963" s="9">
        <v>5</v>
      </c>
    </row>
    <row r="964" spans="1:12" x14ac:dyDescent="0.3">
      <c r="A964" s="9">
        <v>6.6</v>
      </c>
      <c r="B964" s="9">
        <v>0.56999999999999995</v>
      </c>
      <c r="C964" s="9">
        <v>0.02</v>
      </c>
      <c r="D964" s="9">
        <v>2.1</v>
      </c>
      <c r="E964" s="9">
        <v>0.115</v>
      </c>
      <c r="F964" s="9">
        <v>6</v>
      </c>
      <c r="G964" s="9">
        <v>16</v>
      </c>
      <c r="H964" s="9">
        <v>0.99653999999999998</v>
      </c>
      <c r="I964" s="9">
        <v>3.38</v>
      </c>
      <c r="J964" s="9">
        <v>0.69</v>
      </c>
      <c r="K964" s="9">
        <v>9.5</v>
      </c>
      <c r="L964" s="9">
        <v>5</v>
      </c>
    </row>
    <row r="965" spans="1:12" x14ac:dyDescent="0.3">
      <c r="A965" s="9">
        <v>8.8000000000000007</v>
      </c>
      <c r="B965" s="9">
        <v>0.27</v>
      </c>
      <c r="C965" s="9">
        <v>0.39</v>
      </c>
      <c r="D965" s="9">
        <v>2</v>
      </c>
      <c r="E965" s="9">
        <v>0.1</v>
      </c>
      <c r="F965" s="9">
        <v>20</v>
      </c>
      <c r="G965" s="9">
        <v>27</v>
      </c>
      <c r="H965" s="9">
        <v>0.99546000000000001</v>
      </c>
      <c r="I965" s="9">
        <v>3.15</v>
      </c>
      <c r="J965" s="9">
        <v>0.69</v>
      </c>
      <c r="K965" s="9">
        <v>11.2</v>
      </c>
      <c r="L965" s="9">
        <v>6</v>
      </c>
    </row>
    <row r="966" spans="1:12" x14ac:dyDescent="0.3">
      <c r="A966" s="9">
        <v>8.5</v>
      </c>
      <c r="B966" s="9">
        <v>0.47</v>
      </c>
      <c r="C966" s="9">
        <v>0.27</v>
      </c>
      <c r="D966" s="9">
        <v>1.9</v>
      </c>
      <c r="E966" s="9">
        <v>5.8000000000000003E-2</v>
      </c>
      <c r="F966" s="9">
        <v>18</v>
      </c>
      <c r="G966" s="9">
        <v>38</v>
      </c>
      <c r="H966" s="9">
        <v>0.99517999999999995</v>
      </c>
      <c r="I966" s="9">
        <v>3.16</v>
      </c>
      <c r="J966" s="9">
        <v>0.85</v>
      </c>
      <c r="K966" s="9">
        <v>11.1</v>
      </c>
      <c r="L966" s="9">
        <v>6</v>
      </c>
    </row>
    <row r="967" spans="1:12" x14ac:dyDescent="0.3">
      <c r="A967" s="9">
        <v>8.3000000000000007</v>
      </c>
      <c r="B967" s="9">
        <v>0.34</v>
      </c>
      <c r="C967" s="9">
        <v>0.4</v>
      </c>
      <c r="D967" s="9">
        <v>2.4</v>
      </c>
      <c r="E967" s="9">
        <v>6.5000000000000002E-2</v>
      </c>
      <c r="F967" s="9">
        <v>24</v>
      </c>
      <c r="G967" s="9">
        <v>48</v>
      </c>
      <c r="H967" s="9">
        <v>0.99553999999999998</v>
      </c>
      <c r="I967" s="9">
        <v>3.34</v>
      </c>
      <c r="J967" s="9">
        <v>0.86</v>
      </c>
      <c r="K967" s="9">
        <v>11</v>
      </c>
      <c r="L967" s="9">
        <v>6</v>
      </c>
    </row>
    <row r="968" spans="1:12" x14ac:dyDescent="0.3">
      <c r="A968" s="9">
        <v>9</v>
      </c>
      <c r="B968" s="9">
        <v>0.38</v>
      </c>
      <c r="C968" s="9">
        <v>0.41</v>
      </c>
      <c r="D968" s="9">
        <v>2.4</v>
      </c>
      <c r="E968" s="9">
        <v>0.10299999999999999</v>
      </c>
      <c r="F968" s="9">
        <v>6</v>
      </c>
      <c r="G968" s="9">
        <v>10</v>
      </c>
      <c r="H968" s="9">
        <v>0.99604000000000004</v>
      </c>
      <c r="I968" s="9">
        <v>3.13</v>
      </c>
      <c r="J968" s="9">
        <v>0.57999999999999996</v>
      </c>
      <c r="K968" s="9">
        <v>11.9</v>
      </c>
      <c r="L968" s="9">
        <v>7</v>
      </c>
    </row>
    <row r="969" spans="1:12" x14ac:dyDescent="0.3">
      <c r="A969" s="9">
        <v>8.5</v>
      </c>
      <c r="B969" s="9">
        <v>0.66</v>
      </c>
      <c r="C969" s="9">
        <v>0.2</v>
      </c>
      <c r="D969" s="9">
        <v>2.1</v>
      </c>
      <c r="E969" s="9">
        <v>9.7000000000000003E-2</v>
      </c>
      <c r="F969" s="9">
        <v>23</v>
      </c>
      <c r="G969" s="9">
        <v>113</v>
      </c>
      <c r="H969" s="9">
        <v>0.99733000000000005</v>
      </c>
      <c r="I969" s="9">
        <v>3.13</v>
      </c>
      <c r="J969" s="9">
        <v>0.48</v>
      </c>
      <c r="K969" s="9">
        <v>9.1999999999999993</v>
      </c>
      <c r="L969" s="9">
        <v>5</v>
      </c>
    </row>
    <row r="970" spans="1:12" x14ac:dyDescent="0.3">
      <c r="A970" s="9">
        <v>9</v>
      </c>
      <c r="B970" s="9">
        <v>0.4</v>
      </c>
      <c r="C970" s="9">
        <v>0.43</v>
      </c>
      <c r="D970" s="9">
        <v>2.4</v>
      </c>
      <c r="E970" s="9">
        <v>6.8000000000000005E-2</v>
      </c>
      <c r="F970" s="9">
        <v>29</v>
      </c>
      <c r="G970" s="9">
        <v>46</v>
      </c>
      <c r="H970" s="9">
        <v>0.99429999999999996</v>
      </c>
      <c r="I970" s="9">
        <v>3.2</v>
      </c>
      <c r="J970" s="9">
        <v>0.6</v>
      </c>
      <c r="K970" s="9">
        <v>12.2</v>
      </c>
      <c r="L970" s="9">
        <v>6</v>
      </c>
    </row>
    <row r="971" spans="1:12" x14ac:dyDescent="0.3">
      <c r="A971" s="9">
        <v>6.7</v>
      </c>
      <c r="B971" s="9">
        <v>0.56000000000000005</v>
      </c>
      <c r="C971" s="9">
        <v>0.09</v>
      </c>
      <c r="D971" s="9">
        <v>2.9</v>
      </c>
      <c r="E971" s="9">
        <v>7.9000000000000001E-2</v>
      </c>
      <c r="F971" s="9">
        <v>7</v>
      </c>
      <c r="G971" s="9">
        <v>22</v>
      </c>
      <c r="H971" s="9">
        <v>0.99668999999999996</v>
      </c>
      <c r="I971" s="9">
        <v>3.46</v>
      </c>
      <c r="J971" s="9">
        <v>0.61</v>
      </c>
      <c r="K971" s="9">
        <v>10.199999999999999</v>
      </c>
      <c r="L971" s="9">
        <v>5</v>
      </c>
    </row>
    <row r="972" spans="1:12" x14ac:dyDescent="0.3">
      <c r="A972" s="9">
        <v>10.4</v>
      </c>
      <c r="B972" s="9">
        <v>0.26</v>
      </c>
      <c r="C972" s="9">
        <v>0.48</v>
      </c>
      <c r="D972" s="9">
        <v>1.9</v>
      </c>
      <c r="E972" s="9">
        <v>6.6000000000000003E-2</v>
      </c>
      <c r="F972" s="9">
        <v>6</v>
      </c>
      <c r="G972" s="9">
        <v>10</v>
      </c>
      <c r="H972" s="9">
        <v>0.99724000000000002</v>
      </c>
      <c r="I972" s="9">
        <v>3.33</v>
      </c>
      <c r="J972" s="9">
        <v>0.87</v>
      </c>
      <c r="K972" s="9">
        <v>10.9</v>
      </c>
      <c r="L972" s="9">
        <v>6</v>
      </c>
    </row>
    <row r="973" spans="1:12" x14ac:dyDescent="0.3">
      <c r="A973" s="9">
        <v>10.4</v>
      </c>
      <c r="B973" s="9">
        <v>0.26</v>
      </c>
      <c r="C973" s="9">
        <v>0.48</v>
      </c>
      <c r="D973" s="9">
        <v>1.9</v>
      </c>
      <c r="E973" s="9">
        <v>6.6000000000000003E-2</v>
      </c>
      <c r="F973" s="9">
        <v>6</v>
      </c>
      <c r="G973" s="9">
        <v>10</v>
      </c>
      <c r="H973" s="9">
        <v>0.99724000000000002</v>
      </c>
      <c r="I973" s="9">
        <v>3.33</v>
      </c>
      <c r="J973" s="9">
        <v>0.87</v>
      </c>
      <c r="K973" s="9">
        <v>10.9</v>
      </c>
      <c r="L973" s="9">
        <v>6</v>
      </c>
    </row>
    <row r="974" spans="1:12" x14ac:dyDescent="0.3">
      <c r="A974" s="9">
        <v>10.1</v>
      </c>
      <c r="B974" s="9">
        <v>0.38</v>
      </c>
      <c r="C974" s="9">
        <v>0.5</v>
      </c>
      <c r="D974" s="9">
        <v>2.4</v>
      </c>
      <c r="E974" s="9">
        <v>0.104</v>
      </c>
      <c r="F974" s="9">
        <v>6</v>
      </c>
      <c r="G974" s="9">
        <v>13</v>
      </c>
      <c r="H974" s="9">
        <v>0.99643000000000004</v>
      </c>
      <c r="I974" s="9">
        <v>3.22</v>
      </c>
      <c r="J974" s="9">
        <v>0.65</v>
      </c>
      <c r="K974" s="9">
        <v>11.6</v>
      </c>
      <c r="L974" s="9">
        <v>7</v>
      </c>
    </row>
    <row r="975" spans="1:12" x14ac:dyDescent="0.3">
      <c r="A975" s="9">
        <v>8.5</v>
      </c>
      <c r="B975" s="9">
        <v>0.34</v>
      </c>
      <c r="C975" s="9">
        <v>0.44</v>
      </c>
      <c r="D975" s="9">
        <v>1.7</v>
      </c>
      <c r="E975" s="9">
        <v>7.9000000000000001E-2</v>
      </c>
      <c r="F975" s="9">
        <v>6</v>
      </c>
      <c r="G975" s="9">
        <v>12</v>
      </c>
      <c r="H975" s="9">
        <v>0.99604999999999999</v>
      </c>
      <c r="I975" s="9">
        <v>3.52</v>
      </c>
      <c r="J975" s="9">
        <v>0.63</v>
      </c>
      <c r="K975" s="9">
        <v>10.7</v>
      </c>
      <c r="L975" s="9">
        <v>5</v>
      </c>
    </row>
    <row r="976" spans="1:12" x14ac:dyDescent="0.3">
      <c r="A976" s="9">
        <v>8.8000000000000007</v>
      </c>
      <c r="B976" s="9">
        <v>0.33</v>
      </c>
      <c r="C976" s="9">
        <v>0.41</v>
      </c>
      <c r="D976" s="9">
        <v>5.9</v>
      </c>
      <c r="E976" s="9">
        <v>7.2999999999999995E-2</v>
      </c>
      <c r="F976" s="9">
        <v>7</v>
      </c>
      <c r="G976" s="9">
        <v>13</v>
      </c>
      <c r="H976" s="9">
        <v>0.99658000000000002</v>
      </c>
      <c r="I976" s="9">
        <v>3.3</v>
      </c>
      <c r="J976" s="9">
        <v>0.62</v>
      </c>
      <c r="K976" s="9">
        <v>12.1</v>
      </c>
      <c r="L976" s="9">
        <v>7</v>
      </c>
    </row>
    <row r="977" spans="1:12" x14ac:dyDescent="0.3">
      <c r="A977" s="9">
        <v>7.2</v>
      </c>
      <c r="B977" s="9">
        <v>0.41</v>
      </c>
      <c r="C977" s="9">
        <v>0.3</v>
      </c>
      <c r="D977" s="9">
        <v>2.1</v>
      </c>
      <c r="E977" s="9">
        <v>8.3000000000000004E-2</v>
      </c>
      <c r="F977" s="9">
        <v>35</v>
      </c>
      <c r="G977" s="9">
        <v>72</v>
      </c>
      <c r="H977" s="9">
        <v>0.997</v>
      </c>
      <c r="I977" s="9">
        <v>3.44</v>
      </c>
      <c r="J977" s="9">
        <v>0.52</v>
      </c>
      <c r="K977" s="9">
        <v>9.4</v>
      </c>
      <c r="L977" s="9">
        <v>5</v>
      </c>
    </row>
    <row r="978" spans="1:12" x14ac:dyDescent="0.3">
      <c r="A978" s="9">
        <v>7.2</v>
      </c>
      <c r="B978" s="9">
        <v>0.41</v>
      </c>
      <c r="C978" s="9">
        <v>0.3</v>
      </c>
      <c r="D978" s="9">
        <v>2.1</v>
      </c>
      <c r="E978" s="9">
        <v>8.3000000000000004E-2</v>
      </c>
      <c r="F978" s="9">
        <v>35</v>
      </c>
      <c r="G978" s="9">
        <v>72</v>
      </c>
      <c r="H978" s="9">
        <v>0.997</v>
      </c>
      <c r="I978" s="9">
        <v>3.44</v>
      </c>
      <c r="J978" s="9">
        <v>0.52</v>
      </c>
      <c r="K978" s="9">
        <v>9.4</v>
      </c>
      <c r="L978" s="9">
        <v>5</v>
      </c>
    </row>
    <row r="979" spans="1:12" x14ac:dyDescent="0.3">
      <c r="A979" s="9">
        <v>8.4</v>
      </c>
      <c r="B979" s="9">
        <v>0.59</v>
      </c>
      <c r="C979" s="9">
        <v>0.28999999999999998</v>
      </c>
      <c r="D979" s="9">
        <v>2.6</v>
      </c>
      <c r="E979" s="9">
        <v>0.109</v>
      </c>
      <c r="F979" s="9">
        <v>31</v>
      </c>
      <c r="G979" s="9">
        <v>119</v>
      </c>
      <c r="H979" s="9">
        <v>0.99800999999999995</v>
      </c>
      <c r="I979" s="9">
        <v>3.15</v>
      </c>
      <c r="J979" s="9">
        <v>0.5</v>
      </c>
      <c r="K979" s="9">
        <v>9.1</v>
      </c>
      <c r="L979" s="9">
        <v>5</v>
      </c>
    </row>
    <row r="980" spans="1:12" x14ac:dyDescent="0.3">
      <c r="A980" s="9">
        <v>7</v>
      </c>
      <c r="B980" s="9">
        <v>0.4</v>
      </c>
      <c r="C980" s="9">
        <v>0.32</v>
      </c>
      <c r="D980" s="9">
        <v>3.6</v>
      </c>
      <c r="E980" s="9">
        <v>6.0999999999999999E-2</v>
      </c>
      <c r="F980" s="9">
        <v>9</v>
      </c>
      <c r="G980" s="9">
        <v>29</v>
      </c>
      <c r="H980" s="9">
        <v>0.99416000000000004</v>
      </c>
      <c r="I980" s="9">
        <v>3.28</v>
      </c>
      <c r="J980" s="9">
        <v>0.49</v>
      </c>
      <c r="K980" s="9">
        <v>11.3</v>
      </c>
      <c r="L980" s="9">
        <v>7</v>
      </c>
    </row>
    <row r="981" spans="1:12" x14ac:dyDescent="0.3">
      <c r="A981" s="9">
        <v>12.2</v>
      </c>
      <c r="B981" s="9">
        <v>0.45</v>
      </c>
      <c r="C981" s="9">
        <v>0.49</v>
      </c>
      <c r="D981" s="9">
        <v>1.4</v>
      </c>
      <c r="E981" s="9">
        <v>7.4999999999999997E-2</v>
      </c>
      <c r="F981" s="9">
        <v>3</v>
      </c>
      <c r="G981" s="9">
        <v>6</v>
      </c>
      <c r="H981" s="9">
        <v>0.99690000000000001</v>
      </c>
      <c r="I981" s="9">
        <v>3.13</v>
      </c>
      <c r="J981" s="9">
        <v>0.63</v>
      </c>
      <c r="K981" s="9">
        <v>10.4</v>
      </c>
      <c r="L981" s="9">
        <v>5</v>
      </c>
    </row>
    <row r="982" spans="1:12" x14ac:dyDescent="0.3">
      <c r="A982" s="9">
        <v>9.1</v>
      </c>
      <c r="B982" s="9">
        <v>0.5</v>
      </c>
      <c r="C982" s="9">
        <v>0.3</v>
      </c>
      <c r="D982" s="9">
        <v>1.9</v>
      </c>
      <c r="E982" s="9">
        <v>6.5000000000000002E-2</v>
      </c>
      <c r="F982" s="9">
        <v>8</v>
      </c>
      <c r="G982" s="9">
        <v>17</v>
      </c>
      <c r="H982" s="9">
        <v>0.99773999999999996</v>
      </c>
      <c r="I982" s="9">
        <v>3.32</v>
      </c>
      <c r="J982" s="9">
        <v>0.71</v>
      </c>
      <c r="K982" s="9">
        <v>10.5</v>
      </c>
      <c r="L982" s="9">
        <v>6</v>
      </c>
    </row>
    <row r="983" spans="1:12" x14ac:dyDescent="0.3">
      <c r="A983" s="9">
        <v>9.5</v>
      </c>
      <c r="B983" s="9">
        <v>0.86</v>
      </c>
      <c r="C983" s="9">
        <v>0.26</v>
      </c>
      <c r="D983" s="9">
        <v>1.9</v>
      </c>
      <c r="E983" s="9">
        <v>7.9000000000000001E-2</v>
      </c>
      <c r="F983" s="9">
        <v>13</v>
      </c>
      <c r="G983" s="9">
        <v>28</v>
      </c>
      <c r="H983" s="9">
        <v>0.99712000000000001</v>
      </c>
      <c r="I983" s="9">
        <v>3.25</v>
      </c>
      <c r="J983" s="9">
        <v>0.62</v>
      </c>
      <c r="K983" s="9">
        <v>10</v>
      </c>
      <c r="L983" s="9">
        <v>5</v>
      </c>
    </row>
    <row r="984" spans="1:12" x14ac:dyDescent="0.3">
      <c r="A984" s="9">
        <v>7.3</v>
      </c>
      <c r="B984" s="9">
        <v>0.52</v>
      </c>
      <c r="C984" s="9">
        <v>0.32</v>
      </c>
      <c r="D984" s="9">
        <v>2.1</v>
      </c>
      <c r="E984" s="9">
        <v>7.0000000000000007E-2</v>
      </c>
      <c r="F984" s="9">
        <v>51</v>
      </c>
      <c r="G984" s="9">
        <v>70</v>
      </c>
      <c r="H984" s="9">
        <v>0.99417999999999995</v>
      </c>
      <c r="I984" s="9">
        <v>3.34</v>
      </c>
      <c r="J984" s="9">
        <v>0.82</v>
      </c>
      <c r="K984" s="9">
        <v>12.9</v>
      </c>
      <c r="L984" s="9">
        <v>6</v>
      </c>
    </row>
    <row r="985" spans="1:12" x14ac:dyDescent="0.3">
      <c r="A985" s="9">
        <v>9.1</v>
      </c>
      <c r="B985" s="9">
        <v>0.5</v>
      </c>
      <c r="C985" s="9">
        <v>0.3</v>
      </c>
      <c r="D985" s="9">
        <v>1.9</v>
      </c>
      <c r="E985" s="9">
        <v>6.5000000000000002E-2</v>
      </c>
      <c r="F985" s="9">
        <v>8</v>
      </c>
      <c r="G985" s="9">
        <v>17</v>
      </c>
      <c r="H985" s="9">
        <v>0.99773999999999996</v>
      </c>
      <c r="I985" s="9">
        <v>3.32</v>
      </c>
      <c r="J985" s="9">
        <v>0.71</v>
      </c>
      <c r="K985" s="9">
        <v>10.5</v>
      </c>
      <c r="L985" s="9">
        <v>6</v>
      </c>
    </row>
    <row r="986" spans="1:12" x14ac:dyDescent="0.3">
      <c r="A986" s="9">
        <v>12.2</v>
      </c>
      <c r="B986" s="9">
        <v>0.45</v>
      </c>
      <c r="C986" s="9">
        <v>0.49</v>
      </c>
      <c r="D986" s="9">
        <v>1.4</v>
      </c>
      <c r="E986" s="9">
        <v>7.4999999999999997E-2</v>
      </c>
      <c r="F986" s="9">
        <v>3</v>
      </c>
      <c r="G986" s="9">
        <v>6</v>
      </c>
      <c r="H986" s="9">
        <v>0.99690000000000001</v>
      </c>
      <c r="I986" s="9">
        <v>3.13</v>
      </c>
      <c r="J986" s="9">
        <v>0.63</v>
      </c>
      <c r="K986" s="9">
        <v>10.4</v>
      </c>
      <c r="L986" s="9">
        <v>5</v>
      </c>
    </row>
    <row r="987" spans="1:12" x14ac:dyDescent="0.3">
      <c r="A987" s="9">
        <v>7.4</v>
      </c>
      <c r="B987" s="9">
        <v>0.57999999999999996</v>
      </c>
      <c r="C987" s="9">
        <v>0</v>
      </c>
      <c r="D987" s="9">
        <v>2</v>
      </c>
      <c r="E987" s="9">
        <v>6.4000000000000001E-2</v>
      </c>
      <c r="F987" s="9">
        <v>7</v>
      </c>
      <c r="G987" s="9">
        <v>11</v>
      </c>
      <c r="H987" s="9">
        <v>0.99561999999999995</v>
      </c>
      <c r="I987" s="9">
        <v>3.45</v>
      </c>
      <c r="J987" s="9">
        <v>0.57999999999999996</v>
      </c>
      <c r="K987" s="9">
        <v>11.3</v>
      </c>
      <c r="L987" s="9">
        <v>6</v>
      </c>
    </row>
    <row r="988" spans="1:12" x14ac:dyDescent="0.3">
      <c r="A988" s="9">
        <v>9.8000000000000007</v>
      </c>
      <c r="B988" s="9">
        <v>0.34</v>
      </c>
      <c r="C988" s="9">
        <v>0.39</v>
      </c>
      <c r="D988" s="9">
        <v>1.4</v>
      </c>
      <c r="E988" s="9">
        <v>6.6000000000000003E-2</v>
      </c>
      <c r="F988" s="9">
        <v>3</v>
      </c>
      <c r="G988" s="9">
        <v>7</v>
      </c>
      <c r="H988" s="9">
        <v>0.99470000000000003</v>
      </c>
      <c r="I988" s="9">
        <v>3.19</v>
      </c>
      <c r="J988" s="9">
        <v>0.55000000000000004</v>
      </c>
      <c r="K988" s="9">
        <v>11.4</v>
      </c>
      <c r="L988" s="9">
        <v>7</v>
      </c>
    </row>
    <row r="989" spans="1:12" x14ac:dyDescent="0.3">
      <c r="A989" s="9">
        <v>7.1</v>
      </c>
      <c r="B989" s="9">
        <v>0.36</v>
      </c>
      <c r="C989" s="9">
        <v>0.3</v>
      </c>
      <c r="D989" s="9">
        <v>1.6</v>
      </c>
      <c r="E989" s="9">
        <v>0.08</v>
      </c>
      <c r="F989" s="9">
        <v>35</v>
      </c>
      <c r="G989" s="9">
        <v>70</v>
      </c>
      <c r="H989" s="9">
        <v>0.99692999999999998</v>
      </c>
      <c r="I989" s="9">
        <v>3.44</v>
      </c>
      <c r="J989" s="9">
        <v>0.5</v>
      </c>
      <c r="K989" s="9">
        <v>9.4</v>
      </c>
      <c r="L989" s="9">
        <v>5</v>
      </c>
    </row>
    <row r="990" spans="1:12" x14ac:dyDescent="0.3">
      <c r="A990" s="9">
        <v>7.7</v>
      </c>
      <c r="B990" s="9">
        <v>0.39</v>
      </c>
      <c r="C990" s="9">
        <v>0.12</v>
      </c>
      <c r="D990" s="9">
        <v>1.7</v>
      </c>
      <c r="E990" s="9">
        <v>9.7000000000000003E-2</v>
      </c>
      <c r="F990" s="9">
        <v>19</v>
      </c>
      <c r="G990" s="9">
        <v>27</v>
      </c>
      <c r="H990" s="9">
        <v>0.99595999999999996</v>
      </c>
      <c r="I990" s="9">
        <v>3.16</v>
      </c>
      <c r="J990" s="9">
        <v>0.49</v>
      </c>
      <c r="K990" s="9">
        <v>9.4</v>
      </c>
      <c r="L990" s="9">
        <v>5</v>
      </c>
    </row>
    <row r="991" spans="1:12" x14ac:dyDescent="0.3">
      <c r="A991" s="9">
        <v>9.6999999999999993</v>
      </c>
      <c r="B991" s="9">
        <v>0.29499999999999998</v>
      </c>
      <c r="C991" s="9">
        <v>0.4</v>
      </c>
      <c r="D991" s="9">
        <v>1.5</v>
      </c>
      <c r="E991" s="9">
        <v>7.2999999999999995E-2</v>
      </c>
      <c r="F991" s="9">
        <v>14</v>
      </c>
      <c r="G991" s="9">
        <v>21</v>
      </c>
      <c r="H991" s="9">
        <v>0.99556</v>
      </c>
      <c r="I991" s="9">
        <v>3.14</v>
      </c>
      <c r="J991" s="9">
        <v>0.51</v>
      </c>
      <c r="K991" s="9">
        <v>10.9</v>
      </c>
      <c r="L991" s="9">
        <v>6</v>
      </c>
    </row>
    <row r="992" spans="1:12" x14ac:dyDescent="0.3">
      <c r="A992" s="9">
        <v>7.7</v>
      </c>
      <c r="B992" s="9">
        <v>0.39</v>
      </c>
      <c r="C992" s="9">
        <v>0.12</v>
      </c>
      <c r="D992" s="9">
        <v>1.7</v>
      </c>
      <c r="E992" s="9">
        <v>9.7000000000000003E-2</v>
      </c>
      <c r="F992" s="9">
        <v>19</v>
      </c>
      <c r="G992" s="9">
        <v>27</v>
      </c>
      <c r="H992" s="9">
        <v>0.99595999999999996</v>
      </c>
      <c r="I992" s="9">
        <v>3.16</v>
      </c>
      <c r="J992" s="9">
        <v>0.49</v>
      </c>
      <c r="K992" s="9">
        <v>9.4</v>
      </c>
      <c r="L992" s="9">
        <v>5</v>
      </c>
    </row>
    <row r="993" spans="1:12" x14ac:dyDescent="0.3">
      <c r="A993" s="9">
        <v>7.1</v>
      </c>
      <c r="B993" s="9">
        <v>0.34</v>
      </c>
      <c r="C993" s="9">
        <v>0.28000000000000003</v>
      </c>
      <c r="D993" s="9">
        <v>2</v>
      </c>
      <c r="E993" s="9">
        <v>8.2000000000000003E-2</v>
      </c>
      <c r="F993" s="9">
        <v>31</v>
      </c>
      <c r="G993" s="9">
        <v>68</v>
      </c>
      <c r="H993" s="9">
        <v>0.99694000000000005</v>
      </c>
      <c r="I993" s="9">
        <v>3.45</v>
      </c>
      <c r="J993" s="9">
        <v>0.48</v>
      </c>
      <c r="K993" s="9">
        <v>9.4</v>
      </c>
      <c r="L993" s="9">
        <v>5</v>
      </c>
    </row>
    <row r="994" spans="1:12" x14ac:dyDescent="0.3">
      <c r="A994" s="9">
        <v>6.5</v>
      </c>
      <c r="B994" s="9">
        <v>0.4</v>
      </c>
      <c r="C994" s="9">
        <v>0.1</v>
      </c>
      <c r="D994" s="9">
        <v>2</v>
      </c>
      <c r="E994" s="9">
        <v>7.5999999999999998E-2</v>
      </c>
      <c r="F994" s="9">
        <v>30</v>
      </c>
      <c r="G994" s="9">
        <v>47</v>
      </c>
      <c r="H994" s="9">
        <v>0.99553999999999998</v>
      </c>
      <c r="I994" s="9">
        <v>3.36</v>
      </c>
      <c r="J994" s="9">
        <v>0.48</v>
      </c>
      <c r="K994" s="9">
        <v>9.4</v>
      </c>
      <c r="L994" s="9">
        <v>6</v>
      </c>
    </row>
    <row r="995" spans="1:12" x14ac:dyDescent="0.3">
      <c r="A995" s="9">
        <v>7.1</v>
      </c>
      <c r="B995" s="9">
        <v>0.34</v>
      </c>
      <c r="C995" s="9">
        <v>0.28000000000000003</v>
      </c>
      <c r="D995" s="9">
        <v>2</v>
      </c>
      <c r="E995" s="9">
        <v>8.2000000000000003E-2</v>
      </c>
      <c r="F995" s="9">
        <v>31</v>
      </c>
      <c r="G995" s="9">
        <v>68</v>
      </c>
      <c r="H995" s="9">
        <v>0.99694000000000005</v>
      </c>
      <c r="I995" s="9">
        <v>3.45</v>
      </c>
      <c r="J995" s="9">
        <v>0.48</v>
      </c>
      <c r="K995" s="9">
        <v>9.4</v>
      </c>
      <c r="L995" s="9">
        <v>5</v>
      </c>
    </row>
    <row r="996" spans="1:12" x14ac:dyDescent="0.3">
      <c r="A996" s="9">
        <v>10</v>
      </c>
      <c r="B996" s="9">
        <v>0.35</v>
      </c>
      <c r="C996" s="9">
        <v>0.45</v>
      </c>
      <c r="D996" s="9">
        <v>2.5</v>
      </c>
      <c r="E996" s="9">
        <v>9.1999999999999998E-2</v>
      </c>
      <c r="F996" s="9">
        <v>20</v>
      </c>
      <c r="G996" s="9">
        <v>88</v>
      </c>
      <c r="H996" s="9">
        <v>0.99917999999999996</v>
      </c>
      <c r="I996" s="9">
        <v>3.15</v>
      </c>
      <c r="J996" s="9">
        <v>0.43</v>
      </c>
      <c r="K996" s="9">
        <v>9.4</v>
      </c>
      <c r="L996" s="9">
        <v>5</v>
      </c>
    </row>
    <row r="997" spans="1:12" x14ac:dyDescent="0.3">
      <c r="A997" s="9">
        <v>7.7</v>
      </c>
      <c r="B997" s="9">
        <v>0.6</v>
      </c>
      <c r="C997" s="9">
        <v>0.06</v>
      </c>
      <c r="D997" s="9">
        <v>2</v>
      </c>
      <c r="E997" s="9">
        <v>7.9000000000000001E-2</v>
      </c>
      <c r="F997" s="9">
        <v>19</v>
      </c>
      <c r="G997" s="9">
        <v>41</v>
      </c>
      <c r="H997" s="9">
        <v>0.99697000000000002</v>
      </c>
      <c r="I997" s="9">
        <v>3.39</v>
      </c>
      <c r="J997" s="9">
        <v>0.62</v>
      </c>
      <c r="K997" s="9">
        <v>10.1</v>
      </c>
      <c r="L997" s="9">
        <v>6</v>
      </c>
    </row>
    <row r="998" spans="1:12" x14ac:dyDescent="0.3">
      <c r="A998" s="9">
        <v>5.6</v>
      </c>
      <c r="B998" s="9">
        <v>0.66</v>
      </c>
      <c r="C998" s="9">
        <v>0</v>
      </c>
      <c r="D998" s="9">
        <v>2.2000000000000002</v>
      </c>
      <c r="E998" s="9">
        <v>8.6999999999999994E-2</v>
      </c>
      <c r="F998" s="9">
        <v>3</v>
      </c>
      <c r="G998" s="9">
        <v>11</v>
      </c>
      <c r="H998" s="9">
        <v>0.99378</v>
      </c>
      <c r="I998" s="9">
        <v>3.71</v>
      </c>
      <c r="J998" s="9">
        <v>0.63</v>
      </c>
      <c r="K998" s="9">
        <v>12.8</v>
      </c>
      <c r="L998" s="9">
        <v>7</v>
      </c>
    </row>
    <row r="999" spans="1:12" x14ac:dyDescent="0.3">
      <c r="A999" s="9">
        <v>5.6</v>
      </c>
      <c r="B999" s="9">
        <v>0.66</v>
      </c>
      <c r="C999" s="9">
        <v>0</v>
      </c>
      <c r="D999" s="9">
        <v>2.2000000000000002</v>
      </c>
      <c r="E999" s="9">
        <v>8.6999999999999994E-2</v>
      </c>
      <c r="F999" s="9">
        <v>3</v>
      </c>
      <c r="G999" s="9">
        <v>11</v>
      </c>
      <c r="H999" s="9">
        <v>0.99378</v>
      </c>
      <c r="I999" s="9">
        <v>3.71</v>
      </c>
      <c r="J999" s="9">
        <v>0.63</v>
      </c>
      <c r="K999" s="9">
        <v>12.8</v>
      </c>
      <c r="L999" s="9">
        <v>7</v>
      </c>
    </row>
    <row r="1000" spans="1:12" x14ac:dyDescent="0.3">
      <c r="A1000" s="9">
        <v>8.9</v>
      </c>
      <c r="B1000" s="9">
        <v>0.84</v>
      </c>
      <c r="C1000" s="9">
        <v>0.34</v>
      </c>
      <c r="D1000" s="9">
        <v>1.4</v>
      </c>
      <c r="E1000" s="9">
        <v>0.05</v>
      </c>
      <c r="F1000" s="9">
        <v>4</v>
      </c>
      <c r="G1000" s="9">
        <v>10</v>
      </c>
      <c r="H1000" s="9">
        <v>0.99553999999999998</v>
      </c>
      <c r="I1000" s="9">
        <v>3.12</v>
      </c>
      <c r="J1000" s="9">
        <v>0.48</v>
      </c>
      <c r="K1000" s="9">
        <v>9.1</v>
      </c>
      <c r="L1000" s="9">
        <v>6</v>
      </c>
    </row>
    <row r="1001" spans="1:12" x14ac:dyDescent="0.3">
      <c r="A1001" s="9">
        <v>6.4</v>
      </c>
      <c r="B1001" s="9">
        <v>0.69</v>
      </c>
      <c r="C1001" s="9">
        <v>0</v>
      </c>
      <c r="D1001" s="9">
        <v>1.65</v>
      </c>
      <c r="E1001" s="9">
        <v>5.5E-2</v>
      </c>
      <c r="F1001" s="9">
        <v>7</v>
      </c>
      <c r="G1001" s="9">
        <v>12</v>
      </c>
      <c r="H1001" s="9">
        <v>0.99161999999999995</v>
      </c>
      <c r="I1001" s="9">
        <v>3.47</v>
      </c>
      <c r="J1001" s="9">
        <v>0.53</v>
      </c>
      <c r="K1001" s="9">
        <v>12.9</v>
      </c>
      <c r="L1001" s="9">
        <v>6</v>
      </c>
    </row>
    <row r="1002" spans="1:12" x14ac:dyDescent="0.3">
      <c r="A1002" s="9">
        <v>7.5</v>
      </c>
      <c r="B1002" s="9">
        <v>0.43</v>
      </c>
      <c r="C1002" s="9">
        <v>0.3</v>
      </c>
      <c r="D1002" s="9">
        <v>2.2000000000000002</v>
      </c>
      <c r="E1002" s="9">
        <v>6.2E-2</v>
      </c>
      <c r="F1002" s="9">
        <v>6</v>
      </c>
      <c r="G1002" s="9">
        <v>12</v>
      </c>
      <c r="H1002" s="9">
        <v>0.99495</v>
      </c>
      <c r="I1002" s="9">
        <v>3.44</v>
      </c>
      <c r="J1002" s="9">
        <v>0.72</v>
      </c>
      <c r="K1002" s="9">
        <v>11.5</v>
      </c>
      <c r="L1002" s="9">
        <v>7</v>
      </c>
    </row>
    <row r="1003" spans="1:12" x14ac:dyDescent="0.3">
      <c r="A1003" s="9">
        <v>9.9</v>
      </c>
      <c r="B1003" s="9">
        <v>0.35</v>
      </c>
      <c r="C1003" s="9">
        <v>0.38</v>
      </c>
      <c r="D1003" s="9">
        <v>1.5</v>
      </c>
      <c r="E1003" s="9">
        <v>5.8000000000000003E-2</v>
      </c>
      <c r="F1003" s="9">
        <v>31</v>
      </c>
      <c r="G1003" s="9">
        <v>47</v>
      </c>
      <c r="H1003" s="9">
        <v>0.99675999999999998</v>
      </c>
      <c r="I1003" s="9">
        <v>3.26</v>
      </c>
      <c r="J1003" s="9">
        <v>0.82</v>
      </c>
      <c r="K1003" s="9">
        <v>10.6</v>
      </c>
      <c r="L1003" s="9">
        <v>7</v>
      </c>
    </row>
    <row r="1004" spans="1:12" x14ac:dyDescent="0.3">
      <c r="A1004" s="9">
        <v>9.1</v>
      </c>
      <c r="B1004" s="9">
        <v>0.28999999999999998</v>
      </c>
      <c r="C1004" s="9">
        <v>0.33</v>
      </c>
      <c r="D1004" s="9">
        <v>2.0499999999999998</v>
      </c>
      <c r="E1004" s="9">
        <v>6.3E-2</v>
      </c>
      <c r="F1004" s="9">
        <v>13</v>
      </c>
      <c r="G1004" s="9">
        <v>27</v>
      </c>
      <c r="H1004" s="9">
        <v>0.99516000000000004</v>
      </c>
      <c r="I1004" s="9">
        <v>3.26</v>
      </c>
      <c r="J1004" s="9">
        <v>0.84</v>
      </c>
      <c r="K1004" s="9">
        <v>11.7</v>
      </c>
      <c r="L1004" s="9">
        <v>7</v>
      </c>
    </row>
    <row r="1005" spans="1:12" x14ac:dyDescent="0.3">
      <c r="A1005" s="9">
        <v>6.8</v>
      </c>
      <c r="B1005" s="9">
        <v>0.36</v>
      </c>
      <c r="C1005" s="9">
        <v>0.32</v>
      </c>
      <c r="D1005" s="9">
        <v>1.8</v>
      </c>
      <c r="E1005" s="9">
        <v>6.7000000000000004E-2</v>
      </c>
      <c r="F1005" s="9">
        <v>4</v>
      </c>
      <c r="G1005" s="9">
        <v>8</v>
      </c>
      <c r="H1005" s="9">
        <v>0.99280000000000002</v>
      </c>
      <c r="I1005" s="9">
        <v>3.36</v>
      </c>
      <c r="J1005" s="9">
        <v>0.55000000000000004</v>
      </c>
      <c r="K1005" s="9">
        <v>12.8</v>
      </c>
      <c r="L1005" s="9">
        <v>7</v>
      </c>
    </row>
    <row r="1006" spans="1:12" x14ac:dyDescent="0.3">
      <c r="A1006" s="9">
        <v>8.1999999999999993</v>
      </c>
      <c r="B1006" s="9">
        <v>0.43</v>
      </c>
      <c r="C1006" s="9">
        <v>0.28999999999999998</v>
      </c>
      <c r="D1006" s="9">
        <v>1.6</v>
      </c>
      <c r="E1006" s="9">
        <v>8.1000000000000003E-2</v>
      </c>
      <c r="F1006" s="9">
        <v>27</v>
      </c>
      <c r="G1006" s="9">
        <v>45</v>
      </c>
      <c r="H1006" s="9">
        <v>0.99602999999999997</v>
      </c>
      <c r="I1006" s="9">
        <v>3.25</v>
      </c>
      <c r="J1006" s="9">
        <v>0.54</v>
      </c>
      <c r="K1006" s="9">
        <v>10.3</v>
      </c>
      <c r="L1006" s="9">
        <v>5</v>
      </c>
    </row>
    <row r="1007" spans="1:12" x14ac:dyDescent="0.3">
      <c r="A1007" s="9">
        <v>6.8</v>
      </c>
      <c r="B1007" s="9">
        <v>0.36</v>
      </c>
      <c r="C1007" s="9">
        <v>0.32</v>
      </c>
      <c r="D1007" s="9">
        <v>1.8</v>
      </c>
      <c r="E1007" s="9">
        <v>6.7000000000000004E-2</v>
      </c>
      <c r="F1007" s="9">
        <v>4</v>
      </c>
      <c r="G1007" s="9">
        <v>8</v>
      </c>
      <c r="H1007" s="9">
        <v>0.99280000000000002</v>
      </c>
      <c r="I1007" s="9">
        <v>3.36</v>
      </c>
      <c r="J1007" s="9">
        <v>0.55000000000000004</v>
      </c>
      <c r="K1007" s="9">
        <v>12.8</v>
      </c>
      <c r="L1007" s="9">
        <v>7</v>
      </c>
    </row>
    <row r="1008" spans="1:12" x14ac:dyDescent="0.3">
      <c r="A1008" s="9">
        <v>9.1</v>
      </c>
      <c r="B1008" s="9">
        <v>0.28999999999999998</v>
      </c>
      <c r="C1008" s="9">
        <v>0.33</v>
      </c>
      <c r="D1008" s="9">
        <v>2.0499999999999998</v>
      </c>
      <c r="E1008" s="9">
        <v>6.3E-2</v>
      </c>
      <c r="F1008" s="9">
        <v>13</v>
      </c>
      <c r="G1008" s="9">
        <v>27</v>
      </c>
      <c r="H1008" s="9">
        <v>0.99516000000000004</v>
      </c>
      <c r="I1008" s="9">
        <v>3.26</v>
      </c>
      <c r="J1008" s="9">
        <v>0.84</v>
      </c>
      <c r="K1008" s="9">
        <v>11.7</v>
      </c>
      <c r="L1008" s="9">
        <v>7</v>
      </c>
    </row>
    <row r="1009" spans="1:12" x14ac:dyDescent="0.3">
      <c r="A1009" s="9">
        <v>9.1</v>
      </c>
      <c r="B1009" s="9">
        <v>0.3</v>
      </c>
      <c r="C1009" s="9">
        <v>0.34</v>
      </c>
      <c r="D1009" s="9">
        <v>2</v>
      </c>
      <c r="E1009" s="9">
        <v>6.4000000000000001E-2</v>
      </c>
      <c r="F1009" s="9">
        <v>12</v>
      </c>
      <c r="G1009" s="9">
        <v>25</v>
      </c>
      <c r="H1009" s="9">
        <v>0.99516000000000004</v>
      </c>
      <c r="I1009" s="9">
        <v>3.26</v>
      </c>
      <c r="J1009" s="9">
        <v>0.84</v>
      </c>
      <c r="K1009" s="9">
        <v>11.7</v>
      </c>
      <c r="L1009" s="9">
        <v>7</v>
      </c>
    </row>
    <row r="1010" spans="1:12" x14ac:dyDescent="0.3">
      <c r="A1010" s="9">
        <v>8.9</v>
      </c>
      <c r="B1010" s="9">
        <v>0.35</v>
      </c>
      <c r="C1010" s="9">
        <v>0.4</v>
      </c>
      <c r="D1010" s="9">
        <v>3.6</v>
      </c>
      <c r="E1010" s="9">
        <v>0.11</v>
      </c>
      <c r="F1010" s="9">
        <v>12</v>
      </c>
      <c r="G1010" s="9">
        <v>24</v>
      </c>
      <c r="H1010" s="9">
        <v>0.99548999999999999</v>
      </c>
      <c r="I1010" s="9">
        <v>3.23</v>
      </c>
      <c r="J1010" s="9">
        <v>0.7</v>
      </c>
      <c r="K1010" s="9">
        <v>12</v>
      </c>
      <c r="L1010" s="9">
        <v>7</v>
      </c>
    </row>
    <row r="1011" spans="1:12" x14ac:dyDescent="0.3">
      <c r="A1011" s="9">
        <v>9.6</v>
      </c>
      <c r="B1011" s="9">
        <v>0.5</v>
      </c>
      <c r="C1011" s="9">
        <v>0.36</v>
      </c>
      <c r="D1011" s="9">
        <v>2.8</v>
      </c>
      <c r="E1011" s="9">
        <v>0.11600000000000001</v>
      </c>
      <c r="F1011" s="9">
        <v>26</v>
      </c>
      <c r="G1011" s="9">
        <v>55</v>
      </c>
      <c r="H1011" s="9">
        <v>0.99722</v>
      </c>
      <c r="I1011" s="9">
        <v>3.18</v>
      </c>
      <c r="J1011" s="9">
        <v>0.68</v>
      </c>
      <c r="K1011" s="9">
        <v>10.9</v>
      </c>
      <c r="L1011" s="9">
        <v>5</v>
      </c>
    </row>
    <row r="1012" spans="1:12" x14ac:dyDescent="0.3">
      <c r="A1012" s="9">
        <v>8.9</v>
      </c>
      <c r="B1012" s="9">
        <v>0.28000000000000003</v>
      </c>
      <c r="C1012" s="9">
        <v>0.45</v>
      </c>
      <c r="D1012" s="9">
        <v>1.7</v>
      </c>
      <c r="E1012" s="9">
        <v>6.7000000000000004E-2</v>
      </c>
      <c r="F1012" s="9">
        <v>7</v>
      </c>
      <c r="G1012" s="9">
        <v>12</v>
      </c>
      <c r="H1012" s="9">
        <v>0.99353999999999998</v>
      </c>
      <c r="I1012" s="9">
        <v>3.25</v>
      </c>
      <c r="J1012" s="9">
        <v>0.55000000000000004</v>
      </c>
      <c r="K1012" s="9">
        <v>12.3</v>
      </c>
      <c r="L1012" s="9">
        <v>7</v>
      </c>
    </row>
    <row r="1013" spans="1:12" x14ac:dyDescent="0.3">
      <c r="A1013" s="9">
        <v>8.9</v>
      </c>
      <c r="B1013" s="9">
        <v>0.32</v>
      </c>
      <c r="C1013" s="9">
        <v>0.31</v>
      </c>
      <c r="D1013" s="9">
        <v>2</v>
      </c>
      <c r="E1013" s="9">
        <v>8.7999999999999995E-2</v>
      </c>
      <c r="F1013" s="9">
        <v>12</v>
      </c>
      <c r="G1013" s="9">
        <v>19</v>
      </c>
      <c r="H1013" s="9">
        <v>0.99570000000000003</v>
      </c>
      <c r="I1013" s="9">
        <v>3.17</v>
      </c>
      <c r="J1013" s="9">
        <v>0.55000000000000004</v>
      </c>
      <c r="K1013" s="9">
        <v>10.4</v>
      </c>
      <c r="L1013" s="9">
        <v>6</v>
      </c>
    </row>
    <row r="1014" spans="1:12" x14ac:dyDescent="0.3">
      <c r="A1014" s="9">
        <v>7.7</v>
      </c>
      <c r="B1014" s="9">
        <v>1.0049999999999999</v>
      </c>
      <c r="C1014" s="9">
        <v>0.15</v>
      </c>
      <c r="D1014" s="9">
        <v>2.1</v>
      </c>
      <c r="E1014" s="9">
        <v>0.10199999999999999</v>
      </c>
      <c r="F1014" s="9">
        <v>11</v>
      </c>
      <c r="G1014" s="9">
        <v>32</v>
      </c>
      <c r="H1014" s="9">
        <v>0.99604000000000004</v>
      </c>
      <c r="I1014" s="9">
        <v>3.23</v>
      </c>
      <c r="J1014" s="9">
        <v>0.48</v>
      </c>
      <c r="K1014" s="9">
        <v>10</v>
      </c>
      <c r="L1014" s="9">
        <v>5</v>
      </c>
    </row>
    <row r="1015" spans="1:12" x14ac:dyDescent="0.3">
      <c r="A1015" s="9">
        <v>7.5</v>
      </c>
      <c r="B1015" s="9">
        <v>0.71</v>
      </c>
      <c r="C1015" s="9">
        <v>0</v>
      </c>
      <c r="D1015" s="9">
        <v>1.6</v>
      </c>
      <c r="E1015" s="9">
        <v>9.1999999999999998E-2</v>
      </c>
      <c r="F1015" s="9">
        <v>22</v>
      </c>
      <c r="G1015" s="9">
        <v>31</v>
      </c>
      <c r="H1015" s="9">
        <v>0.99634999999999996</v>
      </c>
      <c r="I1015" s="9">
        <v>3.38</v>
      </c>
      <c r="J1015" s="9">
        <v>0.57999999999999996</v>
      </c>
      <c r="K1015" s="9">
        <v>10</v>
      </c>
      <c r="L1015" s="9">
        <v>6</v>
      </c>
    </row>
    <row r="1016" spans="1:12" x14ac:dyDescent="0.3">
      <c r="A1016" s="9">
        <v>8</v>
      </c>
      <c r="B1016" s="9">
        <v>0.57999999999999996</v>
      </c>
      <c r="C1016" s="9">
        <v>0.16</v>
      </c>
      <c r="D1016" s="9">
        <v>2</v>
      </c>
      <c r="E1016" s="9">
        <v>0.12</v>
      </c>
      <c r="F1016" s="9">
        <v>3</v>
      </c>
      <c r="G1016" s="9">
        <v>7</v>
      </c>
      <c r="H1016" s="9">
        <v>0.99453999999999998</v>
      </c>
      <c r="I1016" s="9">
        <v>3.22</v>
      </c>
      <c r="J1016" s="9">
        <v>0.57999999999999996</v>
      </c>
      <c r="K1016" s="9">
        <v>11.2</v>
      </c>
      <c r="L1016" s="9">
        <v>6</v>
      </c>
    </row>
    <row r="1017" spans="1:12" x14ac:dyDescent="0.3">
      <c r="A1017" s="9">
        <v>10.5</v>
      </c>
      <c r="B1017" s="9">
        <v>0.39</v>
      </c>
      <c r="C1017" s="9">
        <v>0.46</v>
      </c>
      <c r="D1017" s="9">
        <v>2.2000000000000002</v>
      </c>
      <c r="E1017" s="9">
        <v>7.4999999999999997E-2</v>
      </c>
      <c r="F1017" s="9">
        <v>14</v>
      </c>
      <c r="G1017" s="9">
        <v>27</v>
      </c>
      <c r="H1017" s="9">
        <v>0.99597999999999998</v>
      </c>
      <c r="I1017" s="9">
        <v>3.06</v>
      </c>
      <c r="J1017" s="9">
        <v>0.84</v>
      </c>
      <c r="K1017" s="9">
        <v>11.4</v>
      </c>
      <c r="L1017" s="9">
        <v>6</v>
      </c>
    </row>
    <row r="1018" spans="1:12" x14ac:dyDescent="0.3">
      <c r="A1018" s="9">
        <v>8.9</v>
      </c>
      <c r="B1018" s="9">
        <v>0.38</v>
      </c>
      <c r="C1018" s="9">
        <v>0.4</v>
      </c>
      <c r="D1018" s="9">
        <v>2.2000000000000002</v>
      </c>
      <c r="E1018" s="9">
        <v>6.8000000000000005E-2</v>
      </c>
      <c r="F1018" s="9">
        <v>12</v>
      </c>
      <c r="G1018" s="9">
        <v>28</v>
      </c>
      <c r="H1018" s="9">
        <v>0.99485999999999997</v>
      </c>
      <c r="I1018" s="9">
        <v>3.27</v>
      </c>
      <c r="J1018" s="9">
        <v>0.75</v>
      </c>
      <c r="K1018" s="9">
        <v>12.6</v>
      </c>
      <c r="L1018" s="9">
        <v>7</v>
      </c>
    </row>
    <row r="1019" spans="1:12" x14ac:dyDescent="0.3">
      <c r="A1019" s="9">
        <v>8</v>
      </c>
      <c r="B1019" s="9">
        <v>0.18</v>
      </c>
      <c r="C1019" s="9">
        <v>0.37</v>
      </c>
      <c r="D1019" s="9">
        <v>0.9</v>
      </c>
      <c r="E1019" s="9">
        <v>4.9000000000000002E-2</v>
      </c>
      <c r="F1019" s="9">
        <v>36</v>
      </c>
      <c r="G1019" s="9">
        <v>109</v>
      </c>
      <c r="H1019" s="9">
        <v>0.99007000000000001</v>
      </c>
      <c r="I1019" s="9">
        <v>2.89</v>
      </c>
      <c r="J1019" s="9">
        <v>0.44</v>
      </c>
      <c r="K1019" s="9">
        <v>12.7</v>
      </c>
      <c r="L1019" s="9">
        <v>6</v>
      </c>
    </row>
    <row r="1020" spans="1:12" x14ac:dyDescent="0.3">
      <c r="A1020" s="9">
        <v>8</v>
      </c>
      <c r="B1020" s="9">
        <v>0.18</v>
      </c>
      <c r="C1020" s="9">
        <v>0.37</v>
      </c>
      <c r="D1020" s="9">
        <v>0.9</v>
      </c>
      <c r="E1020" s="9">
        <v>4.9000000000000002E-2</v>
      </c>
      <c r="F1020" s="9">
        <v>36</v>
      </c>
      <c r="G1020" s="9">
        <v>109</v>
      </c>
      <c r="H1020" s="9">
        <v>0.99007000000000001</v>
      </c>
      <c r="I1020" s="9">
        <v>2.89</v>
      </c>
      <c r="J1020" s="9">
        <v>0.44</v>
      </c>
      <c r="K1020" s="9">
        <v>12.7</v>
      </c>
      <c r="L1020" s="9">
        <v>6</v>
      </c>
    </row>
    <row r="1021" spans="1:12" x14ac:dyDescent="0.3">
      <c r="A1021" s="9">
        <v>7</v>
      </c>
      <c r="B1021" s="9">
        <v>0.5</v>
      </c>
      <c r="C1021" s="9">
        <v>0.14000000000000001</v>
      </c>
      <c r="D1021" s="9">
        <v>1.8</v>
      </c>
      <c r="E1021" s="9">
        <v>7.8E-2</v>
      </c>
      <c r="F1021" s="9">
        <v>10</v>
      </c>
      <c r="G1021" s="9">
        <v>23</v>
      </c>
      <c r="H1021" s="9">
        <v>0.99636000000000002</v>
      </c>
      <c r="I1021" s="9">
        <v>3.53</v>
      </c>
      <c r="J1021" s="9">
        <v>0.61</v>
      </c>
      <c r="K1021" s="9">
        <v>10.4</v>
      </c>
      <c r="L1021" s="9">
        <v>5</v>
      </c>
    </row>
    <row r="1022" spans="1:12" x14ac:dyDescent="0.3">
      <c r="A1022" s="9">
        <v>11.3</v>
      </c>
      <c r="B1022" s="9">
        <v>0.36</v>
      </c>
      <c r="C1022" s="9">
        <v>0.66</v>
      </c>
      <c r="D1022" s="9">
        <v>2.4</v>
      </c>
      <c r="E1022" s="9">
        <v>0.123</v>
      </c>
      <c r="F1022" s="9">
        <v>3</v>
      </c>
      <c r="G1022" s="9">
        <v>8</v>
      </c>
      <c r="H1022" s="9">
        <v>0.99641999999999997</v>
      </c>
      <c r="I1022" s="9">
        <v>3.2</v>
      </c>
      <c r="J1022" s="9">
        <v>0.53</v>
      </c>
      <c r="K1022" s="9">
        <v>11.9</v>
      </c>
      <c r="L1022" s="9">
        <v>6</v>
      </c>
    </row>
    <row r="1023" spans="1:12" x14ac:dyDescent="0.3">
      <c r="A1023" s="9">
        <v>11.3</v>
      </c>
      <c r="B1023" s="9">
        <v>0.36</v>
      </c>
      <c r="C1023" s="9">
        <v>0.66</v>
      </c>
      <c r="D1023" s="9">
        <v>2.4</v>
      </c>
      <c r="E1023" s="9">
        <v>0.123</v>
      </c>
      <c r="F1023" s="9">
        <v>3</v>
      </c>
      <c r="G1023" s="9">
        <v>8</v>
      </c>
      <c r="H1023" s="9">
        <v>0.99641999999999997</v>
      </c>
      <c r="I1023" s="9">
        <v>3.2</v>
      </c>
      <c r="J1023" s="9">
        <v>0.53</v>
      </c>
      <c r="K1023" s="9">
        <v>11.9</v>
      </c>
      <c r="L1023" s="9">
        <v>6</v>
      </c>
    </row>
    <row r="1024" spans="1:12" x14ac:dyDescent="0.3">
      <c r="A1024" s="9">
        <v>7</v>
      </c>
      <c r="B1024" s="9">
        <v>0.51</v>
      </c>
      <c r="C1024" s="9">
        <v>0.09</v>
      </c>
      <c r="D1024" s="9">
        <v>2.1</v>
      </c>
      <c r="E1024" s="9">
        <v>6.2E-2</v>
      </c>
      <c r="F1024" s="9">
        <v>4</v>
      </c>
      <c r="G1024" s="9">
        <v>9</v>
      </c>
      <c r="H1024" s="9">
        <v>0.99583999999999995</v>
      </c>
      <c r="I1024" s="9">
        <v>3.35</v>
      </c>
      <c r="J1024" s="9">
        <v>0.54</v>
      </c>
      <c r="K1024" s="9">
        <v>10.5</v>
      </c>
      <c r="L1024" s="9">
        <v>5</v>
      </c>
    </row>
    <row r="1025" spans="1:12" x14ac:dyDescent="0.3">
      <c r="A1025" s="9">
        <v>8.1999999999999993</v>
      </c>
      <c r="B1025" s="9">
        <v>0.32</v>
      </c>
      <c r="C1025" s="9">
        <v>0.42</v>
      </c>
      <c r="D1025" s="9">
        <v>2.2999999999999998</v>
      </c>
      <c r="E1025" s="9">
        <v>9.8000000000000004E-2</v>
      </c>
      <c r="F1025" s="9">
        <v>3</v>
      </c>
      <c r="G1025" s="9">
        <v>9</v>
      </c>
      <c r="H1025" s="9">
        <v>0.99505999999999994</v>
      </c>
      <c r="I1025" s="9">
        <v>3.27</v>
      </c>
      <c r="J1025" s="9">
        <v>0.55000000000000004</v>
      </c>
      <c r="K1025" s="9">
        <v>12.3</v>
      </c>
      <c r="L1025" s="9">
        <v>6</v>
      </c>
    </row>
    <row r="1026" spans="1:12" x14ac:dyDescent="0.3">
      <c r="A1026" s="9">
        <v>7.7</v>
      </c>
      <c r="B1026" s="9">
        <v>0.57999999999999996</v>
      </c>
      <c r="C1026" s="9">
        <v>0.01</v>
      </c>
      <c r="D1026" s="9">
        <v>1.8</v>
      </c>
      <c r="E1026" s="9">
        <v>8.7999999999999995E-2</v>
      </c>
      <c r="F1026" s="9">
        <v>12</v>
      </c>
      <c r="G1026" s="9">
        <v>18</v>
      </c>
      <c r="H1026" s="9">
        <v>0.99568000000000001</v>
      </c>
      <c r="I1026" s="9">
        <v>3.32</v>
      </c>
      <c r="J1026" s="9">
        <v>0.56000000000000005</v>
      </c>
      <c r="K1026" s="9">
        <v>10.5</v>
      </c>
      <c r="L1026" s="9">
        <v>7</v>
      </c>
    </row>
    <row r="1027" spans="1:12" x14ac:dyDescent="0.3">
      <c r="A1027" s="9">
        <v>8.6</v>
      </c>
      <c r="B1027" s="9">
        <v>0.83</v>
      </c>
      <c r="C1027" s="9">
        <v>0</v>
      </c>
      <c r="D1027" s="9">
        <v>2.8</v>
      </c>
      <c r="E1027" s="9">
        <v>9.5000000000000001E-2</v>
      </c>
      <c r="F1027" s="9">
        <v>17</v>
      </c>
      <c r="G1027" s="9">
        <v>43</v>
      </c>
      <c r="H1027" s="9">
        <v>0.99822</v>
      </c>
      <c r="I1027" s="9">
        <v>3.33</v>
      </c>
      <c r="J1027" s="9">
        <v>0.6</v>
      </c>
      <c r="K1027" s="9">
        <v>10.4</v>
      </c>
      <c r="L1027" s="9">
        <v>6</v>
      </c>
    </row>
    <row r="1028" spans="1:12" x14ac:dyDescent="0.3">
      <c r="A1028" s="9">
        <v>7.9</v>
      </c>
      <c r="B1028" s="9">
        <v>0.31</v>
      </c>
      <c r="C1028" s="9">
        <v>0.32</v>
      </c>
      <c r="D1028" s="9">
        <v>1.9</v>
      </c>
      <c r="E1028" s="9">
        <v>6.6000000000000003E-2</v>
      </c>
      <c r="F1028" s="9">
        <v>14</v>
      </c>
      <c r="G1028" s="9">
        <v>36</v>
      </c>
      <c r="H1028" s="9">
        <v>0.99363999999999997</v>
      </c>
      <c r="I1028" s="9">
        <v>3.41</v>
      </c>
      <c r="J1028" s="9">
        <v>0.56000000000000005</v>
      </c>
      <c r="K1028" s="9">
        <v>12.6</v>
      </c>
      <c r="L1028" s="9">
        <v>6</v>
      </c>
    </row>
    <row r="1029" spans="1:12" x14ac:dyDescent="0.3">
      <c r="A1029" s="9">
        <v>6.4</v>
      </c>
      <c r="B1029" s="9">
        <v>0.79500000000000004</v>
      </c>
      <c r="C1029" s="9">
        <v>0</v>
      </c>
      <c r="D1029" s="9">
        <v>2.2000000000000002</v>
      </c>
      <c r="E1029" s="9">
        <v>6.5000000000000002E-2</v>
      </c>
      <c r="F1029" s="9">
        <v>28</v>
      </c>
      <c r="G1029" s="9">
        <v>52</v>
      </c>
      <c r="H1029" s="9">
        <v>0.99378</v>
      </c>
      <c r="I1029" s="9">
        <v>3.49</v>
      </c>
      <c r="J1029" s="9">
        <v>0.52</v>
      </c>
      <c r="K1029" s="9">
        <v>11.6</v>
      </c>
      <c r="L1029" s="9">
        <v>5</v>
      </c>
    </row>
    <row r="1030" spans="1:12" x14ac:dyDescent="0.3">
      <c r="A1030" s="9">
        <v>7.2</v>
      </c>
      <c r="B1030" s="9">
        <v>0.34</v>
      </c>
      <c r="C1030" s="9">
        <v>0.21</v>
      </c>
      <c r="D1030" s="9">
        <v>2.5</v>
      </c>
      <c r="E1030" s="9">
        <v>7.4999999999999997E-2</v>
      </c>
      <c r="F1030" s="9">
        <v>41</v>
      </c>
      <c r="G1030" s="9">
        <v>68</v>
      </c>
      <c r="H1030" s="9">
        <v>0.99585999999999997</v>
      </c>
      <c r="I1030" s="9">
        <v>3.37</v>
      </c>
      <c r="J1030" s="9">
        <v>0.54</v>
      </c>
      <c r="K1030" s="9">
        <v>10.1</v>
      </c>
      <c r="L1030" s="9">
        <v>6</v>
      </c>
    </row>
    <row r="1031" spans="1:12" x14ac:dyDescent="0.3">
      <c r="A1031" s="9">
        <v>7.7</v>
      </c>
      <c r="B1031" s="9">
        <v>0.57999999999999996</v>
      </c>
      <c r="C1031" s="9">
        <v>0.01</v>
      </c>
      <c r="D1031" s="9">
        <v>1.8</v>
      </c>
      <c r="E1031" s="9">
        <v>8.7999999999999995E-2</v>
      </c>
      <c r="F1031" s="9">
        <v>12</v>
      </c>
      <c r="G1031" s="9">
        <v>18</v>
      </c>
      <c r="H1031" s="9">
        <v>0.99568000000000001</v>
      </c>
      <c r="I1031" s="9">
        <v>3.32</v>
      </c>
      <c r="J1031" s="9">
        <v>0.56000000000000005</v>
      </c>
      <c r="K1031" s="9">
        <v>10.5</v>
      </c>
      <c r="L1031" s="9">
        <v>7</v>
      </c>
    </row>
    <row r="1032" spans="1:12" x14ac:dyDescent="0.3">
      <c r="A1032" s="9">
        <v>7.1</v>
      </c>
      <c r="B1032" s="9">
        <v>0.59</v>
      </c>
      <c r="C1032" s="9">
        <v>0</v>
      </c>
      <c r="D1032" s="9">
        <v>2.1</v>
      </c>
      <c r="E1032" s="9">
        <v>9.0999999999999998E-2</v>
      </c>
      <c r="F1032" s="9">
        <v>9</v>
      </c>
      <c r="G1032" s="9">
        <v>14</v>
      </c>
      <c r="H1032" s="9">
        <v>0.99487999999999999</v>
      </c>
      <c r="I1032" s="9">
        <v>3.42</v>
      </c>
      <c r="J1032" s="9">
        <v>0.55000000000000004</v>
      </c>
      <c r="K1032" s="9">
        <v>11.5</v>
      </c>
      <c r="L1032" s="9">
        <v>7</v>
      </c>
    </row>
    <row r="1033" spans="1:12" x14ac:dyDescent="0.3">
      <c r="A1033" s="9">
        <v>7.3</v>
      </c>
      <c r="B1033" s="9">
        <v>0.55000000000000004</v>
      </c>
      <c r="C1033" s="9">
        <v>0.01</v>
      </c>
      <c r="D1033" s="9">
        <v>1.8</v>
      </c>
      <c r="E1033" s="9">
        <v>9.2999999999999999E-2</v>
      </c>
      <c r="F1033" s="9">
        <v>9</v>
      </c>
      <c r="G1033" s="9">
        <v>15</v>
      </c>
      <c r="H1033" s="9">
        <v>0.99514000000000002</v>
      </c>
      <c r="I1033" s="9">
        <v>3.35</v>
      </c>
      <c r="J1033" s="9">
        <v>0.57999999999999996</v>
      </c>
      <c r="K1033" s="9">
        <v>11</v>
      </c>
      <c r="L1033" s="9">
        <v>7</v>
      </c>
    </row>
    <row r="1034" spans="1:12" x14ac:dyDescent="0.3">
      <c r="A1034" s="9">
        <v>8.1</v>
      </c>
      <c r="B1034" s="9">
        <v>0.82</v>
      </c>
      <c r="C1034" s="9">
        <v>0</v>
      </c>
      <c r="D1034" s="9">
        <v>4.0999999999999996</v>
      </c>
      <c r="E1034" s="9">
        <v>9.5000000000000001E-2</v>
      </c>
      <c r="F1034" s="9">
        <v>5</v>
      </c>
      <c r="G1034" s="9">
        <v>14</v>
      </c>
      <c r="H1034" s="9">
        <v>0.99853999999999998</v>
      </c>
      <c r="I1034" s="9">
        <v>3.36</v>
      </c>
      <c r="J1034" s="9">
        <v>0.53</v>
      </c>
      <c r="K1034" s="9">
        <v>9.6</v>
      </c>
      <c r="L1034" s="9">
        <v>5</v>
      </c>
    </row>
    <row r="1035" spans="1:12" x14ac:dyDescent="0.3">
      <c r="A1035" s="9">
        <v>7.5</v>
      </c>
      <c r="B1035" s="9">
        <v>0.56999999999999995</v>
      </c>
      <c r="C1035" s="9">
        <v>0.08</v>
      </c>
      <c r="D1035" s="9">
        <v>2.6</v>
      </c>
      <c r="E1035" s="9">
        <v>8.8999999999999996E-2</v>
      </c>
      <c r="F1035" s="9">
        <v>14</v>
      </c>
      <c r="G1035" s="9">
        <v>27</v>
      </c>
      <c r="H1035" s="9">
        <v>0.99592000000000003</v>
      </c>
      <c r="I1035" s="9">
        <v>3.3</v>
      </c>
      <c r="J1035" s="9">
        <v>0.59</v>
      </c>
      <c r="K1035" s="9">
        <v>10.4</v>
      </c>
      <c r="L1035" s="9">
        <v>6</v>
      </c>
    </row>
    <row r="1036" spans="1:12" x14ac:dyDescent="0.3">
      <c r="A1036" s="9">
        <v>8.9</v>
      </c>
      <c r="B1036" s="9">
        <v>0.745</v>
      </c>
      <c r="C1036" s="9">
        <v>0.18</v>
      </c>
      <c r="D1036" s="9">
        <v>2.5</v>
      </c>
      <c r="E1036" s="9">
        <v>7.6999999999999999E-2</v>
      </c>
      <c r="F1036" s="9">
        <v>15</v>
      </c>
      <c r="G1036" s="9">
        <v>48</v>
      </c>
      <c r="H1036" s="9">
        <v>0.99739</v>
      </c>
      <c r="I1036" s="9">
        <v>3.2</v>
      </c>
      <c r="J1036" s="9">
        <v>0.47</v>
      </c>
      <c r="K1036" s="9">
        <v>9.6999999999999993</v>
      </c>
      <c r="L1036" s="9">
        <v>6</v>
      </c>
    </row>
    <row r="1037" spans="1:12" x14ac:dyDescent="0.3">
      <c r="A1037" s="9">
        <v>10.1</v>
      </c>
      <c r="B1037" s="9">
        <v>0.37</v>
      </c>
      <c r="C1037" s="9">
        <v>0.34</v>
      </c>
      <c r="D1037" s="9">
        <v>2.4</v>
      </c>
      <c r="E1037" s="9">
        <v>8.5000000000000006E-2</v>
      </c>
      <c r="F1037" s="9">
        <v>5</v>
      </c>
      <c r="G1037" s="9">
        <v>17</v>
      </c>
      <c r="H1037" s="9">
        <v>0.99682999999999999</v>
      </c>
      <c r="I1037" s="9">
        <v>3.17</v>
      </c>
      <c r="J1037" s="9">
        <v>0.65</v>
      </c>
      <c r="K1037" s="9">
        <v>10.6</v>
      </c>
      <c r="L1037" s="9">
        <v>7</v>
      </c>
    </row>
    <row r="1038" spans="1:12" x14ac:dyDescent="0.3">
      <c r="A1038" s="9">
        <v>7.6</v>
      </c>
      <c r="B1038" s="9">
        <v>0.31</v>
      </c>
      <c r="C1038" s="9">
        <v>0.34</v>
      </c>
      <c r="D1038" s="9">
        <v>2.5</v>
      </c>
      <c r="E1038" s="9">
        <v>8.2000000000000003E-2</v>
      </c>
      <c r="F1038" s="9">
        <v>26</v>
      </c>
      <c r="G1038" s="9">
        <v>35</v>
      </c>
      <c r="H1038" s="9">
        <v>0.99356</v>
      </c>
      <c r="I1038" s="9">
        <v>3.22</v>
      </c>
      <c r="J1038" s="9">
        <v>0.59</v>
      </c>
      <c r="K1038" s="9">
        <v>12.5</v>
      </c>
      <c r="L1038" s="9">
        <v>7</v>
      </c>
    </row>
    <row r="1039" spans="1:12" x14ac:dyDescent="0.3">
      <c r="A1039" s="9">
        <v>7.3</v>
      </c>
      <c r="B1039" s="9">
        <v>0.91</v>
      </c>
      <c r="C1039" s="9">
        <v>0.1</v>
      </c>
      <c r="D1039" s="9">
        <v>1.8</v>
      </c>
      <c r="E1039" s="9">
        <v>7.3999999999999996E-2</v>
      </c>
      <c r="F1039" s="9">
        <v>20</v>
      </c>
      <c r="G1039" s="9">
        <v>56</v>
      </c>
      <c r="H1039" s="9">
        <v>0.99672000000000005</v>
      </c>
      <c r="I1039" s="9">
        <v>3.35</v>
      </c>
      <c r="J1039" s="9">
        <v>0.56000000000000005</v>
      </c>
      <c r="K1039" s="9">
        <v>9.1999999999999993</v>
      </c>
      <c r="L1039" s="9">
        <v>5</v>
      </c>
    </row>
    <row r="1040" spans="1:12" x14ac:dyDescent="0.3">
      <c r="A1040" s="9">
        <v>8.6999999999999993</v>
      </c>
      <c r="B1040" s="9">
        <v>0.41</v>
      </c>
      <c r="C1040" s="9">
        <v>0.41</v>
      </c>
      <c r="D1040" s="9">
        <v>6.2</v>
      </c>
      <c r="E1040" s="9">
        <v>7.8E-2</v>
      </c>
      <c r="F1040" s="9">
        <v>25</v>
      </c>
      <c r="G1040" s="9">
        <v>42</v>
      </c>
      <c r="H1040" s="9">
        <v>0.99529999999999996</v>
      </c>
      <c r="I1040" s="9">
        <v>3.24</v>
      </c>
      <c r="J1040" s="9">
        <v>0.77</v>
      </c>
      <c r="K1040" s="9">
        <v>12.6</v>
      </c>
      <c r="L1040" s="9">
        <v>7</v>
      </c>
    </row>
    <row r="1041" spans="1:12" x14ac:dyDescent="0.3">
      <c r="A1041" s="9">
        <v>8.9</v>
      </c>
      <c r="B1041" s="9">
        <v>0.5</v>
      </c>
      <c r="C1041" s="9">
        <v>0.21</v>
      </c>
      <c r="D1041" s="9">
        <v>2.2000000000000002</v>
      </c>
      <c r="E1041" s="9">
        <v>8.7999999999999995E-2</v>
      </c>
      <c r="F1041" s="9">
        <v>21</v>
      </c>
      <c r="G1041" s="9">
        <v>39</v>
      </c>
      <c r="H1041" s="9">
        <v>0.99692000000000003</v>
      </c>
      <c r="I1041" s="9">
        <v>3.33</v>
      </c>
      <c r="J1041" s="9">
        <v>0.83</v>
      </c>
      <c r="K1041" s="9">
        <v>11.1</v>
      </c>
      <c r="L1041" s="9">
        <v>6</v>
      </c>
    </row>
    <row r="1042" spans="1:12" x14ac:dyDescent="0.3">
      <c r="A1042" s="9">
        <v>7.4</v>
      </c>
      <c r="B1042" s="9">
        <v>0.96499999999999997</v>
      </c>
      <c r="C1042" s="9">
        <v>0</v>
      </c>
      <c r="D1042" s="9">
        <v>2.2000000000000002</v>
      </c>
      <c r="E1042" s="9">
        <v>8.7999999999999995E-2</v>
      </c>
      <c r="F1042" s="9">
        <v>16</v>
      </c>
      <c r="G1042" s="9">
        <v>32</v>
      </c>
      <c r="H1042" s="9">
        <v>0.99756</v>
      </c>
      <c r="I1042" s="9">
        <v>3.58</v>
      </c>
      <c r="J1042" s="9">
        <v>0.67</v>
      </c>
      <c r="K1042" s="9">
        <v>10.199999999999999</v>
      </c>
      <c r="L1042" s="9">
        <v>5</v>
      </c>
    </row>
    <row r="1043" spans="1:12" x14ac:dyDescent="0.3">
      <c r="A1043" s="9">
        <v>6.9</v>
      </c>
      <c r="B1043" s="9">
        <v>0.49</v>
      </c>
      <c r="C1043" s="9">
        <v>0.19</v>
      </c>
      <c r="D1043" s="9">
        <v>1.7</v>
      </c>
      <c r="E1043" s="9">
        <v>7.9000000000000001E-2</v>
      </c>
      <c r="F1043" s="9">
        <v>13</v>
      </c>
      <c r="G1043" s="9">
        <v>26</v>
      </c>
      <c r="H1043" s="9">
        <v>0.99546999999999997</v>
      </c>
      <c r="I1043" s="9">
        <v>3.38</v>
      </c>
      <c r="J1043" s="9">
        <v>0.64</v>
      </c>
      <c r="K1043" s="9">
        <v>9.8000000000000007</v>
      </c>
      <c r="L1043" s="9">
        <v>6</v>
      </c>
    </row>
    <row r="1044" spans="1:12" x14ac:dyDescent="0.3">
      <c r="A1044" s="9">
        <v>8.9</v>
      </c>
      <c r="B1044" s="9">
        <v>0.5</v>
      </c>
      <c r="C1044" s="9">
        <v>0.21</v>
      </c>
      <c r="D1044" s="9">
        <v>2.2000000000000002</v>
      </c>
      <c r="E1044" s="9">
        <v>8.7999999999999995E-2</v>
      </c>
      <c r="F1044" s="9">
        <v>21</v>
      </c>
      <c r="G1044" s="9">
        <v>39</v>
      </c>
      <c r="H1044" s="9">
        <v>0.99692000000000003</v>
      </c>
      <c r="I1044" s="9">
        <v>3.33</v>
      </c>
      <c r="J1044" s="9">
        <v>0.83</v>
      </c>
      <c r="K1044" s="9">
        <v>11.1</v>
      </c>
      <c r="L1044" s="9">
        <v>6</v>
      </c>
    </row>
    <row r="1045" spans="1:12" x14ac:dyDescent="0.3">
      <c r="A1045" s="9">
        <v>9.5</v>
      </c>
      <c r="B1045" s="9">
        <v>0.39</v>
      </c>
      <c r="C1045" s="9">
        <v>0.41</v>
      </c>
      <c r="D1045" s="9">
        <v>8.9</v>
      </c>
      <c r="E1045" s="9">
        <v>6.9000000000000006E-2</v>
      </c>
      <c r="F1045" s="9">
        <v>18</v>
      </c>
      <c r="G1045" s="9">
        <v>39</v>
      </c>
      <c r="H1045" s="9">
        <v>0.99858999999999998</v>
      </c>
      <c r="I1045" s="9">
        <v>3.29</v>
      </c>
      <c r="J1045" s="9">
        <v>0.81</v>
      </c>
      <c r="K1045" s="9">
        <v>10.9</v>
      </c>
      <c r="L1045" s="9">
        <v>7</v>
      </c>
    </row>
    <row r="1046" spans="1:12" x14ac:dyDescent="0.3">
      <c r="A1046" s="9">
        <v>6.4</v>
      </c>
      <c r="B1046" s="9">
        <v>0.39</v>
      </c>
      <c r="C1046" s="9">
        <v>0.33</v>
      </c>
      <c r="D1046" s="9">
        <v>3.3</v>
      </c>
      <c r="E1046" s="9">
        <v>4.5999999999999999E-2</v>
      </c>
      <c r="F1046" s="9">
        <v>12</v>
      </c>
      <c r="G1046" s="9">
        <v>53</v>
      </c>
      <c r="H1046" s="9">
        <v>0.99294000000000004</v>
      </c>
      <c r="I1046" s="9">
        <v>3.36</v>
      </c>
      <c r="J1046" s="9">
        <v>0.62</v>
      </c>
      <c r="K1046" s="9">
        <v>12.2</v>
      </c>
      <c r="L1046" s="9">
        <v>6</v>
      </c>
    </row>
    <row r="1047" spans="1:12" x14ac:dyDescent="0.3">
      <c r="A1047" s="9">
        <v>6.9</v>
      </c>
      <c r="B1047" s="9">
        <v>0.44</v>
      </c>
      <c r="C1047" s="9">
        <v>0</v>
      </c>
      <c r="D1047" s="9">
        <v>1.4</v>
      </c>
      <c r="E1047" s="9">
        <v>7.0000000000000007E-2</v>
      </c>
      <c r="F1047" s="9">
        <v>32</v>
      </c>
      <c r="G1047" s="9">
        <v>38</v>
      </c>
      <c r="H1047" s="9">
        <v>0.99438000000000004</v>
      </c>
      <c r="I1047" s="9">
        <v>3.32</v>
      </c>
      <c r="J1047" s="9">
        <v>0.57999999999999996</v>
      </c>
      <c r="K1047" s="9">
        <v>11.4</v>
      </c>
      <c r="L1047" s="9">
        <v>6</v>
      </c>
    </row>
    <row r="1048" spans="1:12" x14ac:dyDescent="0.3">
      <c r="A1048" s="9">
        <v>7.6</v>
      </c>
      <c r="B1048" s="9">
        <v>0.78</v>
      </c>
      <c r="C1048" s="9">
        <v>0</v>
      </c>
      <c r="D1048" s="9">
        <v>1.7</v>
      </c>
      <c r="E1048" s="9">
        <v>7.5999999999999998E-2</v>
      </c>
      <c r="F1048" s="9">
        <v>33</v>
      </c>
      <c r="G1048" s="9">
        <v>45</v>
      </c>
      <c r="H1048" s="9">
        <v>0.99612000000000001</v>
      </c>
      <c r="I1048" s="9">
        <v>3.31</v>
      </c>
      <c r="J1048" s="9">
        <v>0.62</v>
      </c>
      <c r="K1048" s="9">
        <v>10.7</v>
      </c>
      <c r="L1048" s="9">
        <v>6</v>
      </c>
    </row>
    <row r="1049" spans="1:12" x14ac:dyDescent="0.3">
      <c r="A1049" s="9">
        <v>7.1</v>
      </c>
      <c r="B1049" s="9">
        <v>0.43</v>
      </c>
      <c r="C1049" s="9">
        <v>0.17</v>
      </c>
      <c r="D1049" s="9">
        <v>1.8</v>
      </c>
      <c r="E1049" s="9">
        <v>8.2000000000000003E-2</v>
      </c>
      <c r="F1049" s="9">
        <v>27</v>
      </c>
      <c r="G1049" s="9">
        <v>51</v>
      </c>
      <c r="H1049" s="9">
        <v>0.99634</v>
      </c>
      <c r="I1049" s="9">
        <v>3.49</v>
      </c>
      <c r="J1049" s="9">
        <v>0.64</v>
      </c>
      <c r="K1049" s="9">
        <v>10.4</v>
      </c>
      <c r="L1049" s="9">
        <v>5</v>
      </c>
    </row>
    <row r="1050" spans="1:12" x14ac:dyDescent="0.3">
      <c r="A1050" s="9">
        <v>9.3000000000000007</v>
      </c>
      <c r="B1050" s="9">
        <v>0.49</v>
      </c>
      <c r="C1050" s="9">
        <v>0.36</v>
      </c>
      <c r="D1050" s="9">
        <v>1.7</v>
      </c>
      <c r="E1050" s="9">
        <v>8.1000000000000003E-2</v>
      </c>
      <c r="F1050" s="9">
        <v>3</v>
      </c>
      <c r="G1050" s="9">
        <v>14</v>
      </c>
      <c r="H1050" s="9">
        <v>0.99702000000000002</v>
      </c>
      <c r="I1050" s="9">
        <v>3.27</v>
      </c>
      <c r="J1050" s="9">
        <v>0.78</v>
      </c>
      <c r="K1050" s="9">
        <v>10.9</v>
      </c>
      <c r="L1050" s="9">
        <v>6</v>
      </c>
    </row>
    <row r="1051" spans="1:12" x14ac:dyDescent="0.3">
      <c r="A1051" s="9">
        <v>9.3000000000000007</v>
      </c>
      <c r="B1051" s="9">
        <v>0.5</v>
      </c>
      <c r="C1051" s="9">
        <v>0.36</v>
      </c>
      <c r="D1051" s="9">
        <v>1.8</v>
      </c>
      <c r="E1051" s="9">
        <v>8.4000000000000005E-2</v>
      </c>
      <c r="F1051" s="9">
        <v>6</v>
      </c>
      <c r="G1051" s="9">
        <v>17</v>
      </c>
      <c r="H1051" s="9">
        <v>0.99704000000000004</v>
      </c>
      <c r="I1051" s="9">
        <v>3.27</v>
      </c>
      <c r="J1051" s="9">
        <v>0.77</v>
      </c>
      <c r="K1051" s="9">
        <v>10.8</v>
      </c>
      <c r="L1051" s="9">
        <v>6</v>
      </c>
    </row>
    <row r="1052" spans="1:12" x14ac:dyDescent="0.3">
      <c r="A1052" s="9">
        <v>7.1</v>
      </c>
      <c r="B1052" s="9">
        <v>0.43</v>
      </c>
      <c r="C1052" s="9">
        <v>0.17</v>
      </c>
      <c r="D1052" s="9">
        <v>1.8</v>
      </c>
      <c r="E1052" s="9">
        <v>8.2000000000000003E-2</v>
      </c>
      <c r="F1052" s="9">
        <v>27</v>
      </c>
      <c r="G1052" s="9">
        <v>51</v>
      </c>
      <c r="H1052" s="9">
        <v>0.99634</v>
      </c>
      <c r="I1052" s="9">
        <v>3.49</v>
      </c>
      <c r="J1052" s="9">
        <v>0.64</v>
      </c>
      <c r="K1052" s="9">
        <v>10.4</v>
      </c>
      <c r="L1052" s="9">
        <v>5</v>
      </c>
    </row>
    <row r="1053" spans="1:12" x14ac:dyDescent="0.3">
      <c r="A1053" s="9">
        <v>8.5</v>
      </c>
      <c r="B1053" s="9">
        <v>0.46</v>
      </c>
      <c r="C1053" s="9">
        <v>0.59</v>
      </c>
      <c r="D1053" s="9">
        <v>1.4</v>
      </c>
      <c r="E1053" s="9">
        <v>0.41399999999999998</v>
      </c>
      <c r="F1053" s="9">
        <v>16</v>
      </c>
      <c r="G1053" s="9">
        <v>45</v>
      </c>
      <c r="H1053" s="9">
        <v>0.99702000000000002</v>
      </c>
      <c r="I1053" s="9">
        <v>3.03</v>
      </c>
      <c r="J1053" s="9">
        <v>1.34</v>
      </c>
      <c r="K1053" s="9">
        <v>9.1999999999999993</v>
      </c>
      <c r="L1053" s="9">
        <v>5</v>
      </c>
    </row>
    <row r="1054" spans="1:12" x14ac:dyDescent="0.3">
      <c r="A1054" s="9">
        <v>5.6</v>
      </c>
      <c r="B1054" s="9">
        <v>0.60499999999999998</v>
      </c>
      <c r="C1054" s="9">
        <v>0.05</v>
      </c>
      <c r="D1054" s="9">
        <v>2.4</v>
      </c>
      <c r="E1054" s="9">
        <v>7.2999999999999995E-2</v>
      </c>
      <c r="F1054" s="9">
        <v>19</v>
      </c>
      <c r="G1054" s="9">
        <v>25</v>
      </c>
      <c r="H1054" s="9">
        <v>0.99258000000000002</v>
      </c>
      <c r="I1054" s="9">
        <v>3.56</v>
      </c>
      <c r="J1054" s="9">
        <v>0.55000000000000004</v>
      </c>
      <c r="K1054" s="9">
        <v>12.9</v>
      </c>
      <c r="L1054" s="9">
        <v>5</v>
      </c>
    </row>
    <row r="1055" spans="1:12" x14ac:dyDescent="0.3">
      <c r="A1055" s="9">
        <v>8.3000000000000007</v>
      </c>
      <c r="B1055" s="9">
        <v>0.33</v>
      </c>
      <c r="C1055" s="9">
        <v>0.42</v>
      </c>
      <c r="D1055" s="9">
        <v>2.2999999999999998</v>
      </c>
      <c r="E1055" s="9">
        <v>7.0000000000000007E-2</v>
      </c>
      <c r="F1055" s="9">
        <v>9</v>
      </c>
      <c r="G1055" s="9">
        <v>20</v>
      </c>
      <c r="H1055" s="9">
        <v>0.99426000000000003</v>
      </c>
      <c r="I1055" s="9">
        <v>3.38</v>
      </c>
      <c r="J1055" s="9">
        <v>0.77</v>
      </c>
      <c r="K1055" s="9">
        <v>12.7</v>
      </c>
      <c r="L1055" s="9">
        <v>7</v>
      </c>
    </row>
    <row r="1056" spans="1:12" x14ac:dyDescent="0.3">
      <c r="A1056" s="9">
        <v>8.1999999999999993</v>
      </c>
      <c r="B1056" s="9">
        <v>0.64</v>
      </c>
      <c r="C1056" s="9">
        <v>0.27</v>
      </c>
      <c r="D1056" s="9">
        <v>2</v>
      </c>
      <c r="E1056" s="9">
        <v>9.5000000000000001E-2</v>
      </c>
      <c r="F1056" s="9">
        <v>5</v>
      </c>
      <c r="G1056" s="9">
        <v>77</v>
      </c>
      <c r="H1056" s="9">
        <v>0.99746999999999997</v>
      </c>
      <c r="I1056" s="9">
        <v>3.13</v>
      </c>
      <c r="J1056" s="9">
        <v>0.62</v>
      </c>
      <c r="K1056" s="9">
        <v>9.1</v>
      </c>
      <c r="L1056" s="9">
        <v>6</v>
      </c>
    </row>
    <row r="1057" spans="1:12" x14ac:dyDescent="0.3">
      <c r="A1057" s="9">
        <v>8.1999999999999993</v>
      </c>
      <c r="B1057" s="9">
        <v>0.64</v>
      </c>
      <c r="C1057" s="9">
        <v>0.27</v>
      </c>
      <c r="D1057" s="9">
        <v>2</v>
      </c>
      <c r="E1057" s="9">
        <v>9.5000000000000001E-2</v>
      </c>
      <c r="F1057" s="9">
        <v>5</v>
      </c>
      <c r="G1057" s="9">
        <v>77</v>
      </c>
      <c r="H1057" s="9">
        <v>0.99746999999999997</v>
      </c>
      <c r="I1057" s="9">
        <v>3.13</v>
      </c>
      <c r="J1057" s="9">
        <v>0.62</v>
      </c>
      <c r="K1057" s="9">
        <v>9.1</v>
      </c>
      <c r="L1057" s="9">
        <v>6</v>
      </c>
    </row>
    <row r="1058" spans="1:12" x14ac:dyDescent="0.3">
      <c r="A1058" s="9">
        <v>8.9</v>
      </c>
      <c r="B1058" s="9">
        <v>0.48</v>
      </c>
      <c r="C1058" s="9">
        <v>0.53</v>
      </c>
      <c r="D1058" s="9">
        <v>4</v>
      </c>
      <c r="E1058" s="9">
        <v>0.10100000000000001</v>
      </c>
      <c r="F1058" s="9">
        <v>3</v>
      </c>
      <c r="G1058" s="9">
        <v>10</v>
      </c>
      <c r="H1058" s="9">
        <v>0.99585999999999997</v>
      </c>
      <c r="I1058" s="9">
        <v>3.21</v>
      </c>
      <c r="J1058" s="9">
        <v>0.59</v>
      </c>
      <c r="K1058" s="9">
        <v>12.1</v>
      </c>
      <c r="L1058" s="9">
        <v>7</v>
      </c>
    </row>
    <row r="1059" spans="1:12" x14ac:dyDescent="0.3">
      <c r="A1059" s="9">
        <v>7.6</v>
      </c>
      <c r="B1059" s="9">
        <v>0.42</v>
      </c>
      <c r="C1059" s="9">
        <v>0.25</v>
      </c>
      <c r="D1059" s="9">
        <v>3.9</v>
      </c>
      <c r="E1059" s="9">
        <v>0.104</v>
      </c>
      <c r="F1059" s="9">
        <v>28</v>
      </c>
      <c r="G1059" s="9">
        <v>90</v>
      </c>
      <c r="H1059" s="9">
        <v>0.99783999999999995</v>
      </c>
      <c r="I1059" s="9">
        <v>3.15</v>
      </c>
      <c r="J1059" s="9">
        <v>0.56999999999999995</v>
      </c>
      <c r="K1059" s="9">
        <v>9.1</v>
      </c>
      <c r="L1059" s="9">
        <v>5</v>
      </c>
    </row>
    <row r="1060" spans="1:12" x14ac:dyDescent="0.3">
      <c r="A1060" s="9">
        <v>9.9</v>
      </c>
      <c r="B1060" s="9">
        <v>0.53</v>
      </c>
      <c r="C1060" s="9">
        <v>0.56999999999999995</v>
      </c>
      <c r="D1060" s="9">
        <v>2.4</v>
      </c>
      <c r="E1060" s="9">
        <v>9.2999999999999999E-2</v>
      </c>
      <c r="F1060" s="9">
        <v>30</v>
      </c>
      <c r="G1060" s="9">
        <v>52</v>
      </c>
      <c r="H1060" s="9">
        <v>0.99709999999999999</v>
      </c>
      <c r="I1060" s="9">
        <v>3.19</v>
      </c>
      <c r="J1060" s="9">
        <v>0.76</v>
      </c>
      <c r="K1060" s="9">
        <v>11.6</v>
      </c>
      <c r="L1060" s="9">
        <v>7</v>
      </c>
    </row>
    <row r="1061" spans="1:12" x14ac:dyDescent="0.3">
      <c r="A1061" s="9">
        <v>8.9</v>
      </c>
      <c r="B1061" s="9">
        <v>0.48</v>
      </c>
      <c r="C1061" s="9">
        <v>0.53</v>
      </c>
      <c r="D1061" s="9">
        <v>4</v>
      </c>
      <c r="E1061" s="9">
        <v>0.10100000000000001</v>
      </c>
      <c r="F1061" s="9">
        <v>3</v>
      </c>
      <c r="G1061" s="9">
        <v>10</v>
      </c>
      <c r="H1061" s="9">
        <v>0.99585999999999997</v>
      </c>
      <c r="I1061" s="9">
        <v>3.21</v>
      </c>
      <c r="J1061" s="9">
        <v>0.59</v>
      </c>
      <c r="K1061" s="9">
        <v>12.1</v>
      </c>
      <c r="L1061" s="9">
        <v>7</v>
      </c>
    </row>
    <row r="1062" spans="1:12" x14ac:dyDescent="0.3">
      <c r="A1062" s="9">
        <v>11.6</v>
      </c>
      <c r="B1062" s="9">
        <v>0.23</v>
      </c>
      <c r="C1062" s="9">
        <v>0.56999999999999995</v>
      </c>
      <c r="D1062" s="9">
        <v>1.8</v>
      </c>
      <c r="E1062" s="9">
        <v>7.3999999999999996E-2</v>
      </c>
      <c r="F1062" s="9">
        <v>3</v>
      </c>
      <c r="G1062" s="9">
        <v>8</v>
      </c>
      <c r="H1062" s="9">
        <v>0.99809999999999999</v>
      </c>
      <c r="I1062" s="9">
        <v>3.14</v>
      </c>
      <c r="J1062" s="9">
        <v>0.7</v>
      </c>
      <c r="K1062" s="9">
        <v>9.9</v>
      </c>
      <c r="L1062" s="9">
        <v>6</v>
      </c>
    </row>
    <row r="1063" spans="1:12" x14ac:dyDescent="0.3">
      <c r="A1063" s="9">
        <v>9.1</v>
      </c>
      <c r="B1063" s="9">
        <v>0.4</v>
      </c>
      <c r="C1063" s="9">
        <v>0.5</v>
      </c>
      <c r="D1063" s="9">
        <v>1.8</v>
      </c>
      <c r="E1063" s="9">
        <v>7.0999999999999994E-2</v>
      </c>
      <c r="F1063" s="9">
        <v>7</v>
      </c>
      <c r="G1063" s="9">
        <v>16</v>
      </c>
      <c r="H1063" s="9">
        <v>0.99461999999999995</v>
      </c>
      <c r="I1063" s="9">
        <v>3.21</v>
      </c>
      <c r="J1063" s="9">
        <v>0.69</v>
      </c>
      <c r="K1063" s="9">
        <v>12.5</v>
      </c>
      <c r="L1063" s="9">
        <v>8</v>
      </c>
    </row>
    <row r="1064" spans="1:12" x14ac:dyDescent="0.3">
      <c r="A1064" s="9">
        <v>8</v>
      </c>
      <c r="B1064" s="9">
        <v>0.38</v>
      </c>
      <c r="C1064" s="9">
        <v>0.44</v>
      </c>
      <c r="D1064" s="9">
        <v>1.9</v>
      </c>
      <c r="E1064" s="9">
        <v>9.8000000000000004E-2</v>
      </c>
      <c r="F1064" s="9">
        <v>6</v>
      </c>
      <c r="G1064" s="9">
        <v>15</v>
      </c>
      <c r="H1064" s="9">
        <v>0.99560000000000004</v>
      </c>
      <c r="I1064" s="9">
        <v>3.3</v>
      </c>
      <c r="J1064" s="9">
        <v>0.64</v>
      </c>
      <c r="K1064" s="9">
        <v>11.4</v>
      </c>
      <c r="L1064" s="9">
        <v>6</v>
      </c>
    </row>
    <row r="1065" spans="1:12" x14ac:dyDescent="0.3">
      <c r="A1065" s="9">
        <v>10.199999999999999</v>
      </c>
      <c r="B1065" s="9">
        <v>0.28999999999999998</v>
      </c>
      <c r="C1065" s="9">
        <v>0.65</v>
      </c>
      <c r="D1065" s="9">
        <v>2.4</v>
      </c>
      <c r="E1065" s="9">
        <v>7.4999999999999997E-2</v>
      </c>
      <c r="F1065" s="9">
        <v>6</v>
      </c>
      <c r="G1065" s="9">
        <v>17</v>
      </c>
      <c r="H1065" s="9">
        <v>0.99565000000000003</v>
      </c>
      <c r="I1065" s="9">
        <v>3.22</v>
      </c>
      <c r="J1065" s="9">
        <v>0.63</v>
      </c>
      <c r="K1065" s="9">
        <v>11.8</v>
      </c>
      <c r="L1065" s="9">
        <v>6</v>
      </c>
    </row>
    <row r="1066" spans="1:12" x14ac:dyDescent="0.3">
      <c r="A1066" s="9">
        <v>8.1999999999999993</v>
      </c>
      <c r="B1066" s="9">
        <v>0.74</v>
      </c>
      <c r="C1066" s="9">
        <v>0.09</v>
      </c>
      <c r="D1066" s="9">
        <v>2</v>
      </c>
      <c r="E1066" s="9">
        <v>6.7000000000000004E-2</v>
      </c>
      <c r="F1066" s="9">
        <v>5</v>
      </c>
      <c r="G1066" s="9">
        <v>10</v>
      </c>
      <c r="H1066" s="9">
        <v>0.99417999999999995</v>
      </c>
      <c r="I1066" s="9">
        <v>3.28</v>
      </c>
      <c r="J1066" s="9">
        <v>0.56999999999999995</v>
      </c>
      <c r="K1066" s="9">
        <v>11.8</v>
      </c>
      <c r="L1066" s="9">
        <v>6</v>
      </c>
    </row>
    <row r="1067" spans="1:12" x14ac:dyDescent="0.3">
      <c r="A1067" s="9">
        <v>7.7</v>
      </c>
      <c r="B1067" s="9">
        <v>0.61</v>
      </c>
      <c r="C1067" s="9">
        <v>0.18</v>
      </c>
      <c r="D1067" s="9">
        <v>2.4</v>
      </c>
      <c r="E1067" s="9">
        <v>8.3000000000000004E-2</v>
      </c>
      <c r="F1067" s="9">
        <v>6</v>
      </c>
      <c r="G1067" s="9">
        <v>20</v>
      </c>
      <c r="H1067" s="9">
        <v>0.99629999999999996</v>
      </c>
      <c r="I1067" s="9">
        <v>3.29</v>
      </c>
      <c r="J1067" s="9">
        <v>0.6</v>
      </c>
      <c r="K1067" s="9">
        <v>10.199999999999999</v>
      </c>
      <c r="L1067" s="9">
        <v>6</v>
      </c>
    </row>
    <row r="1068" spans="1:12" x14ac:dyDescent="0.3">
      <c r="A1068" s="9">
        <v>6.6</v>
      </c>
      <c r="B1068" s="9">
        <v>0.52</v>
      </c>
      <c r="C1068" s="9">
        <v>0.08</v>
      </c>
      <c r="D1068" s="9">
        <v>2.4</v>
      </c>
      <c r="E1068" s="9">
        <v>7.0000000000000007E-2</v>
      </c>
      <c r="F1068" s="9">
        <v>13</v>
      </c>
      <c r="G1068" s="9">
        <v>26</v>
      </c>
      <c r="H1068" s="9">
        <v>0.99358000000000002</v>
      </c>
      <c r="I1068" s="9">
        <v>3.4</v>
      </c>
      <c r="J1068" s="9">
        <v>0.72</v>
      </c>
      <c r="K1068" s="9">
        <v>12.5</v>
      </c>
      <c r="L1068" s="9">
        <v>7</v>
      </c>
    </row>
    <row r="1069" spans="1:12" x14ac:dyDescent="0.3">
      <c r="A1069" s="9">
        <v>11.1</v>
      </c>
      <c r="B1069" s="9">
        <v>0.31</v>
      </c>
      <c r="C1069" s="9">
        <v>0.53</v>
      </c>
      <c r="D1069" s="9">
        <v>2.2000000000000002</v>
      </c>
      <c r="E1069" s="9">
        <v>0.06</v>
      </c>
      <c r="F1069" s="9">
        <v>3</v>
      </c>
      <c r="G1069" s="9">
        <v>10</v>
      </c>
      <c r="H1069" s="9">
        <v>0.99572000000000005</v>
      </c>
      <c r="I1069" s="9">
        <v>3.02</v>
      </c>
      <c r="J1069" s="9">
        <v>0.83</v>
      </c>
      <c r="K1069" s="9">
        <v>10.9</v>
      </c>
      <c r="L1069" s="9">
        <v>7</v>
      </c>
    </row>
    <row r="1070" spans="1:12" x14ac:dyDescent="0.3">
      <c r="A1070" s="9">
        <v>11.1</v>
      </c>
      <c r="B1070" s="9">
        <v>0.31</v>
      </c>
      <c r="C1070" s="9">
        <v>0.53</v>
      </c>
      <c r="D1070" s="9">
        <v>2.2000000000000002</v>
      </c>
      <c r="E1070" s="9">
        <v>0.06</v>
      </c>
      <c r="F1070" s="9">
        <v>3</v>
      </c>
      <c r="G1070" s="9">
        <v>10</v>
      </c>
      <c r="H1070" s="9">
        <v>0.99572000000000005</v>
      </c>
      <c r="I1070" s="9">
        <v>3.02</v>
      </c>
      <c r="J1070" s="9">
        <v>0.83</v>
      </c>
      <c r="K1070" s="9">
        <v>10.9</v>
      </c>
      <c r="L1070" s="9">
        <v>7</v>
      </c>
    </row>
    <row r="1071" spans="1:12" x14ac:dyDescent="0.3">
      <c r="A1071" s="9">
        <v>8</v>
      </c>
      <c r="B1071" s="9">
        <v>0.62</v>
      </c>
      <c r="C1071" s="9">
        <v>0.35</v>
      </c>
      <c r="D1071" s="9">
        <v>2.8</v>
      </c>
      <c r="E1071" s="9">
        <v>8.5999999999999993E-2</v>
      </c>
      <c r="F1071" s="9">
        <v>28</v>
      </c>
      <c r="G1071" s="9">
        <v>52</v>
      </c>
      <c r="H1071" s="9">
        <v>0.997</v>
      </c>
      <c r="I1071" s="9">
        <v>3.31</v>
      </c>
      <c r="J1071" s="9">
        <v>0.62</v>
      </c>
      <c r="K1071" s="9">
        <v>10.8</v>
      </c>
      <c r="L1071" s="9">
        <v>5</v>
      </c>
    </row>
    <row r="1072" spans="1:12" x14ac:dyDescent="0.3">
      <c r="A1072" s="9">
        <v>9.3000000000000007</v>
      </c>
      <c r="B1072" s="9">
        <v>0.33</v>
      </c>
      <c r="C1072" s="9">
        <v>0.45</v>
      </c>
      <c r="D1072" s="9">
        <v>1.5</v>
      </c>
      <c r="E1072" s="9">
        <v>5.7000000000000002E-2</v>
      </c>
      <c r="F1072" s="9">
        <v>19</v>
      </c>
      <c r="G1072" s="9">
        <v>37</v>
      </c>
      <c r="H1072" s="9">
        <v>0.99497999999999998</v>
      </c>
      <c r="I1072" s="9">
        <v>3.18</v>
      </c>
      <c r="J1072" s="9">
        <v>0.89</v>
      </c>
      <c r="K1072" s="9">
        <v>11.1</v>
      </c>
      <c r="L1072" s="9">
        <v>7</v>
      </c>
    </row>
    <row r="1073" spans="1:12" x14ac:dyDescent="0.3">
      <c r="A1073" s="9">
        <v>7.5</v>
      </c>
      <c r="B1073" s="9">
        <v>0.77</v>
      </c>
      <c r="C1073" s="9">
        <v>0.2</v>
      </c>
      <c r="D1073" s="9">
        <v>8.1</v>
      </c>
      <c r="E1073" s="9">
        <v>9.8000000000000004E-2</v>
      </c>
      <c r="F1073" s="9">
        <v>30</v>
      </c>
      <c r="G1073" s="9">
        <v>92</v>
      </c>
      <c r="H1073" s="9">
        <v>0.99892000000000003</v>
      </c>
      <c r="I1073" s="9">
        <v>3.2</v>
      </c>
      <c r="J1073" s="9">
        <v>0.57999999999999996</v>
      </c>
      <c r="K1073" s="9">
        <v>9.1999999999999993</v>
      </c>
      <c r="L1073" s="9">
        <v>5</v>
      </c>
    </row>
    <row r="1074" spans="1:12" x14ac:dyDescent="0.3">
      <c r="A1074" s="9">
        <v>7.2</v>
      </c>
      <c r="B1074" s="9">
        <v>0.35</v>
      </c>
      <c r="C1074" s="9">
        <v>0.26</v>
      </c>
      <c r="D1074" s="9">
        <v>1.8</v>
      </c>
      <c r="E1074" s="9">
        <v>8.3000000000000004E-2</v>
      </c>
      <c r="F1074" s="9">
        <v>33</v>
      </c>
      <c r="G1074" s="9">
        <v>75</v>
      </c>
      <c r="H1074" s="9">
        <v>0.99680000000000002</v>
      </c>
      <c r="I1074" s="9">
        <v>3.4</v>
      </c>
      <c r="J1074" s="9">
        <v>0.57999999999999996</v>
      </c>
      <c r="K1074" s="9">
        <v>9.5</v>
      </c>
      <c r="L1074" s="9">
        <v>6</v>
      </c>
    </row>
    <row r="1075" spans="1:12" x14ac:dyDescent="0.3">
      <c r="A1075" s="9">
        <v>8</v>
      </c>
      <c r="B1075" s="9">
        <v>0.62</v>
      </c>
      <c r="C1075" s="9">
        <v>0.33</v>
      </c>
      <c r="D1075" s="9">
        <v>2.7</v>
      </c>
      <c r="E1075" s="9">
        <v>8.7999999999999995E-2</v>
      </c>
      <c r="F1075" s="9">
        <v>16</v>
      </c>
      <c r="G1075" s="9">
        <v>37</v>
      </c>
      <c r="H1075" s="9">
        <v>0.99719999999999998</v>
      </c>
      <c r="I1075" s="9">
        <v>3.31</v>
      </c>
      <c r="J1075" s="9">
        <v>0.57999999999999996</v>
      </c>
      <c r="K1075" s="9">
        <v>10.7</v>
      </c>
      <c r="L1075" s="9">
        <v>6</v>
      </c>
    </row>
    <row r="1076" spans="1:12" x14ac:dyDescent="0.3">
      <c r="A1076" s="9">
        <v>7.5</v>
      </c>
      <c r="B1076" s="9">
        <v>0.77</v>
      </c>
      <c r="C1076" s="9">
        <v>0.2</v>
      </c>
      <c r="D1076" s="9">
        <v>8.1</v>
      </c>
      <c r="E1076" s="9">
        <v>9.8000000000000004E-2</v>
      </c>
      <c r="F1076" s="9">
        <v>30</v>
      </c>
      <c r="G1076" s="9">
        <v>92</v>
      </c>
      <c r="H1076" s="9">
        <v>0.99892000000000003</v>
      </c>
      <c r="I1076" s="9">
        <v>3.2</v>
      </c>
      <c r="J1076" s="9">
        <v>0.57999999999999996</v>
      </c>
      <c r="K1076" s="9">
        <v>9.1999999999999993</v>
      </c>
      <c r="L1076" s="9">
        <v>5</v>
      </c>
    </row>
    <row r="1077" spans="1:12" x14ac:dyDescent="0.3">
      <c r="A1077" s="9">
        <v>9.1</v>
      </c>
      <c r="B1077" s="9">
        <v>0.25</v>
      </c>
      <c r="C1077" s="9">
        <v>0.34</v>
      </c>
      <c r="D1077" s="9">
        <v>2</v>
      </c>
      <c r="E1077" s="9">
        <v>7.0999999999999994E-2</v>
      </c>
      <c r="F1077" s="9">
        <v>45</v>
      </c>
      <c r="G1077" s="9">
        <v>67</v>
      </c>
      <c r="H1077" s="9">
        <v>0.99768999999999997</v>
      </c>
      <c r="I1077" s="9">
        <v>3.44</v>
      </c>
      <c r="J1077" s="9">
        <v>0.86</v>
      </c>
      <c r="K1077" s="9">
        <v>10.199999999999999</v>
      </c>
      <c r="L1077" s="9">
        <v>7</v>
      </c>
    </row>
    <row r="1078" spans="1:12" x14ac:dyDescent="0.3">
      <c r="A1078" s="9">
        <v>9.9</v>
      </c>
      <c r="B1078" s="9">
        <v>0.32</v>
      </c>
      <c r="C1078" s="9">
        <v>0.56000000000000005</v>
      </c>
      <c r="D1078" s="9">
        <v>2</v>
      </c>
      <c r="E1078" s="9">
        <v>7.2999999999999995E-2</v>
      </c>
      <c r="F1078" s="9">
        <v>3</v>
      </c>
      <c r="G1078" s="9">
        <v>8</v>
      </c>
      <c r="H1078" s="9">
        <v>0.99534</v>
      </c>
      <c r="I1078" s="9">
        <v>3.15</v>
      </c>
      <c r="J1078" s="9">
        <v>0.73</v>
      </c>
      <c r="K1078" s="9">
        <v>11.4</v>
      </c>
      <c r="L1078" s="9">
        <v>6</v>
      </c>
    </row>
    <row r="1079" spans="1:12" x14ac:dyDescent="0.3">
      <c r="A1079" s="9">
        <v>8.6</v>
      </c>
      <c r="B1079" s="9">
        <v>0.37</v>
      </c>
      <c r="C1079" s="9">
        <v>0.65</v>
      </c>
      <c r="D1079" s="9">
        <v>6.4</v>
      </c>
      <c r="E1079" s="9">
        <v>0.08</v>
      </c>
      <c r="F1079" s="9">
        <v>3</v>
      </c>
      <c r="G1079" s="9">
        <v>8</v>
      </c>
      <c r="H1079" s="9">
        <v>0.99817</v>
      </c>
      <c r="I1079" s="9">
        <v>3.27</v>
      </c>
      <c r="J1079" s="9">
        <v>0.57999999999999996</v>
      </c>
      <c r="K1079" s="9">
        <v>11</v>
      </c>
      <c r="L1079" s="9">
        <v>5</v>
      </c>
    </row>
    <row r="1080" spans="1:12" x14ac:dyDescent="0.3">
      <c r="A1080" s="9">
        <v>8.6</v>
      </c>
      <c r="B1080" s="9">
        <v>0.37</v>
      </c>
      <c r="C1080" s="9">
        <v>0.65</v>
      </c>
      <c r="D1080" s="9">
        <v>6.4</v>
      </c>
      <c r="E1080" s="9">
        <v>0.08</v>
      </c>
      <c r="F1080" s="9">
        <v>3</v>
      </c>
      <c r="G1080" s="9">
        <v>8</v>
      </c>
      <c r="H1080" s="9">
        <v>0.99817</v>
      </c>
      <c r="I1080" s="9">
        <v>3.27</v>
      </c>
      <c r="J1080" s="9">
        <v>0.57999999999999996</v>
      </c>
      <c r="K1080" s="9">
        <v>11</v>
      </c>
      <c r="L1080" s="9">
        <v>5</v>
      </c>
    </row>
    <row r="1081" spans="1:12" x14ac:dyDescent="0.3">
      <c r="A1081" s="9">
        <v>7.9</v>
      </c>
      <c r="B1081" s="9">
        <v>0.3</v>
      </c>
      <c r="C1081" s="9">
        <v>0.68</v>
      </c>
      <c r="D1081" s="9">
        <v>8.3000000000000007</v>
      </c>
      <c r="E1081" s="9">
        <v>0.05</v>
      </c>
      <c r="F1081" s="9">
        <v>37.5</v>
      </c>
      <c r="G1081" s="9">
        <v>278</v>
      </c>
      <c r="H1081" s="9">
        <v>0.99316000000000004</v>
      </c>
      <c r="I1081" s="9">
        <v>3.01</v>
      </c>
      <c r="J1081" s="9">
        <v>0.51</v>
      </c>
      <c r="K1081" s="9">
        <v>12.3</v>
      </c>
      <c r="L1081" s="9">
        <v>7</v>
      </c>
    </row>
    <row r="1082" spans="1:12" x14ac:dyDescent="0.3">
      <c r="A1082" s="9">
        <v>10.3</v>
      </c>
      <c r="B1082" s="9">
        <v>0.27</v>
      </c>
      <c r="C1082" s="9">
        <v>0.56000000000000005</v>
      </c>
      <c r="D1082" s="9">
        <v>1.4</v>
      </c>
      <c r="E1082" s="9">
        <v>4.7E-2</v>
      </c>
      <c r="F1082" s="9">
        <v>3</v>
      </c>
      <c r="G1082" s="9">
        <v>8</v>
      </c>
      <c r="H1082" s="9">
        <v>0.99470999999999998</v>
      </c>
      <c r="I1082" s="9">
        <v>3.16</v>
      </c>
      <c r="J1082" s="9">
        <v>0.51</v>
      </c>
      <c r="K1082" s="9">
        <v>11.8</v>
      </c>
      <c r="L1082" s="9">
        <v>6</v>
      </c>
    </row>
    <row r="1083" spans="1:12" x14ac:dyDescent="0.3">
      <c r="A1083" s="9">
        <v>7.9</v>
      </c>
      <c r="B1083" s="9">
        <v>0.3</v>
      </c>
      <c r="C1083" s="9">
        <v>0.68</v>
      </c>
      <c r="D1083" s="9">
        <v>8.3000000000000007</v>
      </c>
      <c r="E1083" s="9">
        <v>0.05</v>
      </c>
      <c r="F1083" s="9">
        <v>37.5</v>
      </c>
      <c r="G1083" s="9">
        <v>289</v>
      </c>
      <c r="H1083" s="9">
        <v>0.99316000000000004</v>
      </c>
      <c r="I1083" s="9">
        <v>3.01</v>
      </c>
      <c r="J1083" s="9">
        <v>0.51</v>
      </c>
      <c r="K1083" s="9">
        <v>12.3</v>
      </c>
      <c r="L1083" s="9">
        <v>7</v>
      </c>
    </row>
    <row r="1084" spans="1:12" x14ac:dyDescent="0.3">
      <c r="A1084" s="9">
        <v>7.2</v>
      </c>
      <c r="B1084" s="9">
        <v>0.38</v>
      </c>
      <c r="C1084" s="9">
        <v>0.3</v>
      </c>
      <c r="D1084" s="9">
        <v>1.8</v>
      </c>
      <c r="E1084" s="9">
        <v>7.2999999999999995E-2</v>
      </c>
      <c r="F1084" s="9">
        <v>31</v>
      </c>
      <c r="G1084" s="9">
        <v>70</v>
      </c>
      <c r="H1084" s="9">
        <v>0.99685000000000001</v>
      </c>
      <c r="I1084" s="9">
        <v>3.42</v>
      </c>
      <c r="J1084" s="9">
        <v>0.59</v>
      </c>
      <c r="K1084" s="9">
        <v>9.5</v>
      </c>
      <c r="L1084" s="9">
        <v>6</v>
      </c>
    </row>
    <row r="1085" spans="1:12" x14ac:dyDescent="0.3">
      <c r="A1085" s="9">
        <v>8.6999999999999993</v>
      </c>
      <c r="B1085" s="9">
        <v>0.42</v>
      </c>
      <c r="C1085" s="9">
        <v>0.45</v>
      </c>
      <c r="D1085" s="9">
        <v>2.4</v>
      </c>
      <c r="E1085" s="9">
        <v>7.1999999999999995E-2</v>
      </c>
      <c r="F1085" s="9">
        <v>32</v>
      </c>
      <c r="G1085" s="9">
        <v>59</v>
      </c>
      <c r="H1085" s="9">
        <v>0.99617</v>
      </c>
      <c r="I1085" s="9">
        <v>3.33</v>
      </c>
      <c r="J1085" s="9">
        <v>0.77</v>
      </c>
      <c r="K1085" s="9">
        <v>12</v>
      </c>
      <c r="L1085" s="9">
        <v>6</v>
      </c>
    </row>
    <row r="1086" spans="1:12" x14ac:dyDescent="0.3">
      <c r="A1086" s="9">
        <v>7.2</v>
      </c>
      <c r="B1086" s="9">
        <v>0.38</v>
      </c>
      <c r="C1086" s="9">
        <v>0.3</v>
      </c>
      <c r="D1086" s="9">
        <v>1.8</v>
      </c>
      <c r="E1086" s="9">
        <v>7.2999999999999995E-2</v>
      </c>
      <c r="F1086" s="9">
        <v>31</v>
      </c>
      <c r="G1086" s="9">
        <v>70</v>
      </c>
      <c r="H1086" s="9">
        <v>0.99685000000000001</v>
      </c>
      <c r="I1086" s="9">
        <v>3.42</v>
      </c>
      <c r="J1086" s="9">
        <v>0.59</v>
      </c>
      <c r="K1086" s="9">
        <v>9.5</v>
      </c>
      <c r="L1086" s="9">
        <v>6</v>
      </c>
    </row>
    <row r="1087" spans="1:12" x14ac:dyDescent="0.3">
      <c r="A1087" s="9">
        <v>6.8</v>
      </c>
      <c r="B1087" s="9">
        <v>0.48</v>
      </c>
      <c r="C1087" s="9">
        <v>0.08</v>
      </c>
      <c r="D1087" s="9">
        <v>1.8</v>
      </c>
      <c r="E1087" s="9">
        <v>7.3999999999999996E-2</v>
      </c>
      <c r="F1087" s="9">
        <v>40</v>
      </c>
      <c r="G1087" s="9">
        <v>64</v>
      </c>
      <c r="H1087" s="9">
        <v>0.99529000000000001</v>
      </c>
      <c r="I1087" s="9">
        <v>3.12</v>
      </c>
      <c r="J1087" s="9">
        <v>0.49</v>
      </c>
      <c r="K1087" s="9">
        <v>9.6</v>
      </c>
      <c r="L1087" s="9">
        <v>5</v>
      </c>
    </row>
    <row r="1088" spans="1:12" x14ac:dyDescent="0.3">
      <c r="A1088" s="9">
        <v>8.5</v>
      </c>
      <c r="B1088" s="9">
        <v>0.34</v>
      </c>
      <c r="C1088" s="9">
        <v>0.4</v>
      </c>
      <c r="D1088" s="9">
        <v>4.7</v>
      </c>
      <c r="E1088" s="9">
        <v>5.5E-2</v>
      </c>
      <c r="F1088" s="9">
        <v>3</v>
      </c>
      <c r="G1088" s="9">
        <v>9</v>
      </c>
      <c r="H1088" s="9">
        <v>0.99738000000000004</v>
      </c>
      <c r="I1088" s="9">
        <v>3.38</v>
      </c>
      <c r="J1088" s="9">
        <v>0.66</v>
      </c>
      <c r="K1088" s="9">
        <v>11.6</v>
      </c>
      <c r="L1088" s="9">
        <v>7</v>
      </c>
    </row>
    <row r="1089" spans="1:12" x14ac:dyDescent="0.3">
      <c r="A1089" s="9">
        <v>7.9</v>
      </c>
      <c r="B1089" s="9">
        <v>0.19</v>
      </c>
      <c r="C1089" s="9">
        <v>0.42</v>
      </c>
      <c r="D1089" s="9">
        <v>1.6</v>
      </c>
      <c r="E1089" s="9">
        <v>5.7000000000000002E-2</v>
      </c>
      <c r="F1089" s="9">
        <v>18</v>
      </c>
      <c r="G1089" s="9">
        <v>30</v>
      </c>
      <c r="H1089" s="9">
        <v>0.99399999999999999</v>
      </c>
      <c r="I1089" s="9">
        <v>3.29</v>
      </c>
      <c r="J1089" s="9">
        <v>0.69</v>
      </c>
      <c r="K1089" s="9">
        <v>11.2</v>
      </c>
      <c r="L1089" s="9">
        <v>6</v>
      </c>
    </row>
    <row r="1090" spans="1:12" x14ac:dyDescent="0.3">
      <c r="A1090" s="9">
        <v>11.6</v>
      </c>
      <c r="B1090" s="9">
        <v>0.41</v>
      </c>
      <c r="C1090" s="9">
        <v>0.54</v>
      </c>
      <c r="D1090" s="9">
        <v>1.5</v>
      </c>
      <c r="E1090" s="9">
        <v>9.5000000000000001E-2</v>
      </c>
      <c r="F1090" s="9">
        <v>22</v>
      </c>
      <c r="G1090" s="9">
        <v>41</v>
      </c>
      <c r="H1090" s="9">
        <v>0.99734999999999996</v>
      </c>
      <c r="I1090" s="9">
        <v>3.02</v>
      </c>
      <c r="J1090" s="9">
        <v>0.76</v>
      </c>
      <c r="K1090" s="9">
        <v>9.9</v>
      </c>
      <c r="L1090" s="9">
        <v>7</v>
      </c>
    </row>
    <row r="1091" spans="1:12" x14ac:dyDescent="0.3">
      <c r="A1091" s="9">
        <v>11.6</v>
      </c>
      <c r="B1091" s="9">
        <v>0.41</v>
      </c>
      <c r="C1091" s="9">
        <v>0.54</v>
      </c>
      <c r="D1091" s="9">
        <v>1.5</v>
      </c>
      <c r="E1091" s="9">
        <v>9.5000000000000001E-2</v>
      </c>
      <c r="F1091" s="9">
        <v>22</v>
      </c>
      <c r="G1091" s="9">
        <v>41</v>
      </c>
      <c r="H1091" s="9">
        <v>0.99734999999999996</v>
      </c>
      <c r="I1091" s="9">
        <v>3.02</v>
      </c>
      <c r="J1091" s="9">
        <v>0.76</v>
      </c>
      <c r="K1091" s="9">
        <v>9.9</v>
      </c>
      <c r="L1091" s="9">
        <v>7</v>
      </c>
    </row>
    <row r="1092" spans="1:12" x14ac:dyDescent="0.3">
      <c r="A1092" s="9">
        <v>10</v>
      </c>
      <c r="B1092" s="9">
        <v>0.26</v>
      </c>
      <c r="C1092" s="9">
        <v>0.54</v>
      </c>
      <c r="D1092" s="9">
        <v>1.9</v>
      </c>
      <c r="E1092" s="9">
        <v>8.3000000000000004E-2</v>
      </c>
      <c r="F1092" s="9">
        <v>42</v>
      </c>
      <c r="G1092" s="9">
        <v>74</v>
      </c>
      <c r="H1092" s="9">
        <v>0.99451000000000001</v>
      </c>
      <c r="I1092" s="9">
        <v>2.98</v>
      </c>
      <c r="J1092" s="9">
        <v>0.63</v>
      </c>
      <c r="K1092" s="9">
        <v>11.8</v>
      </c>
      <c r="L1092" s="9">
        <v>8</v>
      </c>
    </row>
    <row r="1093" spans="1:12" x14ac:dyDescent="0.3">
      <c r="A1093" s="9">
        <v>7.9</v>
      </c>
      <c r="B1093" s="9">
        <v>0.34</v>
      </c>
      <c r="C1093" s="9">
        <v>0.42</v>
      </c>
      <c r="D1093" s="9">
        <v>2</v>
      </c>
      <c r="E1093" s="9">
        <v>8.5999999999999993E-2</v>
      </c>
      <c r="F1093" s="9">
        <v>8</v>
      </c>
      <c r="G1093" s="9">
        <v>19</v>
      </c>
      <c r="H1093" s="9">
        <v>0.99546000000000001</v>
      </c>
      <c r="I1093" s="9">
        <v>3.35</v>
      </c>
      <c r="J1093" s="9">
        <v>0.6</v>
      </c>
      <c r="K1093" s="9">
        <v>11.4</v>
      </c>
      <c r="L1093" s="9">
        <v>6</v>
      </c>
    </row>
    <row r="1094" spans="1:12" x14ac:dyDescent="0.3">
      <c r="A1094" s="9">
        <v>7</v>
      </c>
      <c r="B1094" s="9">
        <v>0.54</v>
      </c>
      <c r="C1094" s="9">
        <v>0.09</v>
      </c>
      <c r="D1094" s="9">
        <v>2</v>
      </c>
      <c r="E1094" s="9">
        <v>8.1000000000000003E-2</v>
      </c>
      <c r="F1094" s="9">
        <v>10</v>
      </c>
      <c r="G1094" s="9">
        <v>16</v>
      </c>
      <c r="H1094" s="9">
        <v>0.99478999999999995</v>
      </c>
      <c r="I1094" s="9">
        <v>3.43</v>
      </c>
      <c r="J1094" s="9">
        <v>0.59</v>
      </c>
      <c r="K1094" s="9">
        <v>11.5</v>
      </c>
      <c r="L1094" s="9">
        <v>6</v>
      </c>
    </row>
    <row r="1095" spans="1:12" x14ac:dyDescent="0.3">
      <c r="A1095" s="9">
        <v>9.1999999999999993</v>
      </c>
      <c r="B1095" s="9">
        <v>0.31</v>
      </c>
      <c r="C1095" s="9">
        <v>0.36</v>
      </c>
      <c r="D1095" s="9">
        <v>2.2000000000000002</v>
      </c>
      <c r="E1095" s="9">
        <v>7.9000000000000001E-2</v>
      </c>
      <c r="F1095" s="9">
        <v>11</v>
      </c>
      <c r="G1095" s="9">
        <v>31</v>
      </c>
      <c r="H1095" s="9">
        <v>0.99614999999999998</v>
      </c>
      <c r="I1095" s="9">
        <v>3.33</v>
      </c>
      <c r="J1095" s="9">
        <v>0.86</v>
      </c>
      <c r="K1095" s="9">
        <v>12</v>
      </c>
      <c r="L1095" s="9">
        <v>7</v>
      </c>
    </row>
    <row r="1096" spans="1:12" x14ac:dyDescent="0.3">
      <c r="A1096" s="9">
        <v>6.6</v>
      </c>
      <c r="B1096" s="9">
        <v>0.72499999999999998</v>
      </c>
      <c r="C1096" s="9">
        <v>0.09</v>
      </c>
      <c r="D1096" s="9">
        <v>5.5</v>
      </c>
      <c r="E1096" s="9">
        <v>0.11700000000000001</v>
      </c>
      <c r="F1096" s="9">
        <v>9</v>
      </c>
      <c r="G1096" s="9">
        <v>17</v>
      </c>
      <c r="H1096" s="9">
        <v>0.99655000000000005</v>
      </c>
      <c r="I1096" s="9">
        <v>3.35</v>
      </c>
      <c r="J1096" s="9">
        <v>0.49</v>
      </c>
      <c r="K1096" s="9">
        <v>10.8</v>
      </c>
      <c r="L1096" s="9">
        <v>6</v>
      </c>
    </row>
    <row r="1097" spans="1:12" x14ac:dyDescent="0.3">
      <c r="A1097" s="9">
        <v>9.4</v>
      </c>
      <c r="B1097" s="9">
        <v>0.4</v>
      </c>
      <c r="C1097" s="9">
        <v>0.47</v>
      </c>
      <c r="D1097" s="9">
        <v>2.5</v>
      </c>
      <c r="E1097" s="9">
        <v>8.6999999999999994E-2</v>
      </c>
      <c r="F1097" s="9">
        <v>6</v>
      </c>
      <c r="G1097" s="9">
        <v>20</v>
      </c>
      <c r="H1097" s="9">
        <v>0.99772000000000005</v>
      </c>
      <c r="I1097" s="9">
        <v>3.15</v>
      </c>
      <c r="J1097" s="9">
        <v>0.5</v>
      </c>
      <c r="K1097" s="9">
        <v>10.5</v>
      </c>
      <c r="L1097" s="9">
        <v>5</v>
      </c>
    </row>
    <row r="1098" spans="1:12" x14ac:dyDescent="0.3">
      <c r="A1098" s="9">
        <v>6.6</v>
      </c>
      <c r="B1098" s="9">
        <v>0.72499999999999998</v>
      </c>
      <c r="C1098" s="9">
        <v>0.09</v>
      </c>
      <c r="D1098" s="9">
        <v>5.5</v>
      </c>
      <c r="E1098" s="9">
        <v>0.11700000000000001</v>
      </c>
      <c r="F1098" s="9">
        <v>9</v>
      </c>
      <c r="G1098" s="9">
        <v>17</v>
      </c>
      <c r="H1098" s="9">
        <v>0.99655000000000005</v>
      </c>
      <c r="I1098" s="9">
        <v>3.35</v>
      </c>
      <c r="J1098" s="9">
        <v>0.49</v>
      </c>
      <c r="K1098" s="9">
        <v>10.8</v>
      </c>
      <c r="L1098" s="9">
        <v>6</v>
      </c>
    </row>
    <row r="1099" spans="1:12" x14ac:dyDescent="0.3">
      <c r="A1099" s="9">
        <v>8.6</v>
      </c>
      <c r="B1099" s="9">
        <v>0.52</v>
      </c>
      <c r="C1099" s="9">
        <v>0.38</v>
      </c>
      <c r="D1099" s="9">
        <v>1.5</v>
      </c>
      <c r="E1099" s="9">
        <v>9.6000000000000002E-2</v>
      </c>
      <c r="F1099" s="9">
        <v>5</v>
      </c>
      <c r="G1099" s="9">
        <v>18</v>
      </c>
      <c r="H1099" s="9">
        <v>0.99665999999999999</v>
      </c>
      <c r="I1099" s="9">
        <v>3.2</v>
      </c>
      <c r="J1099" s="9">
        <v>0.52</v>
      </c>
      <c r="K1099" s="9">
        <v>9.4</v>
      </c>
      <c r="L1099" s="9">
        <v>5</v>
      </c>
    </row>
    <row r="1100" spans="1:12" x14ac:dyDescent="0.3">
      <c r="A1100" s="9">
        <v>8</v>
      </c>
      <c r="B1100" s="9">
        <v>0.31</v>
      </c>
      <c r="C1100" s="9">
        <v>0.45</v>
      </c>
      <c r="D1100" s="9">
        <v>2.1</v>
      </c>
      <c r="E1100" s="9">
        <v>0.216</v>
      </c>
      <c r="F1100" s="9">
        <v>5</v>
      </c>
      <c r="G1100" s="9">
        <v>16</v>
      </c>
      <c r="H1100" s="9">
        <v>0.99358000000000002</v>
      </c>
      <c r="I1100" s="9">
        <v>3.15</v>
      </c>
      <c r="J1100" s="9">
        <v>0.81</v>
      </c>
      <c r="K1100" s="9">
        <v>12.5</v>
      </c>
      <c r="L1100" s="9">
        <v>7</v>
      </c>
    </row>
    <row r="1101" spans="1:12" x14ac:dyDescent="0.3">
      <c r="A1101" s="9">
        <v>8.6</v>
      </c>
      <c r="B1101" s="9">
        <v>0.52</v>
      </c>
      <c r="C1101" s="9">
        <v>0.38</v>
      </c>
      <c r="D1101" s="9">
        <v>1.5</v>
      </c>
      <c r="E1101" s="9">
        <v>9.6000000000000002E-2</v>
      </c>
      <c r="F1101" s="9">
        <v>5</v>
      </c>
      <c r="G1101" s="9">
        <v>18</v>
      </c>
      <c r="H1101" s="9">
        <v>0.99665999999999999</v>
      </c>
      <c r="I1101" s="9">
        <v>3.2</v>
      </c>
      <c r="J1101" s="9">
        <v>0.52</v>
      </c>
      <c r="K1101" s="9">
        <v>9.4</v>
      </c>
      <c r="L1101" s="9">
        <v>5</v>
      </c>
    </row>
    <row r="1102" spans="1:12" x14ac:dyDescent="0.3">
      <c r="A1102" s="9">
        <v>8.4</v>
      </c>
      <c r="B1102" s="9">
        <v>0.34</v>
      </c>
      <c r="C1102" s="9">
        <v>0.42</v>
      </c>
      <c r="D1102" s="9">
        <v>2.1</v>
      </c>
      <c r="E1102" s="9">
        <v>7.1999999999999995E-2</v>
      </c>
      <c r="F1102" s="9">
        <v>23</v>
      </c>
      <c r="G1102" s="9">
        <v>36</v>
      </c>
      <c r="H1102" s="9">
        <v>0.99392000000000003</v>
      </c>
      <c r="I1102" s="9">
        <v>3.11</v>
      </c>
      <c r="J1102" s="9">
        <v>0.78</v>
      </c>
      <c r="K1102" s="9">
        <v>12.4</v>
      </c>
      <c r="L1102" s="9">
        <v>6</v>
      </c>
    </row>
    <row r="1103" spans="1:12" x14ac:dyDescent="0.3">
      <c r="A1103" s="9">
        <v>7.4</v>
      </c>
      <c r="B1103" s="9">
        <v>0.49</v>
      </c>
      <c r="C1103" s="9">
        <v>0.27</v>
      </c>
      <c r="D1103" s="9">
        <v>2.1</v>
      </c>
      <c r="E1103" s="9">
        <v>7.0999999999999994E-2</v>
      </c>
      <c r="F1103" s="9">
        <v>14</v>
      </c>
      <c r="G1103" s="9">
        <v>25</v>
      </c>
      <c r="H1103" s="9">
        <v>0.99387999999999999</v>
      </c>
      <c r="I1103" s="9">
        <v>3.35</v>
      </c>
      <c r="J1103" s="9">
        <v>0.63</v>
      </c>
      <c r="K1103" s="9">
        <v>12</v>
      </c>
      <c r="L1103" s="9">
        <v>6</v>
      </c>
    </row>
    <row r="1104" spans="1:12" x14ac:dyDescent="0.3">
      <c r="A1104" s="9">
        <v>6.1</v>
      </c>
      <c r="B1104" s="9">
        <v>0.48</v>
      </c>
      <c r="C1104" s="9">
        <v>0.09</v>
      </c>
      <c r="D1104" s="9">
        <v>1.7</v>
      </c>
      <c r="E1104" s="9">
        <v>7.8E-2</v>
      </c>
      <c r="F1104" s="9">
        <v>18</v>
      </c>
      <c r="G1104" s="9">
        <v>30</v>
      </c>
      <c r="H1104" s="9">
        <v>0.99402000000000001</v>
      </c>
      <c r="I1104" s="9">
        <v>3.45</v>
      </c>
      <c r="J1104" s="9">
        <v>0.54</v>
      </c>
      <c r="K1104" s="9">
        <v>11.2</v>
      </c>
      <c r="L1104" s="9">
        <v>6</v>
      </c>
    </row>
    <row r="1105" spans="1:12" x14ac:dyDescent="0.3">
      <c r="A1105" s="9">
        <v>7.4</v>
      </c>
      <c r="B1105" s="9">
        <v>0.49</v>
      </c>
      <c r="C1105" s="9">
        <v>0.27</v>
      </c>
      <c r="D1105" s="9">
        <v>2.1</v>
      </c>
      <c r="E1105" s="9">
        <v>7.0999999999999994E-2</v>
      </c>
      <c r="F1105" s="9">
        <v>14</v>
      </c>
      <c r="G1105" s="9">
        <v>25</v>
      </c>
      <c r="H1105" s="9">
        <v>0.99387999999999999</v>
      </c>
      <c r="I1105" s="9">
        <v>3.35</v>
      </c>
      <c r="J1105" s="9">
        <v>0.63</v>
      </c>
      <c r="K1105" s="9">
        <v>12</v>
      </c>
      <c r="L1105" s="9">
        <v>6</v>
      </c>
    </row>
    <row r="1106" spans="1:12" x14ac:dyDescent="0.3">
      <c r="A1106" s="9">
        <v>8</v>
      </c>
      <c r="B1106" s="9">
        <v>0.48</v>
      </c>
      <c r="C1106" s="9">
        <v>0.34</v>
      </c>
      <c r="D1106" s="9">
        <v>2.2000000000000002</v>
      </c>
      <c r="E1106" s="9">
        <v>7.2999999999999995E-2</v>
      </c>
      <c r="F1106" s="9">
        <v>16</v>
      </c>
      <c r="G1106" s="9">
        <v>25</v>
      </c>
      <c r="H1106" s="9">
        <v>0.99360000000000004</v>
      </c>
      <c r="I1106" s="9">
        <v>3.28</v>
      </c>
      <c r="J1106" s="9">
        <v>0.66</v>
      </c>
      <c r="K1106" s="9">
        <v>12.4</v>
      </c>
      <c r="L1106" s="9">
        <v>6</v>
      </c>
    </row>
    <row r="1107" spans="1:12" x14ac:dyDescent="0.3">
      <c r="A1107" s="9">
        <v>6.3</v>
      </c>
      <c r="B1107" s="9">
        <v>0.56999999999999995</v>
      </c>
      <c r="C1107" s="9">
        <v>0.28000000000000003</v>
      </c>
      <c r="D1107" s="9">
        <v>2.1</v>
      </c>
      <c r="E1107" s="9">
        <v>4.8000000000000001E-2</v>
      </c>
      <c r="F1107" s="9">
        <v>13</v>
      </c>
      <c r="G1107" s="9">
        <v>49</v>
      </c>
      <c r="H1107" s="9">
        <v>0.99373999999999996</v>
      </c>
      <c r="I1107" s="9">
        <v>3.41</v>
      </c>
      <c r="J1107" s="9">
        <v>0.6</v>
      </c>
      <c r="K1107" s="9">
        <v>12.8</v>
      </c>
      <c r="L1107" s="9">
        <v>5</v>
      </c>
    </row>
    <row r="1108" spans="1:12" x14ac:dyDescent="0.3">
      <c r="A1108" s="9">
        <v>8.1999999999999993</v>
      </c>
      <c r="B1108" s="9">
        <v>0.23</v>
      </c>
      <c r="C1108" s="9">
        <v>0.42</v>
      </c>
      <c r="D1108" s="9">
        <v>1.9</v>
      </c>
      <c r="E1108" s="9">
        <v>6.9000000000000006E-2</v>
      </c>
      <c r="F1108" s="9">
        <v>9</v>
      </c>
      <c r="G1108" s="9">
        <v>17</v>
      </c>
      <c r="H1108" s="9">
        <v>0.99375999999999998</v>
      </c>
      <c r="I1108" s="9">
        <v>3.21</v>
      </c>
      <c r="J1108" s="9">
        <v>0.54</v>
      </c>
      <c r="K1108" s="9">
        <v>12.3</v>
      </c>
      <c r="L1108" s="9">
        <v>6</v>
      </c>
    </row>
    <row r="1109" spans="1:12" x14ac:dyDescent="0.3">
      <c r="A1109" s="9">
        <v>9.1</v>
      </c>
      <c r="B1109" s="9">
        <v>0.3</v>
      </c>
      <c r="C1109" s="9">
        <v>0.41</v>
      </c>
      <c r="D1109" s="9">
        <v>2</v>
      </c>
      <c r="E1109" s="9">
        <v>6.8000000000000005E-2</v>
      </c>
      <c r="F1109" s="9">
        <v>10</v>
      </c>
      <c r="G1109" s="9">
        <v>24</v>
      </c>
      <c r="H1109" s="9">
        <v>0.99522999999999995</v>
      </c>
      <c r="I1109" s="9">
        <v>3.27</v>
      </c>
      <c r="J1109" s="9">
        <v>0.85</v>
      </c>
      <c r="K1109" s="9">
        <v>11.7</v>
      </c>
      <c r="L1109" s="9">
        <v>7</v>
      </c>
    </row>
    <row r="1110" spans="1:12" x14ac:dyDescent="0.3">
      <c r="A1110" s="9">
        <v>8.1</v>
      </c>
      <c r="B1110" s="9">
        <v>0.78</v>
      </c>
      <c r="C1110" s="9">
        <v>0.1</v>
      </c>
      <c r="D1110" s="9">
        <v>3.3</v>
      </c>
      <c r="E1110" s="9">
        <v>0.09</v>
      </c>
      <c r="F1110" s="9">
        <v>4</v>
      </c>
      <c r="G1110" s="9">
        <v>13</v>
      </c>
      <c r="H1110" s="9">
        <v>0.99855000000000005</v>
      </c>
      <c r="I1110" s="9">
        <v>3.36</v>
      </c>
      <c r="J1110" s="9">
        <v>0.49</v>
      </c>
      <c r="K1110" s="9">
        <v>9.5</v>
      </c>
      <c r="L1110" s="9">
        <v>5</v>
      </c>
    </row>
    <row r="1111" spans="1:12" x14ac:dyDescent="0.3">
      <c r="A1111" s="9">
        <v>10.8</v>
      </c>
      <c r="B1111" s="9">
        <v>0.47</v>
      </c>
      <c r="C1111" s="9">
        <v>0.43</v>
      </c>
      <c r="D1111" s="9">
        <v>2.1</v>
      </c>
      <c r="E1111" s="9">
        <v>0.17100000000000001</v>
      </c>
      <c r="F1111" s="9">
        <v>27</v>
      </c>
      <c r="G1111" s="9">
        <v>66</v>
      </c>
      <c r="H1111" s="9">
        <v>0.99819999999999998</v>
      </c>
      <c r="I1111" s="9">
        <v>3.17</v>
      </c>
      <c r="J1111" s="9">
        <v>0.76</v>
      </c>
      <c r="K1111" s="9">
        <v>10.8</v>
      </c>
      <c r="L1111" s="9">
        <v>6</v>
      </c>
    </row>
    <row r="1112" spans="1:12" x14ac:dyDescent="0.3">
      <c r="A1112" s="9">
        <v>8.3000000000000007</v>
      </c>
      <c r="B1112" s="9">
        <v>0.53</v>
      </c>
      <c r="C1112" s="9">
        <v>0</v>
      </c>
      <c r="D1112" s="9">
        <v>1.4</v>
      </c>
      <c r="E1112" s="9">
        <v>7.0000000000000007E-2</v>
      </c>
      <c r="F1112" s="9">
        <v>6</v>
      </c>
      <c r="G1112" s="9">
        <v>14</v>
      </c>
      <c r="H1112" s="9">
        <v>0.99592999999999998</v>
      </c>
      <c r="I1112" s="9">
        <v>3.25</v>
      </c>
      <c r="J1112" s="9">
        <v>0.64</v>
      </c>
      <c r="K1112" s="9">
        <v>10</v>
      </c>
      <c r="L1112" s="9">
        <v>6</v>
      </c>
    </row>
    <row r="1113" spans="1:12" x14ac:dyDescent="0.3">
      <c r="A1113" s="9">
        <v>5.4</v>
      </c>
      <c r="B1113" s="9">
        <v>0.42</v>
      </c>
      <c r="C1113" s="9">
        <v>0.27</v>
      </c>
      <c r="D1113" s="9">
        <v>2</v>
      </c>
      <c r="E1113" s="9">
        <v>9.1999999999999998E-2</v>
      </c>
      <c r="F1113" s="9">
        <v>23</v>
      </c>
      <c r="G1113" s="9">
        <v>55</v>
      </c>
      <c r="H1113" s="9">
        <v>0.99470999999999998</v>
      </c>
      <c r="I1113" s="9">
        <v>3.78</v>
      </c>
      <c r="J1113" s="9">
        <v>0.64</v>
      </c>
      <c r="K1113" s="9">
        <v>12.3</v>
      </c>
      <c r="L1113" s="9">
        <v>7</v>
      </c>
    </row>
    <row r="1114" spans="1:12" x14ac:dyDescent="0.3">
      <c r="A1114" s="9">
        <v>7.9</v>
      </c>
      <c r="B1114" s="9">
        <v>0.33</v>
      </c>
      <c r="C1114" s="9">
        <v>0.41</v>
      </c>
      <c r="D1114" s="9">
        <v>1.5</v>
      </c>
      <c r="E1114" s="9">
        <v>5.6000000000000001E-2</v>
      </c>
      <c r="F1114" s="9">
        <v>6</v>
      </c>
      <c r="G1114" s="9">
        <v>35</v>
      </c>
      <c r="H1114" s="9">
        <v>0.99395999999999995</v>
      </c>
      <c r="I1114" s="9">
        <v>3.29</v>
      </c>
      <c r="J1114" s="9">
        <v>0.71</v>
      </c>
      <c r="K1114" s="9">
        <v>11</v>
      </c>
      <c r="L1114" s="9">
        <v>6</v>
      </c>
    </row>
    <row r="1115" spans="1:12" x14ac:dyDescent="0.3">
      <c r="A1115" s="9">
        <v>8.9</v>
      </c>
      <c r="B1115" s="9">
        <v>0.24</v>
      </c>
      <c r="C1115" s="9">
        <v>0.39</v>
      </c>
      <c r="D1115" s="9">
        <v>1.6</v>
      </c>
      <c r="E1115" s="9">
        <v>7.3999999999999996E-2</v>
      </c>
      <c r="F1115" s="9">
        <v>3</v>
      </c>
      <c r="G1115" s="9">
        <v>10</v>
      </c>
      <c r="H1115" s="9">
        <v>0.99697999999999998</v>
      </c>
      <c r="I1115" s="9">
        <v>3.12</v>
      </c>
      <c r="J1115" s="9">
        <v>0.59</v>
      </c>
      <c r="K1115" s="9">
        <v>9.5</v>
      </c>
      <c r="L1115" s="9">
        <v>6</v>
      </c>
    </row>
    <row r="1116" spans="1:12" x14ac:dyDescent="0.3">
      <c r="A1116" s="9">
        <v>5</v>
      </c>
      <c r="B1116" s="9">
        <v>0.4</v>
      </c>
      <c r="C1116" s="9">
        <v>0.5</v>
      </c>
      <c r="D1116" s="9">
        <v>4.3</v>
      </c>
      <c r="E1116" s="9">
        <v>4.5999999999999999E-2</v>
      </c>
      <c r="F1116" s="9">
        <v>29</v>
      </c>
      <c r="G1116" s="9">
        <v>80</v>
      </c>
      <c r="H1116" s="9">
        <v>0.99019999999999997</v>
      </c>
      <c r="I1116" s="9">
        <v>3.49</v>
      </c>
      <c r="J1116" s="9">
        <v>0.66</v>
      </c>
      <c r="K1116" s="9">
        <v>13.6</v>
      </c>
      <c r="L1116" s="9">
        <v>6</v>
      </c>
    </row>
    <row r="1117" spans="1:12" x14ac:dyDescent="0.3">
      <c r="A1117" s="9">
        <v>7</v>
      </c>
      <c r="B1117" s="9">
        <v>0.69</v>
      </c>
      <c r="C1117" s="9">
        <v>7.0000000000000007E-2</v>
      </c>
      <c r="D1117" s="9">
        <v>2.5</v>
      </c>
      <c r="E1117" s="9">
        <v>9.0999999999999998E-2</v>
      </c>
      <c r="F1117" s="9">
        <v>15</v>
      </c>
      <c r="G1117" s="9">
        <v>21</v>
      </c>
      <c r="H1117" s="9">
        <v>0.99572000000000005</v>
      </c>
      <c r="I1117" s="9">
        <v>3.38</v>
      </c>
      <c r="J1117" s="9">
        <v>0.6</v>
      </c>
      <c r="K1117" s="9">
        <v>11.3</v>
      </c>
      <c r="L1117" s="9">
        <v>6</v>
      </c>
    </row>
    <row r="1118" spans="1:12" x14ac:dyDescent="0.3">
      <c r="A1118" s="9">
        <v>7</v>
      </c>
      <c r="B1118" s="9">
        <v>0.69</v>
      </c>
      <c r="C1118" s="9">
        <v>7.0000000000000007E-2</v>
      </c>
      <c r="D1118" s="9">
        <v>2.5</v>
      </c>
      <c r="E1118" s="9">
        <v>9.0999999999999998E-2</v>
      </c>
      <c r="F1118" s="9">
        <v>15</v>
      </c>
      <c r="G1118" s="9">
        <v>21</v>
      </c>
      <c r="H1118" s="9">
        <v>0.99572000000000005</v>
      </c>
      <c r="I1118" s="9">
        <v>3.38</v>
      </c>
      <c r="J1118" s="9">
        <v>0.6</v>
      </c>
      <c r="K1118" s="9">
        <v>11.3</v>
      </c>
      <c r="L1118" s="9">
        <v>6</v>
      </c>
    </row>
    <row r="1119" spans="1:12" x14ac:dyDescent="0.3">
      <c r="A1119" s="9">
        <v>7</v>
      </c>
      <c r="B1119" s="9">
        <v>0.69</v>
      </c>
      <c r="C1119" s="9">
        <v>7.0000000000000007E-2</v>
      </c>
      <c r="D1119" s="9">
        <v>2.5</v>
      </c>
      <c r="E1119" s="9">
        <v>9.0999999999999998E-2</v>
      </c>
      <c r="F1119" s="9">
        <v>15</v>
      </c>
      <c r="G1119" s="9">
        <v>21</v>
      </c>
      <c r="H1119" s="9">
        <v>0.99572000000000005</v>
      </c>
      <c r="I1119" s="9">
        <v>3.38</v>
      </c>
      <c r="J1119" s="9">
        <v>0.6</v>
      </c>
      <c r="K1119" s="9">
        <v>11.3</v>
      </c>
      <c r="L1119" s="9">
        <v>6</v>
      </c>
    </row>
    <row r="1120" spans="1:12" x14ac:dyDescent="0.3">
      <c r="A1120" s="9">
        <v>7.1</v>
      </c>
      <c r="B1120" s="9">
        <v>0.39</v>
      </c>
      <c r="C1120" s="9">
        <v>0.12</v>
      </c>
      <c r="D1120" s="9">
        <v>2.1</v>
      </c>
      <c r="E1120" s="9">
        <v>6.5000000000000002E-2</v>
      </c>
      <c r="F1120" s="9">
        <v>14</v>
      </c>
      <c r="G1120" s="9">
        <v>24</v>
      </c>
      <c r="H1120" s="9">
        <v>0.99251999999999996</v>
      </c>
      <c r="I1120" s="9">
        <v>3.3</v>
      </c>
      <c r="J1120" s="9">
        <v>0.53</v>
      </c>
      <c r="K1120" s="9">
        <v>13.3</v>
      </c>
      <c r="L1120" s="9">
        <v>6</v>
      </c>
    </row>
    <row r="1121" spans="1:12" x14ac:dyDescent="0.3">
      <c r="A1121" s="9">
        <v>5.6</v>
      </c>
      <c r="B1121" s="9">
        <v>0.66</v>
      </c>
      <c r="C1121" s="9">
        <v>0</v>
      </c>
      <c r="D1121" s="9">
        <v>2.5</v>
      </c>
      <c r="E1121" s="9">
        <v>6.6000000000000003E-2</v>
      </c>
      <c r="F1121" s="9">
        <v>7</v>
      </c>
      <c r="G1121" s="9">
        <v>15</v>
      </c>
      <c r="H1121" s="9">
        <v>0.99256</v>
      </c>
      <c r="I1121" s="9">
        <v>3.52</v>
      </c>
      <c r="J1121" s="9">
        <v>0.57999999999999996</v>
      </c>
      <c r="K1121" s="9">
        <v>12.9</v>
      </c>
      <c r="L1121" s="9">
        <v>5</v>
      </c>
    </row>
    <row r="1122" spans="1:12" x14ac:dyDescent="0.3">
      <c r="A1122" s="9">
        <v>7.9</v>
      </c>
      <c r="B1122" s="9">
        <v>0.54</v>
      </c>
      <c r="C1122" s="9">
        <v>0.34</v>
      </c>
      <c r="D1122" s="9">
        <v>2.5</v>
      </c>
      <c r="E1122" s="9">
        <v>7.5999999999999998E-2</v>
      </c>
      <c r="F1122" s="9">
        <v>8</v>
      </c>
      <c r="G1122" s="9">
        <v>17</v>
      </c>
      <c r="H1122" s="9">
        <v>0.99234999999999995</v>
      </c>
      <c r="I1122" s="9">
        <v>3.2</v>
      </c>
      <c r="J1122" s="9">
        <v>0.72</v>
      </c>
      <c r="K1122" s="9">
        <v>13.1</v>
      </c>
      <c r="L1122" s="9">
        <v>8</v>
      </c>
    </row>
    <row r="1123" spans="1:12" x14ac:dyDescent="0.3">
      <c r="A1123" s="9">
        <v>6.6</v>
      </c>
      <c r="B1123" s="9">
        <v>0.5</v>
      </c>
      <c r="C1123" s="9">
        <v>0</v>
      </c>
      <c r="D1123" s="9">
        <v>1.8</v>
      </c>
      <c r="E1123" s="9">
        <v>6.2E-2</v>
      </c>
      <c r="F1123" s="9">
        <v>21</v>
      </c>
      <c r="G1123" s="9">
        <v>28</v>
      </c>
      <c r="H1123" s="9">
        <v>0.99351999999999996</v>
      </c>
      <c r="I1123" s="9">
        <v>3.44</v>
      </c>
      <c r="J1123" s="9">
        <v>0.55000000000000004</v>
      </c>
      <c r="K1123" s="9">
        <v>12.3</v>
      </c>
      <c r="L1123" s="9">
        <v>6</v>
      </c>
    </row>
    <row r="1124" spans="1:12" x14ac:dyDescent="0.3">
      <c r="A1124" s="9">
        <v>6.3</v>
      </c>
      <c r="B1124" s="9">
        <v>0.47</v>
      </c>
      <c r="C1124" s="9">
        <v>0</v>
      </c>
      <c r="D1124" s="9">
        <v>1.4</v>
      </c>
      <c r="E1124" s="9">
        <v>5.5E-2</v>
      </c>
      <c r="F1124" s="9">
        <v>27</v>
      </c>
      <c r="G1124" s="9">
        <v>33</v>
      </c>
      <c r="H1124" s="9">
        <v>0.99219999999999997</v>
      </c>
      <c r="I1124" s="9">
        <v>3.45</v>
      </c>
      <c r="J1124" s="9">
        <v>0.48</v>
      </c>
      <c r="K1124" s="9">
        <v>12.3</v>
      </c>
      <c r="L1124" s="9">
        <v>6</v>
      </c>
    </row>
    <row r="1125" spans="1:12" x14ac:dyDescent="0.3">
      <c r="A1125" s="9">
        <v>10.7</v>
      </c>
      <c r="B1125" s="9">
        <v>0.4</v>
      </c>
      <c r="C1125" s="9">
        <v>0.37</v>
      </c>
      <c r="D1125" s="9">
        <v>1.9</v>
      </c>
      <c r="E1125" s="9">
        <v>8.1000000000000003E-2</v>
      </c>
      <c r="F1125" s="9">
        <v>17</v>
      </c>
      <c r="G1125" s="9">
        <v>29</v>
      </c>
      <c r="H1125" s="9">
        <v>0.99673999999999996</v>
      </c>
      <c r="I1125" s="9">
        <v>3.12</v>
      </c>
      <c r="J1125" s="9">
        <v>0.65</v>
      </c>
      <c r="K1125" s="9">
        <v>11.2</v>
      </c>
      <c r="L1125" s="9">
        <v>6</v>
      </c>
    </row>
    <row r="1126" spans="1:12" x14ac:dyDescent="0.3">
      <c r="A1126" s="9">
        <v>6.5</v>
      </c>
      <c r="B1126" s="9">
        <v>0.57999999999999996</v>
      </c>
      <c r="C1126" s="9">
        <v>0</v>
      </c>
      <c r="D1126" s="9">
        <v>2.2000000000000002</v>
      </c>
      <c r="E1126" s="9">
        <v>9.6000000000000002E-2</v>
      </c>
      <c r="F1126" s="9">
        <v>3</v>
      </c>
      <c r="G1126" s="9">
        <v>13</v>
      </c>
      <c r="H1126" s="9">
        <v>0.99556999999999995</v>
      </c>
      <c r="I1126" s="9">
        <v>3.62</v>
      </c>
      <c r="J1126" s="9">
        <v>0.62</v>
      </c>
      <c r="K1126" s="9">
        <v>11.5</v>
      </c>
      <c r="L1126" s="9">
        <v>4</v>
      </c>
    </row>
    <row r="1127" spans="1:12" x14ac:dyDescent="0.3">
      <c r="A1127" s="9">
        <v>8.8000000000000007</v>
      </c>
      <c r="B1127" s="9">
        <v>0.24</v>
      </c>
      <c r="C1127" s="9">
        <v>0.35</v>
      </c>
      <c r="D1127" s="9">
        <v>1.7</v>
      </c>
      <c r="E1127" s="9">
        <v>5.5E-2</v>
      </c>
      <c r="F1127" s="9">
        <v>13</v>
      </c>
      <c r="G1127" s="9">
        <v>27</v>
      </c>
      <c r="H1127" s="9">
        <v>0.99394000000000005</v>
      </c>
      <c r="I1127" s="9">
        <v>3.14</v>
      </c>
      <c r="J1127" s="9">
        <v>0.59</v>
      </c>
      <c r="K1127" s="9">
        <v>11.3</v>
      </c>
      <c r="L1127" s="9">
        <v>7</v>
      </c>
    </row>
    <row r="1128" spans="1:12" x14ac:dyDescent="0.3">
      <c r="A1128" s="9">
        <v>5.8</v>
      </c>
      <c r="B1128" s="9">
        <v>0.28999999999999998</v>
      </c>
      <c r="C1128" s="9">
        <v>0.26</v>
      </c>
      <c r="D1128" s="9">
        <v>1.7</v>
      </c>
      <c r="E1128" s="9">
        <v>6.3E-2</v>
      </c>
      <c r="F1128" s="9">
        <v>3</v>
      </c>
      <c r="G1128" s="9">
        <v>11</v>
      </c>
      <c r="H1128" s="9">
        <v>0.99150000000000005</v>
      </c>
      <c r="I1128" s="9">
        <v>3.39</v>
      </c>
      <c r="J1128" s="9">
        <v>0.54</v>
      </c>
      <c r="K1128" s="9">
        <v>13.5</v>
      </c>
      <c r="L1128" s="9">
        <v>6</v>
      </c>
    </row>
    <row r="1129" spans="1:12" x14ac:dyDescent="0.3">
      <c r="A1129" s="9">
        <v>6.3</v>
      </c>
      <c r="B1129" s="9">
        <v>0.76</v>
      </c>
      <c r="C1129" s="9">
        <v>0</v>
      </c>
      <c r="D1129" s="9">
        <v>2.9</v>
      </c>
      <c r="E1129" s="9">
        <v>7.1999999999999995E-2</v>
      </c>
      <c r="F1129" s="9">
        <v>26</v>
      </c>
      <c r="G1129" s="9">
        <v>52</v>
      </c>
      <c r="H1129" s="9">
        <v>0.99378999999999995</v>
      </c>
      <c r="I1129" s="9">
        <v>3.51</v>
      </c>
      <c r="J1129" s="9">
        <v>0.6</v>
      </c>
      <c r="K1129" s="9">
        <v>11.5</v>
      </c>
      <c r="L1129" s="9">
        <v>6</v>
      </c>
    </row>
    <row r="1130" spans="1:12" x14ac:dyDescent="0.3">
      <c r="A1130" s="9">
        <v>10</v>
      </c>
      <c r="B1130" s="9">
        <v>0.43</v>
      </c>
      <c r="C1130" s="9">
        <v>0.33</v>
      </c>
      <c r="D1130" s="9">
        <v>2.7</v>
      </c>
      <c r="E1130" s="9">
        <v>9.5000000000000001E-2</v>
      </c>
      <c r="F1130" s="9">
        <v>28</v>
      </c>
      <c r="G1130" s="9">
        <v>89</v>
      </c>
      <c r="H1130" s="9">
        <v>0.99839999999999995</v>
      </c>
      <c r="I1130" s="9">
        <v>3.22</v>
      </c>
      <c r="J1130" s="9">
        <v>0.68</v>
      </c>
      <c r="K1130" s="9">
        <v>10</v>
      </c>
      <c r="L1130" s="9">
        <v>5</v>
      </c>
    </row>
    <row r="1131" spans="1:12" x14ac:dyDescent="0.3">
      <c r="A1131" s="9">
        <v>10.5</v>
      </c>
      <c r="B1131" s="9">
        <v>0.43</v>
      </c>
      <c r="C1131" s="9">
        <v>0.35</v>
      </c>
      <c r="D1131" s="9">
        <v>3.3</v>
      </c>
      <c r="E1131" s="9">
        <v>9.1999999999999998E-2</v>
      </c>
      <c r="F1131" s="9">
        <v>24</v>
      </c>
      <c r="G1131" s="9">
        <v>70</v>
      </c>
      <c r="H1131" s="9">
        <v>0.99797999999999998</v>
      </c>
      <c r="I1131" s="9">
        <v>3.21</v>
      </c>
      <c r="J1131" s="9">
        <v>0.69</v>
      </c>
      <c r="K1131" s="9">
        <v>10.5</v>
      </c>
      <c r="L1131" s="9">
        <v>6</v>
      </c>
    </row>
    <row r="1132" spans="1:12" x14ac:dyDescent="0.3">
      <c r="A1132" s="9">
        <v>9.1</v>
      </c>
      <c r="B1132" s="9">
        <v>0.6</v>
      </c>
      <c r="C1132" s="9">
        <v>0</v>
      </c>
      <c r="D1132" s="9">
        <v>1.9</v>
      </c>
      <c r="E1132" s="9">
        <v>5.8000000000000003E-2</v>
      </c>
      <c r="F1132" s="9">
        <v>5</v>
      </c>
      <c r="G1132" s="9">
        <v>10</v>
      </c>
      <c r="H1132" s="9">
        <v>0.99770000000000003</v>
      </c>
      <c r="I1132" s="9">
        <v>3.18</v>
      </c>
      <c r="J1132" s="9">
        <v>0.63</v>
      </c>
      <c r="K1132" s="9">
        <v>10.4</v>
      </c>
      <c r="L1132" s="9">
        <v>6</v>
      </c>
    </row>
    <row r="1133" spans="1:12" x14ac:dyDescent="0.3">
      <c r="A1133" s="9">
        <v>5.9</v>
      </c>
      <c r="B1133" s="9">
        <v>0.19</v>
      </c>
      <c r="C1133" s="9">
        <v>0.21</v>
      </c>
      <c r="D1133" s="9">
        <v>1.7</v>
      </c>
      <c r="E1133" s="9">
        <v>4.4999999999999998E-2</v>
      </c>
      <c r="F1133" s="9">
        <v>57</v>
      </c>
      <c r="G1133" s="9">
        <v>135</v>
      </c>
      <c r="H1133" s="9">
        <v>0.99341000000000002</v>
      </c>
      <c r="I1133" s="9">
        <v>3.32</v>
      </c>
      <c r="J1133" s="9">
        <v>0.44</v>
      </c>
      <c r="K1133" s="9">
        <v>9.5</v>
      </c>
      <c r="L1133" s="9">
        <v>5</v>
      </c>
    </row>
    <row r="1134" spans="1:12" x14ac:dyDescent="0.3">
      <c r="A1134" s="9">
        <v>7.4</v>
      </c>
      <c r="B1134" s="9">
        <v>0.36</v>
      </c>
      <c r="C1134" s="9">
        <v>0.34</v>
      </c>
      <c r="D1134" s="9">
        <v>1.8</v>
      </c>
      <c r="E1134" s="9">
        <v>7.4999999999999997E-2</v>
      </c>
      <c r="F1134" s="9">
        <v>18</v>
      </c>
      <c r="G1134" s="9">
        <v>38</v>
      </c>
      <c r="H1134" s="9">
        <v>0.99329999999999996</v>
      </c>
      <c r="I1134" s="9">
        <v>3.38</v>
      </c>
      <c r="J1134" s="9">
        <v>0.88</v>
      </c>
      <c r="K1134" s="9">
        <v>13.6</v>
      </c>
      <c r="L1134" s="9">
        <v>7</v>
      </c>
    </row>
    <row r="1135" spans="1:12" x14ac:dyDescent="0.3">
      <c r="A1135" s="9">
        <v>7.2</v>
      </c>
      <c r="B1135" s="9">
        <v>0.48</v>
      </c>
      <c r="C1135" s="9">
        <v>7.0000000000000007E-2</v>
      </c>
      <c r="D1135" s="9">
        <v>5.5</v>
      </c>
      <c r="E1135" s="9">
        <v>8.8999999999999996E-2</v>
      </c>
      <c r="F1135" s="9">
        <v>10</v>
      </c>
      <c r="G1135" s="9">
        <v>18</v>
      </c>
      <c r="H1135" s="9">
        <v>0.99683999999999995</v>
      </c>
      <c r="I1135" s="9">
        <v>3.37</v>
      </c>
      <c r="J1135" s="9">
        <v>0.68</v>
      </c>
      <c r="K1135" s="9">
        <v>11.2</v>
      </c>
      <c r="L1135" s="9">
        <v>7</v>
      </c>
    </row>
    <row r="1136" spans="1:12" x14ac:dyDescent="0.3">
      <c r="A1136" s="9">
        <v>8.5</v>
      </c>
      <c r="B1136" s="9">
        <v>0.28000000000000003</v>
      </c>
      <c r="C1136" s="9">
        <v>0.35</v>
      </c>
      <c r="D1136" s="9">
        <v>1.7</v>
      </c>
      <c r="E1136" s="9">
        <v>6.0999999999999999E-2</v>
      </c>
      <c r="F1136" s="9">
        <v>6</v>
      </c>
      <c r="G1136" s="9">
        <v>15</v>
      </c>
      <c r="H1136" s="9">
        <v>0.99524000000000001</v>
      </c>
      <c r="I1136" s="9">
        <v>3.3</v>
      </c>
      <c r="J1136" s="9">
        <v>0.74</v>
      </c>
      <c r="K1136" s="9">
        <v>11.8</v>
      </c>
      <c r="L1136" s="9">
        <v>7</v>
      </c>
    </row>
    <row r="1137" spans="1:12" x14ac:dyDescent="0.3">
      <c r="A1137" s="9">
        <v>8</v>
      </c>
      <c r="B1137" s="9">
        <v>0.25</v>
      </c>
      <c r="C1137" s="9">
        <v>0.43</v>
      </c>
      <c r="D1137" s="9">
        <v>1.7</v>
      </c>
      <c r="E1137" s="9">
        <v>6.7000000000000004E-2</v>
      </c>
      <c r="F1137" s="9">
        <v>22</v>
      </c>
      <c r="G1137" s="9">
        <v>50</v>
      </c>
      <c r="H1137" s="9">
        <v>0.99460000000000004</v>
      </c>
      <c r="I1137" s="9">
        <v>3.38</v>
      </c>
      <c r="J1137" s="9">
        <v>0.6</v>
      </c>
      <c r="K1137" s="9">
        <v>11.9</v>
      </c>
      <c r="L1137" s="9">
        <v>6</v>
      </c>
    </row>
    <row r="1138" spans="1:12" x14ac:dyDescent="0.3">
      <c r="A1138" s="9">
        <v>10.4</v>
      </c>
      <c r="B1138" s="9">
        <v>0.52</v>
      </c>
      <c r="C1138" s="9">
        <v>0.45</v>
      </c>
      <c r="D1138" s="9">
        <v>2</v>
      </c>
      <c r="E1138" s="9">
        <v>0.08</v>
      </c>
      <c r="F1138" s="9">
        <v>6</v>
      </c>
      <c r="G1138" s="9">
        <v>13</v>
      </c>
      <c r="H1138" s="9">
        <v>0.99773999999999996</v>
      </c>
      <c r="I1138" s="9">
        <v>3.22</v>
      </c>
      <c r="J1138" s="9">
        <v>0.76</v>
      </c>
      <c r="K1138" s="9">
        <v>11.4</v>
      </c>
      <c r="L1138" s="9">
        <v>6</v>
      </c>
    </row>
    <row r="1139" spans="1:12" x14ac:dyDescent="0.3">
      <c r="A1139" s="9">
        <v>10.4</v>
      </c>
      <c r="B1139" s="9">
        <v>0.52</v>
      </c>
      <c r="C1139" s="9">
        <v>0.45</v>
      </c>
      <c r="D1139" s="9">
        <v>2</v>
      </c>
      <c r="E1139" s="9">
        <v>0.08</v>
      </c>
      <c r="F1139" s="9">
        <v>6</v>
      </c>
      <c r="G1139" s="9">
        <v>13</v>
      </c>
      <c r="H1139" s="9">
        <v>0.99773999999999996</v>
      </c>
      <c r="I1139" s="9">
        <v>3.22</v>
      </c>
      <c r="J1139" s="9">
        <v>0.76</v>
      </c>
      <c r="K1139" s="9">
        <v>11.4</v>
      </c>
      <c r="L1139" s="9">
        <v>6</v>
      </c>
    </row>
    <row r="1140" spans="1:12" x14ac:dyDescent="0.3">
      <c r="A1140" s="9">
        <v>7.5</v>
      </c>
      <c r="B1140" s="9">
        <v>0.41</v>
      </c>
      <c r="C1140" s="9">
        <v>0.15</v>
      </c>
      <c r="D1140" s="9">
        <v>3.7</v>
      </c>
      <c r="E1140" s="9">
        <v>0.104</v>
      </c>
      <c r="F1140" s="9">
        <v>29</v>
      </c>
      <c r="G1140" s="9">
        <v>94</v>
      </c>
      <c r="H1140" s="9">
        <v>0.99785999999999997</v>
      </c>
      <c r="I1140" s="9">
        <v>3.14</v>
      </c>
      <c r="J1140" s="9">
        <v>0.57999999999999996</v>
      </c>
      <c r="K1140" s="9">
        <v>9.1</v>
      </c>
      <c r="L1140" s="9">
        <v>5</v>
      </c>
    </row>
    <row r="1141" spans="1:12" x14ac:dyDescent="0.3">
      <c r="A1141" s="9">
        <v>8.1999999999999993</v>
      </c>
      <c r="B1141" s="9">
        <v>0.51</v>
      </c>
      <c r="C1141" s="9">
        <v>0.24</v>
      </c>
      <c r="D1141" s="9">
        <v>2</v>
      </c>
      <c r="E1141" s="9">
        <v>7.9000000000000001E-2</v>
      </c>
      <c r="F1141" s="9">
        <v>16</v>
      </c>
      <c r="G1141" s="9">
        <v>86</v>
      </c>
      <c r="H1141" s="9">
        <v>0.99763999999999997</v>
      </c>
      <c r="I1141" s="9">
        <v>3.34</v>
      </c>
      <c r="J1141" s="9">
        <v>0.64</v>
      </c>
      <c r="K1141" s="9">
        <v>9.5</v>
      </c>
      <c r="L1141" s="9">
        <v>6</v>
      </c>
    </row>
    <row r="1142" spans="1:12" x14ac:dyDescent="0.3">
      <c r="A1142" s="9">
        <v>7.3</v>
      </c>
      <c r="B1142" s="9">
        <v>0.4</v>
      </c>
      <c r="C1142" s="9">
        <v>0.3</v>
      </c>
      <c r="D1142" s="9">
        <v>1.7</v>
      </c>
      <c r="E1142" s="9">
        <v>0.08</v>
      </c>
      <c r="F1142" s="9">
        <v>33</v>
      </c>
      <c r="G1142" s="9">
        <v>79</v>
      </c>
      <c r="H1142" s="9">
        <v>0.99690000000000001</v>
      </c>
      <c r="I1142" s="9">
        <v>3.41</v>
      </c>
      <c r="J1142" s="9">
        <v>0.65</v>
      </c>
      <c r="K1142" s="9">
        <v>9.5</v>
      </c>
      <c r="L1142" s="9">
        <v>6</v>
      </c>
    </row>
    <row r="1143" spans="1:12" x14ac:dyDescent="0.3">
      <c r="A1143" s="9">
        <v>8.1999999999999993</v>
      </c>
      <c r="B1143" s="9">
        <v>0.38</v>
      </c>
      <c r="C1143" s="9">
        <v>0.32</v>
      </c>
      <c r="D1143" s="9">
        <v>2.5</v>
      </c>
      <c r="E1143" s="9">
        <v>0.08</v>
      </c>
      <c r="F1143" s="9">
        <v>24</v>
      </c>
      <c r="G1143" s="9">
        <v>71</v>
      </c>
      <c r="H1143" s="9">
        <v>0.99624000000000001</v>
      </c>
      <c r="I1143" s="9">
        <v>3.27</v>
      </c>
      <c r="J1143" s="9">
        <v>0.85</v>
      </c>
      <c r="K1143" s="9">
        <v>11</v>
      </c>
      <c r="L1143" s="9">
        <v>6</v>
      </c>
    </row>
    <row r="1144" spans="1:12" x14ac:dyDescent="0.3">
      <c r="A1144" s="9">
        <v>6.9</v>
      </c>
      <c r="B1144" s="9">
        <v>0.45</v>
      </c>
      <c r="C1144" s="9">
        <v>0.11</v>
      </c>
      <c r="D1144" s="9">
        <v>2.4</v>
      </c>
      <c r="E1144" s="9">
        <v>4.2999999999999997E-2</v>
      </c>
      <c r="F1144" s="9">
        <v>6</v>
      </c>
      <c r="G1144" s="9">
        <v>12</v>
      </c>
      <c r="H1144" s="9">
        <v>0.99353999999999998</v>
      </c>
      <c r="I1144" s="9">
        <v>3.3</v>
      </c>
      <c r="J1144" s="9">
        <v>0.65</v>
      </c>
      <c r="K1144" s="9">
        <v>11.4</v>
      </c>
      <c r="L1144" s="9">
        <v>6</v>
      </c>
    </row>
    <row r="1145" spans="1:12" x14ac:dyDescent="0.3">
      <c r="A1145" s="9">
        <v>7</v>
      </c>
      <c r="B1145" s="9">
        <v>0.22</v>
      </c>
      <c r="C1145" s="9">
        <v>0.3</v>
      </c>
      <c r="D1145" s="9">
        <v>1.8</v>
      </c>
      <c r="E1145" s="9">
        <v>6.5000000000000002E-2</v>
      </c>
      <c r="F1145" s="9">
        <v>16</v>
      </c>
      <c r="G1145" s="9">
        <v>20</v>
      </c>
      <c r="H1145" s="9">
        <v>0.99672000000000005</v>
      </c>
      <c r="I1145" s="9">
        <v>3.61</v>
      </c>
      <c r="J1145" s="9">
        <v>0.82</v>
      </c>
      <c r="K1145" s="9">
        <v>10</v>
      </c>
      <c r="L1145" s="9">
        <v>6</v>
      </c>
    </row>
    <row r="1146" spans="1:12" x14ac:dyDescent="0.3">
      <c r="A1146" s="9">
        <v>7.3</v>
      </c>
      <c r="B1146" s="9">
        <v>0.32</v>
      </c>
      <c r="C1146" s="9">
        <v>0.23</v>
      </c>
      <c r="D1146" s="9">
        <v>2.2999999999999998</v>
      </c>
      <c r="E1146" s="9">
        <v>6.6000000000000003E-2</v>
      </c>
      <c r="F1146" s="9">
        <v>35</v>
      </c>
      <c r="G1146" s="9">
        <v>70</v>
      </c>
      <c r="H1146" s="9">
        <v>0.99587999999999999</v>
      </c>
      <c r="I1146" s="9">
        <v>3.43</v>
      </c>
      <c r="J1146" s="9">
        <v>0.62</v>
      </c>
      <c r="K1146" s="9">
        <v>10.1</v>
      </c>
      <c r="L1146" s="9">
        <v>5</v>
      </c>
    </row>
    <row r="1147" spans="1:12" x14ac:dyDescent="0.3">
      <c r="A1147" s="9">
        <v>8.1999999999999993</v>
      </c>
      <c r="B1147" s="9">
        <v>0.2</v>
      </c>
      <c r="C1147" s="9">
        <v>0.43</v>
      </c>
      <c r="D1147" s="9">
        <v>2.5</v>
      </c>
      <c r="E1147" s="9">
        <v>7.5999999999999998E-2</v>
      </c>
      <c r="F1147" s="9">
        <v>31</v>
      </c>
      <c r="G1147" s="9">
        <v>51</v>
      </c>
      <c r="H1147" s="9">
        <v>0.99672000000000005</v>
      </c>
      <c r="I1147" s="9">
        <v>3.53</v>
      </c>
      <c r="J1147" s="9">
        <v>0.81</v>
      </c>
      <c r="K1147" s="9">
        <v>10.4</v>
      </c>
      <c r="L1147" s="9">
        <v>6</v>
      </c>
    </row>
    <row r="1148" spans="1:12" x14ac:dyDescent="0.3">
      <c r="A1148" s="9">
        <v>7.8</v>
      </c>
      <c r="B1148" s="9">
        <v>0.5</v>
      </c>
      <c r="C1148" s="9">
        <v>0.12</v>
      </c>
      <c r="D1148" s="9">
        <v>1.8</v>
      </c>
      <c r="E1148" s="9">
        <v>0.17799999999999999</v>
      </c>
      <c r="F1148" s="9">
        <v>6</v>
      </c>
      <c r="G1148" s="9">
        <v>21</v>
      </c>
      <c r="H1148" s="9">
        <v>0.996</v>
      </c>
      <c r="I1148" s="9">
        <v>3.28</v>
      </c>
      <c r="J1148" s="9">
        <v>0.87</v>
      </c>
      <c r="K1148" s="9">
        <v>9.8000000000000007</v>
      </c>
      <c r="L1148" s="9">
        <v>6</v>
      </c>
    </row>
    <row r="1149" spans="1:12" x14ac:dyDescent="0.3">
      <c r="A1149" s="9">
        <v>10</v>
      </c>
      <c r="B1149" s="9">
        <v>0.41</v>
      </c>
      <c r="C1149" s="9">
        <v>0.45</v>
      </c>
      <c r="D1149" s="9">
        <v>6.2</v>
      </c>
      <c r="E1149" s="9">
        <v>7.0999999999999994E-2</v>
      </c>
      <c r="F1149" s="9">
        <v>6</v>
      </c>
      <c r="G1149" s="9">
        <v>14</v>
      </c>
      <c r="H1149" s="9">
        <v>0.99702000000000002</v>
      </c>
      <c r="I1149" s="9">
        <v>3.21</v>
      </c>
      <c r="J1149" s="9">
        <v>0.49</v>
      </c>
      <c r="K1149" s="9">
        <v>11.8</v>
      </c>
      <c r="L1149" s="9">
        <v>7</v>
      </c>
    </row>
    <row r="1150" spans="1:12" x14ac:dyDescent="0.3">
      <c r="A1150" s="9">
        <v>7.8</v>
      </c>
      <c r="B1150" s="9">
        <v>0.39</v>
      </c>
      <c r="C1150" s="9">
        <v>0.42</v>
      </c>
      <c r="D1150" s="9">
        <v>2</v>
      </c>
      <c r="E1150" s="9">
        <v>8.5999999999999993E-2</v>
      </c>
      <c r="F1150" s="9">
        <v>9</v>
      </c>
      <c r="G1150" s="9">
        <v>21</v>
      </c>
      <c r="H1150" s="9">
        <v>0.99526000000000003</v>
      </c>
      <c r="I1150" s="9">
        <v>3.39</v>
      </c>
      <c r="J1150" s="9">
        <v>0.66</v>
      </c>
      <c r="K1150" s="9">
        <v>11.6</v>
      </c>
      <c r="L1150" s="9">
        <v>6</v>
      </c>
    </row>
    <row r="1151" spans="1:12" x14ac:dyDescent="0.3">
      <c r="A1151" s="9">
        <v>10</v>
      </c>
      <c r="B1151" s="9">
        <v>0.35</v>
      </c>
      <c r="C1151" s="9">
        <v>0.47</v>
      </c>
      <c r="D1151" s="9">
        <v>2</v>
      </c>
      <c r="E1151" s="9">
        <v>6.0999999999999999E-2</v>
      </c>
      <c r="F1151" s="9">
        <v>6</v>
      </c>
      <c r="G1151" s="9">
        <v>11</v>
      </c>
      <c r="H1151" s="9">
        <v>0.99585000000000001</v>
      </c>
      <c r="I1151" s="9">
        <v>3.23</v>
      </c>
      <c r="J1151" s="9">
        <v>0.52</v>
      </c>
      <c r="K1151" s="9">
        <v>12</v>
      </c>
      <c r="L1151" s="9">
        <v>6</v>
      </c>
    </row>
    <row r="1152" spans="1:12" x14ac:dyDescent="0.3">
      <c r="A1152" s="9">
        <v>8.1999999999999993</v>
      </c>
      <c r="B1152" s="9">
        <v>0.33</v>
      </c>
      <c r="C1152" s="9">
        <v>0.32</v>
      </c>
      <c r="D1152" s="9">
        <v>2.8</v>
      </c>
      <c r="E1152" s="9">
        <v>6.7000000000000004E-2</v>
      </c>
      <c r="F1152" s="9">
        <v>4</v>
      </c>
      <c r="G1152" s="9">
        <v>12</v>
      </c>
      <c r="H1152" s="9">
        <v>0.99473</v>
      </c>
      <c r="I1152" s="9">
        <v>3.3</v>
      </c>
      <c r="J1152" s="9">
        <v>0.76</v>
      </c>
      <c r="K1152" s="9">
        <v>12.8</v>
      </c>
      <c r="L1152" s="9">
        <v>7</v>
      </c>
    </row>
    <row r="1153" spans="1:12" x14ac:dyDescent="0.3">
      <c r="A1153" s="9">
        <v>6.1</v>
      </c>
      <c r="B1153" s="9">
        <v>0.57999999999999996</v>
      </c>
      <c r="C1153" s="9">
        <v>0.23</v>
      </c>
      <c r="D1153" s="9">
        <v>2.5</v>
      </c>
      <c r="E1153" s="9">
        <v>4.3999999999999997E-2</v>
      </c>
      <c r="F1153" s="9">
        <v>16</v>
      </c>
      <c r="G1153" s="9">
        <v>70</v>
      </c>
      <c r="H1153" s="9">
        <v>0.99351999999999996</v>
      </c>
      <c r="I1153" s="9">
        <v>3.46</v>
      </c>
      <c r="J1153" s="9">
        <v>0.65</v>
      </c>
      <c r="K1153" s="9">
        <v>12.5</v>
      </c>
      <c r="L1153" s="9">
        <v>6</v>
      </c>
    </row>
    <row r="1154" spans="1:12" x14ac:dyDescent="0.3">
      <c r="A1154" s="9">
        <v>8.3000000000000007</v>
      </c>
      <c r="B1154" s="9">
        <v>0.6</v>
      </c>
      <c r="C1154" s="9">
        <v>0.25</v>
      </c>
      <c r="D1154" s="9">
        <v>2.2000000000000002</v>
      </c>
      <c r="E1154" s="9">
        <v>0.11799999999999999</v>
      </c>
      <c r="F1154" s="9">
        <v>9</v>
      </c>
      <c r="G1154" s="9">
        <v>38</v>
      </c>
      <c r="H1154" s="9">
        <v>0.99616000000000005</v>
      </c>
      <c r="I1154" s="9">
        <v>3.15</v>
      </c>
      <c r="J1154" s="9">
        <v>0.53</v>
      </c>
      <c r="K1154" s="9">
        <v>9.8000000000000007</v>
      </c>
      <c r="L1154" s="9">
        <v>5</v>
      </c>
    </row>
    <row r="1155" spans="1:12" x14ac:dyDescent="0.3">
      <c r="A1155" s="9">
        <v>9.6</v>
      </c>
      <c r="B1155" s="9">
        <v>0.42</v>
      </c>
      <c r="C1155" s="9">
        <v>0.35</v>
      </c>
      <c r="D1155" s="9">
        <v>2.1</v>
      </c>
      <c r="E1155" s="9">
        <v>8.3000000000000004E-2</v>
      </c>
      <c r="F1155" s="9">
        <v>17</v>
      </c>
      <c r="G1155" s="9">
        <v>38</v>
      </c>
      <c r="H1155" s="9">
        <v>0.99621999999999999</v>
      </c>
      <c r="I1155" s="9">
        <v>3.23</v>
      </c>
      <c r="J1155" s="9">
        <v>0.66</v>
      </c>
      <c r="K1155" s="9">
        <v>11.1</v>
      </c>
      <c r="L1155" s="9">
        <v>6</v>
      </c>
    </row>
    <row r="1156" spans="1:12" x14ac:dyDescent="0.3">
      <c r="A1156" s="9">
        <v>6.6</v>
      </c>
      <c r="B1156" s="9">
        <v>0.57999999999999996</v>
      </c>
      <c r="C1156" s="9">
        <v>0</v>
      </c>
      <c r="D1156" s="9">
        <v>2.2000000000000002</v>
      </c>
      <c r="E1156" s="9">
        <v>0.1</v>
      </c>
      <c r="F1156" s="9">
        <v>50</v>
      </c>
      <c r="G1156" s="9">
        <v>63</v>
      </c>
      <c r="H1156" s="9">
        <v>0.99543999999999999</v>
      </c>
      <c r="I1156" s="9">
        <v>3.59</v>
      </c>
      <c r="J1156" s="9">
        <v>0.68</v>
      </c>
      <c r="K1156" s="9">
        <v>11.4</v>
      </c>
      <c r="L1156" s="9">
        <v>6</v>
      </c>
    </row>
    <row r="1157" spans="1:12" x14ac:dyDescent="0.3">
      <c r="A1157" s="9">
        <v>8.3000000000000007</v>
      </c>
      <c r="B1157" s="9">
        <v>0.6</v>
      </c>
      <c r="C1157" s="9">
        <v>0.25</v>
      </c>
      <c r="D1157" s="9">
        <v>2.2000000000000002</v>
      </c>
      <c r="E1157" s="9">
        <v>0.11799999999999999</v>
      </c>
      <c r="F1157" s="9">
        <v>9</v>
      </c>
      <c r="G1157" s="9">
        <v>38</v>
      </c>
      <c r="H1157" s="9">
        <v>0.99616000000000005</v>
      </c>
      <c r="I1157" s="9">
        <v>3.15</v>
      </c>
      <c r="J1157" s="9">
        <v>0.53</v>
      </c>
      <c r="K1157" s="9">
        <v>9.8000000000000007</v>
      </c>
      <c r="L1157" s="9">
        <v>5</v>
      </c>
    </row>
    <row r="1158" spans="1:12" x14ac:dyDescent="0.3">
      <c r="A1158" s="9">
        <v>8.5</v>
      </c>
      <c r="B1158" s="9">
        <v>0.18</v>
      </c>
      <c r="C1158" s="9">
        <v>0.51</v>
      </c>
      <c r="D1158" s="9">
        <v>1.75</v>
      </c>
      <c r="E1158" s="9">
        <v>7.0999999999999994E-2</v>
      </c>
      <c r="F1158" s="9">
        <v>45</v>
      </c>
      <c r="G1158" s="9">
        <v>88</v>
      </c>
      <c r="H1158" s="9">
        <v>0.99524000000000001</v>
      </c>
      <c r="I1158" s="9">
        <v>3.33</v>
      </c>
      <c r="J1158" s="9">
        <v>0.76</v>
      </c>
      <c r="K1158" s="9">
        <v>11.8</v>
      </c>
      <c r="L1158" s="9">
        <v>7</v>
      </c>
    </row>
    <row r="1159" spans="1:12" x14ac:dyDescent="0.3">
      <c r="A1159" s="9">
        <v>5.0999999999999996</v>
      </c>
      <c r="B1159" s="9">
        <v>0.51</v>
      </c>
      <c r="C1159" s="9">
        <v>0.18</v>
      </c>
      <c r="D1159" s="9">
        <v>2.1</v>
      </c>
      <c r="E1159" s="9">
        <v>4.2000000000000003E-2</v>
      </c>
      <c r="F1159" s="9">
        <v>16</v>
      </c>
      <c r="G1159" s="9">
        <v>101</v>
      </c>
      <c r="H1159" s="9">
        <v>0.99239999999999995</v>
      </c>
      <c r="I1159" s="9">
        <v>3.46</v>
      </c>
      <c r="J1159" s="9">
        <v>0.87</v>
      </c>
      <c r="K1159" s="9">
        <v>12.9</v>
      </c>
      <c r="L1159" s="9">
        <v>7</v>
      </c>
    </row>
    <row r="1160" spans="1:12" x14ac:dyDescent="0.3">
      <c r="A1160" s="9">
        <v>6.7</v>
      </c>
      <c r="B1160" s="9">
        <v>0.41</v>
      </c>
      <c r="C1160" s="9">
        <v>0.43</v>
      </c>
      <c r="D1160" s="9">
        <v>2.8</v>
      </c>
      <c r="E1160" s="9">
        <v>7.5999999999999998E-2</v>
      </c>
      <c r="F1160" s="9">
        <v>22</v>
      </c>
      <c r="G1160" s="9">
        <v>54</v>
      </c>
      <c r="H1160" s="9">
        <v>0.99572000000000005</v>
      </c>
      <c r="I1160" s="9">
        <v>3.42</v>
      </c>
      <c r="J1160" s="9">
        <v>1.1599999999999999</v>
      </c>
      <c r="K1160" s="9">
        <v>10.6</v>
      </c>
      <c r="L1160" s="9">
        <v>6</v>
      </c>
    </row>
    <row r="1161" spans="1:12" x14ac:dyDescent="0.3">
      <c r="A1161" s="9">
        <v>10.199999999999999</v>
      </c>
      <c r="B1161" s="9">
        <v>0.41</v>
      </c>
      <c r="C1161" s="9">
        <v>0.43</v>
      </c>
      <c r="D1161" s="9">
        <v>2.2000000000000002</v>
      </c>
      <c r="E1161" s="9">
        <v>0.11</v>
      </c>
      <c r="F1161" s="9">
        <v>11</v>
      </c>
      <c r="G1161" s="9">
        <v>37</v>
      </c>
      <c r="H1161" s="9">
        <v>0.99728000000000006</v>
      </c>
      <c r="I1161" s="9">
        <v>3.16</v>
      </c>
      <c r="J1161" s="9">
        <v>0.67</v>
      </c>
      <c r="K1161" s="9">
        <v>10.8</v>
      </c>
      <c r="L1161" s="9">
        <v>5</v>
      </c>
    </row>
    <row r="1162" spans="1:12" x14ac:dyDescent="0.3">
      <c r="A1162" s="9">
        <v>10.6</v>
      </c>
      <c r="B1162" s="9">
        <v>0.36</v>
      </c>
      <c r="C1162" s="9">
        <v>0.56999999999999995</v>
      </c>
      <c r="D1162" s="9">
        <v>2.2999999999999998</v>
      </c>
      <c r="E1162" s="9">
        <v>8.6999999999999994E-2</v>
      </c>
      <c r="F1162" s="9">
        <v>6</v>
      </c>
      <c r="G1162" s="9">
        <v>20</v>
      </c>
      <c r="H1162" s="9">
        <v>0.99675999999999998</v>
      </c>
      <c r="I1162" s="9">
        <v>3.14</v>
      </c>
      <c r="J1162" s="9">
        <v>0.72</v>
      </c>
      <c r="K1162" s="9">
        <v>11.1</v>
      </c>
      <c r="L1162" s="9">
        <v>7</v>
      </c>
    </row>
    <row r="1163" spans="1:12" x14ac:dyDescent="0.3">
      <c r="A1163" s="9">
        <v>8.8000000000000007</v>
      </c>
      <c r="B1163" s="9">
        <v>0.45</v>
      </c>
      <c r="C1163" s="9">
        <v>0.43</v>
      </c>
      <c r="D1163" s="9">
        <v>1.4</v>
      </c>
      <c r="E1163" s="9">
        <v>7.5999999999999998E-2</v>
      </c>
      <c r="F1163" s="9">
        <v>12</v>
      </c>
      <c r="G1163" s="9">
        <v>21</v>
      </c>
      <c r="H1163" s="9">
        <v>0.99551000000000001</v>
      </c>
      <c r="I1163" s="9">
        <v>3.21</v>
      </c>
      <c r="J1163" s="9">
        <v>0.75</v>
      </c>
      <c r="K1163" s="9">
        <v>10.199999999999999</v>
      </c>
      <c r="L1163" s="9">
        <v>6</v>
      </c>
    </row>
    <row r="1164" spans="1:12" x14ac:dyDescent="0.3">
      <c r="A1164" s="9">
        <v>8.5</v>
      </c>
      <c r="B1164" s="9">
        <v>0.32</v>
      </c>
      <c r="C1164" s="9">
        <v>0.42</v>
      </c>
      <c r="D1164" s="9">
        <v>2.2999999999999998</v>
      </c>
      <c r="E1164" s="9">
        <v>7.4999999999999997E-2</v>
      </c>
      <c r="F1164" s="9">
        <v>12</v>
      </c>
      <c r="G1164" s="9">
        <v>19</v>
      </c>
      <c r="H1164" s="9">
        <v>0.99434</v>
      </c>
      <c r="I1164" s="9">
        <v>3.14</v>
      </c>
      <c r="J1164" s="9">
        <v>0.71</v>
      </c>
      <c r="K1164" s="9">
        <v>11.8</v>
      </c>
      <c r="L1164" s="9">
        <v>7</v>
      </c>
    </row>
    <row r="1165" spans="1:12" x14ac:dyDescent="0.3">
      <c r="A1165" s="9">
        <v>9</v>
      </c>
      <c r="B1165" s="9">
        <v>0.78500000000000003</v>
      </c>
      <c r="C1165" s="9">
        <v>0.24</v>
      </c>
      <c r="D1165" s="9">
        <v>1.7</v>
      </c>
      <c r="E1165" s="9">
        <v>7.8E-2</v>
      </c>
      <c r="F1165" s="9">
        <v>10</v>
      </c>
      <c r="G1165" s="9">
        <v>21</v>
      </c>
      <c r="H1165" s="9">
        <v>0.99692000000000003</v>
      </c>
      <c r="I1165" s="9">
        <v>3.29</v>
      </c>
      <c r="J1165" s="9">
        <v>0.67</v>
      </c>
      <c r="K1165" s="9">
        <v>10</v>
      </c>
      <c r="L1165" s="9">
        <v>5</v>
      </c>
    </row>
    <row r="1166" spans="1:12" x14ac:dyDescent="0.3">
      <c r="A1166" s="9">
        <v>9</v>
      </c>
      <c r="B1166" s="9">
        <v>0.78500000000000003</v>
      </c>
      <c r="C1166" s="9">
        <v>0.24</v>
      </c>
      <c r="D1166" s="9">
        <v>1.7</v>
      </c>
      <c r="E1166" s="9">
        <v>7.8E-2</v>
      </c>
      <c r="F1166" s="9">
        <v>10</v>
      </c>
      <c r="G1166" s="9">
        <v>21</v>
      </c>
      <c r="H1166" s="9">
        <v>0.99692000000000003</v>
      </c>
      <c r="I1166" s="9">
        <v>3.29</v>
      </c>
      <c r="J1166" s="9">
        <v>0.67</v>
      </c>
      <c r="K1166" s="9">
        <v>10</v>
      </c>
      <c r="L1166" s="9">
        <v>5</v>
      </c>
    </row>
    <row r="1167" spans="1:12" x14ac:dyDescent="0.3">
      <c r="A1167" s="9">
        <v>8.5</v>
      </c>
      <c r="B1167" s="9">
        <v>0.44</v>
      </c>
      <c r="C1167" s="9">
        <v>0.5</v>
      </c>
      <c r="D1167" s="9">
        <v>1.9</v>
      </c>
      <c r="E1167" s="9">
        <v>0.36899999999999999</v>
      </c>
      <c r="F1167" s="9">
        <v>15</v>
      </c>
      <c r="G1167" s="9">
        <v>38</v>
      </c>
      <c r="H1167" s="9">
        <v>0.99634</v>
      </c>
      <c r="I1167" s="9">
        <v>3.01</v>
      </c>
      <c r="J1167" s="9">
        <v>1.1000000000000001</v>
      </c>
      <c r="K1167" s="9">
        <v>9.4</v>
      </c>
      <c r="L1167" s="9">
        <v>5</v>
      </c>
    </row>
    <row r="1168" spans="1:12" x14ac:dyDescent="0.3">
      <c r="A1168" s="9">
        <v>9.9</v>
      </c>
      <c r="B1168" s="9">
        <v>0.54</v>
      </c>
      <c r="C1168" s="9">
        <v>0.26</v>
      </c>
      <c r="D1168" s="9">
        <v>2</v>
      </c>
      <c r="E1168" s="9">
        <v>0.111</v>
      </c>
      <c r="F1168" s="9">
        <v>7</v>
      </c>
      <c r="G1168" s="9">
        <v>60</v>
      </c>
      <c r="H1168" s="9">
        <v>0.99709000000000003</v>
      </c>
      <c r="I1168" s="9">
        <v>2.94</v>
      </c>
      <c r="J1168" s="9">
        <v>0.98</v>
      </c>
      <c r="K1168" s="9">
        <v>10.199999999999999</v>
      </c>
      <c r="L1168" s="9">
        <v>5</v>
      </c>
    </row>
    <row r="1169" spans="1:12" x14ac:dyDescent="0.3">
      <c r="A1169" s="9">
        <v>8.1999999999999993</v>
      </c>
      <c r="B1169" s="9">
        <v>0.33</v>
      </c>
      <c r="C1169" s="9">
        <v>0.39</v>
      </c>
      <c r="D1169" s="9">
        <v>2.5</v>
      </c>
      <c r="E1169" s="9">
        <v>7.3999999999999996E-2</v>
      </c>
      <c r="F1169" s="9">
        <v>29</v>
      </c>
      <c r="G1169" s="9">
        <v>48</v>
      </c>
      <c r="H1169" s="9">
        <v>0.99528000000000005</v>
      </c>
      <c r="I1169" s="9">
        <v>3.32</v>
      </c>
      <c r="J1169" s="9">
        <v>0.88</v>
      </c>
      <c r="K1169" s="9">
        <v>12.4</v>
      </c>
      <c r="L1169" s="9">
        <v>7</v>
      </c>
    </row>
    <row r="1170" spans="1:12" x14ac:dyDescent="0.3">
      <c r="A1170" s="9">
        <v>6.5</v>
      </c>
      <c r="B1170" s="9">
        <v>0.34</v>
      </c>
      <c r="C1170" s="9">
        <v>0.27</v>
      </c>
      <c r="D1170" s="9">
        <v>2.8</v>
      </c>
      <c r="E1170" s="9">
        <v>6.7000000000000004E-2</v>
      </c>
      <c r="F1170" s="9">
        <v>8</v>
      </c>
      <c r="G1170" s="9">
        <v>44</v>
      </c>
      <c r="H1170" s="9">
        <v>0.99383999999999995</v>
      </c>
      <c r="I1170" s="9">
        <v>3.21</v>
      </c>
      <c r="J1170" s="9">
        <v>0.56000000000000005</v>
      </c>
      <c r="K1170" s="9">
        <v>12</v>
      </c>
      <c r="L1170" s="9">
        <v>6</v>
      </c>
    </row>
    <row r="1171" spans="1:12" x14ac:dyDescent="0.3">
      <c r="A1171" s="9">
        <v>7.6</v>
      </c>
      <c r="B1171" s="9">
        <v>0.5</v>
      </c>
      <c r="C1171" s="9">
        <v>0.28999999999999998</v>
      </c>
      <c r="D1171" s="9">
        <v>2.2999999999999998</v>
      </c>
      <c r="E1171" s="9">
        <v>8.5999999999999993E-2</v>
      </c>
      <c r="F1171" s="9">
        <v>5</v>
      </c>
      <c r="G1171" s="9">
        <v>14</v>
      </c>
      <c r="H1171" s="9">
        <v>0.99502000000000002</v>
      </c>
      <c r="I1171" s="9">
        <v>3.32</v>
      </c>
      <c r="J1171" s="9">
        <v>0.62</v>
      </c>
      <c r="K1171" s="9">
        <v>11.5</v>
      </c>
      <c r="L1171" s="9">
        <v>6</v>
      </c>
    </row>
    <row r="1172" spans="1:12" x14ac:dyDescent="0.3">
      <c r="A1172" s="9">
        <v>9.1999999999999993</v>
      </c>
      <c r="B1172" s="9">
        <v>0.36</v>
      </c>
      <c r="C1172" s="9">
        <v>0.34</v>
      </c>
      <c r="D1172" s="9">
        <v>1.6</v>
      </c>
      <c r="E1172" s="9">
        <v>6.2E-2</v>
      </c>
      <c r="F1172" s="9">
        <v>5</v>
      </c>
      <c r="G1172" s="9">
        <v>12</v>
      </c>
      <c r="H1172" s="9">
        <v>0.99666999999999994</v>
      </c>
      <c r="I1172" s="9">
        <v>3.2</v>
      </c>
      <c r="J1172" s="9">
        <v>0.67</v>
      </c>
      <c r="K1172" s="9">
        <v>10.5</v>
      </c>
      <c r="L1172" s="9">
        <v>6</v>
      </c>
    </row>
    <row r="1173" spans="1:12" x14ac:dyDescent="0.3">
      <c r="A1173" s="9">
        <v>7.1</v>
      </c>
      <c r="B1173" s="9">
        <v>0.59</v>
      </c>
      <c r="C1173" s="9">
        <v>0</v>
      </c>
      <c r="D1173" s="9">
        <v>2.2000000000000002</v>
      </c>
      <c r="E1173" s="9">
        <v>7.8E-2</v>
      </c>
      <c r="F1173" s="9">
        <v>26</v>
      </c>
      <c r="G1173" s="9">
        <v>44</v>
      </c>
      <c r="H1173" s="9">
        <v>0.99521999999999999</v>
      </c>
      <c r="I1173" s="9">
        <v>3.42</v>
      </c>
      <c r="J1173" s="9">
        <v>0.68</v>
      </c>
      <c r="K1173" s="9">
        <v>10.8</v>
      </c>
      <c r="L1173" s="9">
        <v>6</v>
      </c>
    </row>
    <row r="1174" spans="1:12" x14ac:dyDescent="0.3">
      <c r="A1174" s="9">
        <v>9.6999999999999993</v>
      </c>
      <c r="B1174" s="9">
        <v>0.42</v>
      </c>
      <c r="C1174" s="9">
        <v>0.46</v>
      </c>
      <c r="D1174" s="9">
        <v>2.1</v>
      </c>
      <c r="E1174" s="9">
        <v>7.3999999999999996E-2</v>
      </c>
      <c r="F1174" s="9">
        <v>5</v>
      </c>
      <c r="G1174" s="9">
        <v>16</v>
      </c>
      <c r="H1174" s="9">
        <v>0.99648999999999999</v>
      </c>
      <c r="I1174" s="9">
        <v>3.27</v>
      </c>
      <c r="J1174" s="9">
        <v>0.74</v>
      </c>
      <c r="K1174" s="9">
        <v>12.3</v>
      </c>
      <c r="L1174" s="9">
        <v>6</v>
      </c>
    </row>
    <row r="1175" spans="1:12" x14ac:dyDescent="0.3">
      <c r="A1175" s="9">
        <v>7.6</v>
      </c>
      <c r="B1175" s="9">
        <v>0.36</v>
      </c>
      <c r="C1175" s="9">
        <v>0.31</v>
      </c>
      <c r="D1175" s="9">
        <v>1.7</v>
      </c>
      <c r="E1175" s="9">
        <v>7.9000000000000001E-2</v>
      </c>
      <c r="F1175" s="9">
        <v>26</v>
      </c>
      <c r="G1175" s="9">
        <v>65</v>
      </c>
      <c r="H1175" s="9">
        <v>0.99716000000000005</v>
      </c>
      <c r="I1175" s="9">
        <v>3.46</v>
      </c>
      <c r="J1175" s="9">
        <v>0.62</v>
      </c>
      <c r="K1175" s="9">
        <v>9.5</v>
      </c>
      <c r="L1175" s="9">
        <v>6</v>
      </c>
    </row>
    <row r="1176" spans="1:12" x14ac:dyDescent="0.3">
      <c r="A1176" s="9">
        <v>7.6</v>
      </c>
      <c r="B1176" s="9">
        <v>0.36</v>
      </c>
      <c r="C1176" s="9">
        <v>0.31</v>
      </c>
      <c r="D1176" s="9">
        <v>1.7</v>
      </c>
      <c r="E1176" s="9">
        <v>7.9000000000000001E-2</v>
      </c>
      <c r="F1176" s="9">
        <v>26</v>
      </c>
      <c r="G1176" s="9">
        <v>65</v>
      </c>
      <c r="H1176" s="9">
        <v>0.99716000000000005</v>
      </c>
      <c r="I1176" s="9">
        <v>3.46</v>
      </c>
      <c r="J1176" s="9">
        <v>0.62</v>
      </c>
      <c r="K1176" s="9">
        <v>9.5</v>
      </c>
      <c r="L1176" s="9">
        <v>6</v>
      </c>
    </row>
    <row r="1177" spans="1:12" x14ac:dyDescent="0.3">
      <c r="A1177" s="9">
        <v>6.5</v>
      </c>
      <c r="B1177" s="9">
        <v>0.61</v>
      </c>
      <c r="C1177" s="9">
        <v>0</v>
      </c>
      <c r="D1177" s="9">
        <v>2.2000000000000002</v>
      </c>
      <c r="E1177" s="9">
        <v>9.5000000000000001E-2</v>
      </c>
      <c r="F1177" s="9">
        <v>48</v>
      </c>
      <c r="G1177" s="9">
        <v>59</v>
      </c>
      <c r="H1177" s="9">
        <v>0.99541000000000002</v>
      </c>
      <c r="I1177" s="9">
        <v>3.61</v>
      </c>
      <c r="J1177" s="9">
        <v>0.7</v>
      </c>
      <c r="K1177" s="9">
        <v>11.5</v>
      </c>
      <c r="L1177" s="9">
        <v>6</v>
      </c>
    </row>
    <row r="1178" spans="1:12" x14ac:dyDescent="0.3">
      <c r="A1178" s="9">
        <v>6.5</v>
      </c>
      <c r="B1178" s="9">
        <v>0.88</v>
      </c>
      <c r="C1178" s="9">
        <v>0.03</v>
      </c>
      <c r="D1178" s="9">
        <v>5.6</v>
      </c>
      <c r="E1178" s="9">
        <v>7.9000000000000001E-2</v>
      </c>
      <c r="F1178" s="9">
        <v>23</v>
      </c>
      <c r="G1178" s="9">
        <v>47</v>
      </c>
      <c r="H1178" s="9">
        <v>0.99572000000000005</v>
      </c>
      <c r="I1178" s="9">
        <v>3.58</v>
      </c>
      <c r="J1178" s="9">
        <v>0.5</v>
      </c>
      <c r="K1178" s="9">
        <v>11.2</v>
      </c>
      <c r="L1178" s="9">
        <v>4</v>
      </c>
    </row>
    <row r="1179" spans="1:12" x14ac:dyDescent="0.3">
      <c r="A1179" s="9">
        <v>7.1</v>
      </c>
      <c r="B1179" s="9">
        <v>0.66</v>
      </c>
      <c r="C1179" s="9">
        <v>0</v>
      </c>
      <c r="D1179" s="9">
        <v>2.4</v>
      </c>
      <c r="E1179" s="9">
        <v>5.1999999999999998E-2</v>
      </c>
      <c r="F1179" s="9">
        <v>6</v>
      </c>
      <c r="G1179" s="9">
        <v>11</v>
      </c>
      <c r="H1179" s="9">
        <v>0.99317999999999995</v>
      </c>
      <c r="I1179" s="9">
        <v>3.35</v>
      </c>
      <c r="J1179" s="9">
        <v>0.66</v>
      </c>
      <c r="K1179" s="9">
        <v>12.7</v>
      </c>
      <c r="L1179" s="9">
        <v>7</v>
      </c>
    </row>
    <row r="1180" spans="1:12" x14ac:dyDescent="0.3">
      <c r="A1180" s="9">
        <v>5.6</v>
      </c>
      <c r="B1180" s="9">
        <v>0.91500000000000004</v>
      </c>
      <c r="C1180" s="9">
        <v>0</v>
      </c>
      <c r="D1180" s="9">
        <v>2.1</v>
      </c>
      <c r="E1180" s="9">
        <v>4.1000000000000002E-2</v>
      </c>
      <c r="F1180" s="9">
        <v>17</v>
      </c>
      <c r="G1180" s="9">
        <v>78</v>
      </c>
      <c r="H1180" s="9">
        <v>0.99346000000000001</v>
      </c>
      <c r="I1180" s="9">
        <v>3.68</v>
      </c>
      <c r="J1180" s="9">
        <v>0.73</v>
      </c>
      <c r="K1180" s="9">
        <v>11.4</v>
      </c>
      <c r="L1180" s="9">
        <v>5</v>
      </c>
    </row>
    <row r="1181" spans="1:12" x14ac:dyDescent="0.3">
      <c r="A1181" s="9">
        <v>8.1999999999999993</v>
      </c>
      <c r="B1181" s="9">
        <v>0.35</v>
      </c>
      <c r="C1181" s="9">
        <v>0.33</v>
      </c>
      <c r="D1181" s="9">
        <v>2.4</v>
      </c>
      <c r="E1181" s="9">
        <v>7.5999999999999998E-2</v>
      </c>
      <c r="F1181" s="9">
        <v>11</v>
      </c>
      <c r="G1181" s="9">
        <v>47</v>
      </c>
      <c r="H1181" s="9">
        <v>0.99599000000000004</v>
      </c>
      <c r="I1181" s="9">
        <v>3.27</v>
      </c>
      <c r="J1181" s="9">
        <v>0.81</v>
      </c>
      <c r="K1181" s="9">
        <v>11</v>
      </c>
      <c r="L1181" s="9">
        <v>6</v>
      </c>
    </row>
    <row r="1182" spans="1:12" x14ac:dyDescent="0.3">
      <c r="A1182" s="9">
        <v>8.1999999999999993</v>
      </c>
      <c r="B1182" s="9">
        <v>0.35</v>
      </c>
      <c r="C1182" s="9">
        <v>0.33</v>
      </c>
      <c r="D1182" s="9">
        <v>2.4</v>
      </c>
      <c r="E1182" s="9">
        <v>7.5999999999999998E-2</v>
      </c>
      <c r="F1182" s="9">
        <v>11</v>
      </c>
      <c r="G1182" s="9">
        <v>47</v>
      </c>
      <c r="H1182" s="9">
        <v>0.99599000000000004</v>
      </c>
      <c r="I1182" s="9">
        <v>3.27</v>
      </c>
      <c r="J1182" s="9">
        <v>0.81</v>
      </c>
      <c r="K1182" s="9">
        <v>11</v>
      </c>
      <c r="L1182" s="9">
        <v>6</v>
      </c>
    </row>
    <row r="1183" spans="1:12" x14ac:dyDescent="0.3">
      <c r="A1183" s="9">
        <v>9.8000000000000007</v>
      </c>
      <c r="B1183" s="9">
        <v>0.39</v>
      </c>
      <c r="C1183" s="9">
        <v>0.43</v>
      </c>
      <c r="D1183" s="9">
        <v>1.65</v>
      </c>
      <c r="E1183" s="9">
        <v>6.8000000000000005E-2</v>
      </c>
      <c r="F1183" s="9">
        <v>5</v>
      </c>
      <c r="G1183" s="9">
        <v>11</v>
      </c>
      <c r="H1183" s="9">
        <v>0.99478</v>
      </c>
      <c r="I1183" s="9">
        <v>3.19</v>
      </c>
      <c r="J1183" s="9">
        <v>0.46</v>
      </c>
      <c r="K1183" s="9">
        <v>11.4</v>
      </c>
      <c r="L1183" s="9">
        <v>5</v>
      </c>
    </row>
    <row r="1184" spans="1:12" x14ac:dyDescent="0.3">
      <c r="A1184" s="9">
        <v>10.199999999999999</v>
      </c>
      <c r="B1184" s="9">
        <v>0.4</v>
      </c>
      <c r="C1184" s="9">
        <v>0.4</v>
      </c>
      <c r="D1184" s="9">
        <v>2.5</v>
      </c>
      <c r="E1184" s="9">
        <v>6.8000000000000005E-2</v>
      </c>
      <c r="F1184" s="9">
        <v>41</v>
      </c>
      <c r="G1184" s="9">
        <v>54</v>
      </c>
      <c r="H1184" s="9">
        <v>0.99753999999999998</v>
      </c>
      <c r="I1184" s="9">
        <v>3.38</v>
      </c>
      <c r="J1184" s="9">
        <v>0.86</v>
      </c>
      <c r="K1184" s="9">
        <v>10.5</v>
      </c>
      <c r="L1184" s="9">
        <v>6</v>
      </c>
    </row>
    <row r="1185" spans="1:12" x14ac:dyDescent="0.3">
      <c r="A1185" s="9">
        <v>6.8</v>
      </c>
      <c r="B1185" s="9">
        <v>0.66</v>
      </c>
      <c r="C1185" s="9">
        <v>7.0000000000000007E-2</v>
      </c>
      <c r="D1185" s="9">
        <v>1.6</v>
      </c>
      <c r="E1185" s="9">
        <v>7.0000000000000007E-2</v>
      </c>
      <c r="F1185" s="9">
        <v>16</v>
      </c>
      <c r="G1185" s="9">
        <v>61</v>
      </c>
      <c r="H1185" s="9">
        <v>0.99572000000000005</v>
      </c>
      <c r="I1185" s="9">
        <v>3.29</v>
      </c>
      <c r="J1185" s="9">
        <v>0.6</v>
      </c>
      <c r="K1185" s="9">
        <v>9.3000000000000007</v>
      </c>
      <c r="L1185" s="9">
        <v>5</v>
      </c>
    </row>
    <row r="1186" spans="1:12" x14ac:dyDescent="0.3">
      <c r="A1186" s="9">
        <v>6.7</v>
      </c>
      <c r="B1186" s="9">
        <v>0.64</v>
      </c>
      <c r="C1186" s="9">
        <v>0.23</v>
      </c>
      <c r="D1186" s="9">
        <v>2.1</v>
      </c>
      <c r="E1186" s="9">
        <v>0.08</v>
      </c>
      <c r="F1186" s="9">
        <v>11</v>
      </c>
      <c r="G1186" s="9">
        <v>119</v>
      </c>
      <c r="H1186" s="9">
        <v>0.99538000000000004</v>
      </c>
      <c r="I1186" s="9">
        <v>3.36</v>
      </c>
      <c r="J1186" s="9">
        <v>0.7</v>
      </c>
      <c r="K1186" s="9">
        <v>10.9</v>
      </c>
      <c r="L1186" s="9">
        <v>5</v>
      </c>
    </row>
    <row r="1187" spans="1:12" x14ac:dyDescent="0.3">
      <c r="A1187" s="9">
        <v>7</v>
      </c>
      <c r="B1187" s="9">
        <v>0.43</v>
      </c>
      <c r="C1187" s="9">
        <v>0.3</v>
      </c>
      <c r="D1187" s="9">
        <v>2</v>
      </c>
      <c r="E1187" s="9">
        <v>8.5000000000000006E-2</v>
      </c>
      <c r="F1187" s="9">
        <v>6</v>
      </c>
      <c r="G1187" s="9">
        <v>39</v>
      </c>
      <c r="H1187" s="9">
        <v>0.99346000000000001</v>
      </c>
      <c r="I1187" s="9">
        <v>3.33</v>
      </c>
      <c r="J1187" s="9">
        <v>0.46</v>
      </c>
      <c r="K1187" s="9">
        <v>11.9</v>
      </c>
      <c r="L1187" s="9">
        <v>6</v>
      </c>
    </row>
    <row r="1188" spans="1:12" x14ac:dyDescent="0.3">
      <c r="A1188" s="9">
        <v>6.6</v>
      </c>
      <c r="B1188" s="9">
        <v>0.8</v>
      </c>
      <c r="C1188" s="9">
        <v>0.03</v>
      </c>
      <c r="D1188" s="9">
        <v>7.8</v>
      </c>
      <c r="E1188" s="9">
        <v>7.9000000000000001E-2</v>
      </c>
      <c r="F1188" s="9">
        <v>6</v>
      </c>
      <c r="G1188" s="9">
        <v>12</v>
      </c>
      <c r="H1188" s="9">
        <v>0.99629999999999996</v>
      </c>
      <c r="I1188" s="9">
        <v>3.52</v>
      </c>
      <c r="J1188" s="9">
        <v>0.5</v>
      </c>
      <c r="K1188" s="9">
        <v>12.2</v>
      </c>
      <c r="L1188" s="9">
        <v>5</v>
      </c>
    </row>
    <row r="1189" spans="1:12" x14ac:dyDescent="0.3">
      <c r="A1189" s="9">
        <v>7</v>
      </c>
      <c r="B1189" s="9">
        <v>0.43</v>
      </c>
      <c r="C1189" s="9">
        <v>0.3</v>
      </c>
      <c r="D1189" s="9">
        <v>2</v>
      </c>
      <c r="E1189" s="9">
        <v>8.5000000000000006E-2</v>
      </c>
      <c r="F1189" s="9">
        <v>6</v>
      </c>
      <c r="G1189" s="9">
        <v>39</v>
      </c>
      <c r="H1189" s="9">
        <v>0.99346000000000001</v>
      </c>
      <c r="I1189" s="9">
        <v>3.33</v>
      </c>
      <c r="J1189" s="9">
        <v>0.46</v>
      </c>
      <c r="K1189" s="9">
        <v>11.9</v>
      </c>
      <c r="L1189" s="9">
        <v>6</v>
      </c>
    </row>
    <row r="1190" spans="1:12" x14ac:dyDescent="0.3">
      <c r="A1190" s="9">
        <v>6.7</v>
      </c>
      <c r="B1190" s="9">
        <v>0.64</v>
      </c>
      <c r="C1190" s="9">
        <v>0.23</v>
      </c>
      <c r="D1190" s="9">
        <v>2.1</v>
      </c>
      <c r="E1190" s="9">
        <v>0.08</v>
      </c>
      <c r="F1190" s="9">
        <v>11</v>
      </c>
      <c r="G1190" s="9">
        <v>119</v>
      </c>
      <c r="H1190" s="9">
        <v>0.99538000000000004</v>
      </c>
      <c r="I1190" s="9">
        <v>3.36</v>
      </c>
      <c r="J1190" s="9">
        <v>0.7</v>
      </c>
      <c r="K1190" s="9">
        <v>10.9</v>
      </c>
      <c r="L1190" s="9">
        <v>5</v>
      </c>
    </row>
    <row r="1191" spans="1:12" x14ac:dyDescent="0.3">
      <c r="A1191" s="9">
        <v>8.8000000000000007</v>
      </c>
      <c r="B1191" s="9">
        <v>0.95499999999999996</v>
      </c>
      <c r="C1191" s="9">
        <v>0.05</v>
      </c>
      <c r="D1191" s="9">
        <v>1.8</v>
      </c>
      <c r="E1191" s="9">
        <v>7.4999999999999997E-2</v>
      </c>
      <c r="F1191" s="9">
        <v>5</v>
      </c>
      <c r="G1191" s="9">
        <v>19</v>
      </c>
      <c r="H1191" s="9">
        <v>0.99616000000000005</v>
      </c>
      <c r="I1191" s="9">
        <v>3.3</v>
      </c>
      <c r="J1191" s="9">
        <v>0.44</v>
      </c>
      <c r="K1191" s="9">
        <v>9.6</v>
      </c>
      <c r="L1191" s="9">
        <v>4</v>
      </c>
    </row>
    <row r="1192" spans="1:12" x14ac:dyDescent="0.3">
      <c r="A1192" s="9">
        <v>9.1</v>
      </c>
      <c r="B1192" s="9">
        <v>0.4</v>
      </c>
      <c r="C1192" s="9">
        <v>0.56999999999999995</v>
      </c>
      <c r="D1192" s="9">
        <v>4.5999999999999996</v>
      </c>
      <c r="E1192" s="9">
        <v>0.08</v>
      </c>
      <c r="F1192" s="9">
        <v>6</v>
      </c>
      <c r="G1192" s="9">
        <v>20</v>
      </c>
      <c r="H1192" s="9">
        <v>0.99651999999999996</v>
      </c>
      <c r="I1192" s="9">
        <v>3.28</v>
      </c>
      <c r="J1192" s="9">
        <v>0.56999999999999995</v>
      </c>
      <c r="K1192" s="9">
        <v>12.5</v>
      </c>
      <c r="L1192" s="9">
        <v>6</v>
      </c>
    </row>
    <row r="1193" spans="1:12" x14ac:dyDescent="0.3">
      <c r="A1193" s="9">
        <v>6.5</v>
      </c>
      <c r="B1193" s="9">
        <v>0.88500000000000001</v>
      </c>
      <c r="C1193" s="9">
        <v>0</v>
      </c>
      <c r="D1193" s="9">
        <v>2.2999999999999998</v>
      </c>
      <c r="E1193" s="9">
        <v>0.16600000000000001</v>
      </c>
      <c r="F1193" s="9">
        <v>6</v>
      </c>
      <c r="G1193" s="9">
        <v>12</v>
      </c>
      <c r="H1193" s="9">
        <v>0.99551000000000001</v>
      </c>
      <c r="I1193" s="9">
        <v>3.56</v>
      </c>
      <c r="J1193" s="9">
        <v>0.51</v>
      </c>
      <c r="K1193" s="9">
        <v>10.8</v>
      </c>
      <c r="L1193" s="9">
        <v>5</v>
      </c>
    </row>
    <row r="1194" spans="1:12" x14ac:dyDescent="0.3">
      <c r="A1194" s="9">
        <v>7.2</v>
      </c>
      <c r="B1194" s="9">
        <v>0.25</v>
      </c>
      <c r="C1194" s="9">
        <v>0.37</v>
      </c>
      <c r="D1194" s="9">
        <v>2.5</v>
      </c>
      <c r="E1194" s="9">
        <v>6.3E-2</v>
      </c>
      <c r="F1194" s="9">
        <v>11</v>
      </c>
      <c r="G1194" s="9">
        <v>41</v>
      </c>
      <c r="H1194" s="9">
        <v>0.99439</v>
      </c>
      <c r="I1194" s="9">
        <v>3.52</v>
      </c>
      <c r="J1194" s="9">
        <v>0.8</v>
      </c>
      <c r="K1194" s="9">
        <v>12.4</v>
      </c>
      <c r="L1194" s="9">
        <v>7</v>
      </c>
    </row>
    <row r="1195" spans="1:12" x14ac:dyDescent="0.3">
      <c r="A1195" s="9">
        <v>6.4</v>
      </c>
      <c r="B1195" s="9">
        <v>0.88500000000000001</v>
      </c>
      <c r="C1195" s="9">
        <v>0</v>
      </c>
      <c r="D1195" s="9">
        <v>2.2999999999999998</v>
      </c>
      <c r="E1195" s="9">
        <v>0.16600000000000001</v>
      </c>
      <c r="F1195" s="9">
        <v>6</v>
      </c>
      <c r="G1195" s="9">
        <v>12</v>
      </c>
      <c r="H1195" s="9">
        <v>0.99551000000000001</v>
      </c>
      <c r="I1195" s="9">
        <v>3.56</v>
      </c>
      <c r="J1195" s="9">
        <v>0.51</v>
      </c>
      <c r="K1195" s="9">
        <v>10.8</v>
      </c>
      <c r="L1195" s="9">
        <v>5</v>
      </c>
    </row>
    <row r="1196" spans="1:12" x14ac:dyDescent="0.3">
      <c r="A1196" s="9">
        <v>7</v>
      </c>
      <c r="B1196" s="9">
        <v>0.745</v>
      </c>
      <c r="C1196" s="9">
        <v>0.12</v>
      </c>
      <c r="D1196" s="9">
        <v>1.8</v>
      </c>
      <c r="E1196" s="9">
        <v>0.114</v>
      </c>
      <c r="F1196" s="9">
        <v>15</v>
      </c>
      <c r="G1196" s="9">
        <v>64</v>
      </c>
      <c r="H1196" s="9">
        <v>0.99587999999999999</v>
      </c>
      <c r="I1196" s="9">
        <v>3.22</v>
      </c>
      <c r="J1196" s="9">
        <v>0.59</v>
      </c>
      <c r="K1196" s="9">
        <v>9.5</v>
      </c>
      <c r="L1196" s="9">
        <v>6</v>
      </c>
    </row>
    <row r="1197" spans="1:12" x14ac:dyDescent="0.3">
      <c r="A1197" s="9">
        <v>6.2</v>
      </c>
      <c r="B1197" s="9">
        <v>0.43</v>
      </c>
      <c r="C1197" s="9">
        <v>0.22</v>
      </c>
      <c r="D1197" s="9">
        <v>1.8</v>
      </c>
      <c r="E1197" s="9">
        <v>7.8E-2</v>
      </c>
      <c r="F1197" s="9">
        <v>21</v>
      </c>
      <c r="G1197" s="9">
        <v>56</v>
      </c>
      <c r="H1197" s="9">
        <v>0.99633000000000005</v>
      </c>
      <c r="I1197" s="9">
        <v>3.52</v>
      </c>
      <c r="J1197" s="9">
        <v>0.6</v>
      </c>
      <c r="K1197" s="9">
        <v>9.5</v>
      </c>
      <c r="L1197" s="9">
        <v>6</v>
      </c>
    </row>
    <row r="1198" spans="1:12" x14ac:dyDescent="0.3">
      <c r="A1198" s="9">
        <v>7.9</v>
      </c>
      <c r="B1198" s="9">
        <v>0.57999999999999996</v>
      </c>
      <c r="C1198" s="9">
        <v>0.23</v>
      </c>
      <c r="D1198" s="9">
        <v>2.2999999999999998</v>
      </c>
      <c r="E1198" s="9">
        <v>7.5999999999999998E-2</v>
      </c>
      <c r="F1198" s="9">
        <v>23</v>
      </c>
      <c r="G1198" s="9">
        <v>94</v>
      </c>
      <c r="H1198" s="9">
        <v>0.99685999999999997</v>
      </c>
      <c r="I1198" s="9">
        <v>3.21</v>
      </c>
      <c r="J1198" s="9">
        <v>0.57999999999999996</v>
      </c>
      <c r="K1198" s="9">
        <v>9.5</v>
      </c>
      <c r="L1198" s="9">
        <v>6</v>
      </c>
    </row>
    <row r="1199" spans="1:12" x14ac:dyDescent="0.3">
      <c r="A1199" s="9">
        <v>7.7</v>
      </c>
      <c r="B1199" s="9">
        <v>0.56999999999999995</v>
      </c>
      <c r="C1199" s="9">
        <v>0.21</v>
      </c>
      <c r="D1199" s="9">
        <v>1.5</v>
      </c>
      <c r="E1199" s="9">
        <v>6.9000000000000006E-2</v>
      </c>
      <c r="F1199" s="9">
        <v>4</v>
      </c>
      <c r="G1199" s="9">
        <v>9</v>
      </c>
      <c r="H1199" s="9">
        <v>0.99458000000000002</v>
      </c>
      <c r="I1199" s="9">
        <v>3.16</v>
      </c>
      <c r="J1199" s="9">
        <v>0.54</v>
      </c>
      <c r="K1199" s="9">
        <v>9.8000000000000007</v>
      </c>
      <c r="L1199" s="9">
        <v>6</v>
      </c>
    </row>
    <row r="1200" spans="1:12" x14ac:dyDescent="0.3">
      <c r="A1200" s="9">
        <v>7.7</v>
      </c>
      <c r="B1200" s="9">
        <v>0.26</v>
      </c>
      <c r="C1200" s="9">
        <v>0.26</v>
      </c>
      <c r="D1200" s="9">
        <v>2</v>
      </c>
      <c r="E1200" s="9">
        <v>5.1999999999999998E-2</v>
      </c>
      <c r="F1200" s="9">
        <v>19</v>
      </c>
      <c r="G1200" s="9">
        <v>77</v>
      </c>
      <c r="H1200" s="9">
        <v>0.99509999999999998</v>
      </c>
      <c r="I1200" s="9">
        <v>3.15</v>
      </c>
      <c r="J1200" s="9">
        <v>0.79</v>
      </c>
      <c r="K1200" s="9">
        <v>10.9</v>
      </c>
      <c r="L1200" s="9">
        <v>6</v>
      </c>
    </row>
    <row r="1201" spans="1:12" x14ac:dyDescent="0.3">
      <c r="A1201" s="9">
        <v>7.9</v>
      </c>
      <c r="B1201" s="9">
        <v>0.57999999999999996</v>
      </c>
      <c r="C1201" s="9">
        <v>0.23</v>
      </c>
      <c r="D1201" s="9">
        <v>2.2999999999999998</v>
      </c>
      <c r="E1201" s="9">
        <v>7.5999999999999998E-2</v>
      </c>
      <c r="F1201" s="9">
        <v>23</v>
      </c>
      <c r="G1201" s="9">
        <v>94</v>
      </c>
      <c r="H1201" s="9">
        <v>0.99685999999999997</v>
      </c>
      <c r="I1201" s="9">
        <v>3.21</v>
      </c>
      <c r="J1201" s="9">
        <v>0.57999999999999996</v>
      </c>
      <c r="K1201" s="9">
        <v>9.5</v>
      </c>
      <c r="L1201" s="9">
        <v>6</v>
      </c>
    </row>
    <row r="1202" spans="1:12" x14ac:dyDescent="0.3">
      <c r="A1202" s="9">
        <v>7.7</v>
      </c>
      <c r="B1202" s="9">
        <v>0.56999999999999995</v>
      </c>
      <c r="C1202" s="9">
        <v>0.21</v>
      </c>
      <c r="D1202" s="9">
        <v>1.5</v>
      </c>
      <c r="E1202" s="9">
        <v>6.9000000000000006E-2</v>
      </c>
      <c r="F1202" s="9">
        <v>4</v>
      </c>
      <c r="G1202" s="9">
        <v>9</v>
      </c>
      <c r="H1202" s="9">
        <v>0.99458000000000002</v>
      </c>
      <c r="I1202" s="9">
        <v>3.16</v>
      </c>
      <c r="J1202" s="9">
        <v>0.54</v>
      </c>
      <c r="K1202" s="9">
        <v>9.8000000000000007</v>
      </c>
      <c r="L1202" s="9">
        <v>6</v>
      </c>
    </row>
    <row r="1203" spans="1:12" x14ac:dyDescent="0.3">
      <c r="A1203" s="9">
        <v>7.9</v>
      </c>
      <c r="B1203" s="9">
        <v>0.34</v>
      </c>
      <c r="C1203" s="9">
        <v>0.36</v>
      </c>
      <c r="D1203" s="9">
        <v>1.9</v>
      </c>
      <c r="E1203" s="9">
        <v>6.5000000000000002E-2</v>
      </c>
      <c r="F1203" s="9">
        <v>5</v>
      </c>
      <c r="G1203" s="9">
        <v>10</v>
      </c>
      <c r="H1203" s="9">
        <v>0.99419000000000002</v>
      </c>
      <c r="I1203" s="9">
        <v>3.27</v>
      </c>
      <c r="J1203" s="9">
        <v>0.54</v>
      </c>
      <c r="K1203" s="9">
        <v>11.2</v>
      </c>
      <c r="L1203" s="9">
        <v>7</v>
      </c>
    </row>
    <row r="1204" spans="1:12" x14ac:dyDescent="0.3">
      <c r="A1204" s="9">
        <v>8.6</v>
      </c>
      <c r="B1204" s="9">
        <v>0.42</v>
      </c>
      <c r="C1204" s="9">
        <v>0.39</v>
      </c>
      <c r="D1204" s="9">
        <v>1.8</v>
      </c>
      <c r="E1204" s="9">
        <v>6.8000000000000005E-2</v>
      </c>
      <c r="F1204" s="9">
        <v>6</v>
      </c>
      <c r="G1204" s="9">
        <v>12</v>
      </c>
      <c r="H1204" s="9">
        <v>0.99516000000000004</v>
      </c>
      <c r="I1204" s="9">
        <v>3.35</v>
      </c>
      <c r="J1204" s="9">
        <v>0.69</v>
      </c>
      <c r="K1204" s="9">
        <v>11.7</v>
      </c>
      <c r="L1204" s="9">
        <v>8</v>
      </c>
    </row>
    <row r="1205" spans="1:12" x14ac:dyDescent="0.3">
      <c r="A1205" s="9">
        <v>9.9</v>
      </c>
      <c r="B1205" s="9">
        <v>0.74</v>
      </c>
      <c r="C1205" s="9">
        <v>0.19</v>
      </c>
      <c r="D1205" s="9">
        <v>5.8</v>
      </c>
      <c r="E1205" s="9">
        <v>0.111</v>
      </c>
      <c r="F1205" s="9">
        <v>33</v>
      </c>
      <c r="G1205" s="9">
        <v>76</v>
      </c>
      <c r="H1205" s="9">
        <v>0.99878</v>
      </c>
      <c r="I1205" s="9">
        <v>3.14</v>
      </c>
      <c r="J1205" s="9">
        <v>0.55000000000000004</v>
      </c>
      <c r="K1205" s="9">
        <v>9.4</v>
      </c>
      <c r="L1205" s="9">
        <v>5</v>
      </c>
    </row>
    <row r="1206" spans="1:12" x14ac:dyDescent="0.3">
      <c r="A1206" s="9">
        <v>7.2</v>
      </c>
      <c r="B1206" s="9">
        <v>0.36</v>
      </c>
      <c r="C1206" s="9">
        <v>0.46</v>
      </c>
      <c r="D1206" s="9">
        <v>2.1</v>
      </c>
      <c r="E1206" s="9">
        <v>7.3999999999999996E-2</v>
      </c>
      <c r="F1206" s="9">
        <v>24</v>
      </c>
      <c r="G1206" s="9">
        <v>44</v>
      </c>
      <c r="H1206" s="9">
        <v>0.99534</v>
      </c>
      <c r="I1206" s="9">
        <v>3.4</v>
      </c>
      <c r="J1206" s="9">
        <v>0.85</v>
      </c>
      <c r="K1206" s="9">
        <v>11</v>
      </c>
      <c r="L1206" s="9">
        <v>7</v>
      </c>
    </row>
    <row r="1207" spans="1:12" x14ac:dyDescent="0.3">
      <c r="A1207" s="9">
        <v>7.2</v>
      </c>
      <c r="B1207" s="9">
        <v>0.36</v>
      </c>
      <c r="C1207" s="9">
        <v>0.46</v>
      </c>
      <c r="D1207" s="9">
        <v>2.1</v>
      </c>
      <c r="E1207" s="9">
        <v>7.3999999999999996E-2</v>
      </c>
      <c r="F1207" s="9">
        <v>24</v>
      </c>
      <c r="G1207" s="9">
        <v>44</v>
      </c>
      <c r="H1207" s="9">
        <v>0.99534</v>
      </c>
      <c r="I1207" s="9">
        <v>3.4</v>
      </c>
      <c r="J1207" s="9">
        <v>0.85</v>
      </c>
      <c r="K1207" s="9">
        <v>11</v>
      </c>
      <c r="L1207" s="9">
        <v>7</v>
      </c>
    </row>
    <row r="1208" spans="1:12" x14ac:dyDescent="0.3">
      <c r="A1208" s="9">
        <v>7.2</v>
      </c>
      <c r="B1208" s="9">
        <v>0.36</v>
      </c>
      <c r="C1208" s="9">
        <v>0.46</v>
      </c>
      <c r="D1208" s="9">
        <v>2.1</v>
      </c>
      <c r="E1208" s="9">
        <v>7.3999999999999996E-2</v>
      </c>
      <c r="F1208" s="9">
        <v>24</v>
      </c>
      <c r="G1208" s="9">
        <v>44</v>
      </c>
      <c r="H1208" s="9">
        <v>0.99534</v>
      </c>
      <c r="I1208" s="9">
        <v>3.4</v>
      </c>
      <c r="J1208" s="9">
        <v>0.85</v>
      </c>
      <c r="K1208" s="9">
        <v>11</v>
      </c>
      <c r="L1208" s="9">
        <v>7</v>
      </c>
    </row>
    <row r="1209" spans="1:12" x14ac:dyDescent="0.3">
      <c r="A1209" s="9">
        <v>9.9</v>
      </c>
      <c r="B1209" s="9">
        <v>0.72</v>
      </c>
      <c r="C1209" s="9">
        <v>0.55000000000000004</v>
      </c>
      <c r="D1209" s="9">
        <v>1.7</v>
      </c>
      <c r="E1209" s="9">
        <v>0.13600000000000001</v>
      </c>
      <c r="F1209" s="9">
        <v>24</v>
      </c>
      <c r="G1209" s="9">
        <v>52</v>
      </c>
      <c r="H1209" s="9">
        <v>0.99751999999999996</v>
      </c>
      <c r="I1209" s="9">
        <v>3.35</v>
      </c>
      <c r="J1209" s="9">
        <v>0.94</v>
      </c>
      <c r="K1209" s="9">
        <v>10</v>
      </c>
      <c r="L1209" s="9">
        <v>5</v>
      </c>
    </row>
    <row r="1210" spans="1:12" x14ac:dyDescent="0.3">
      <c r="A1210" s="9">
        <v>7.2</v>
      </c>
      <c r="B1210" s="9">
        <v>0.36</v>
      </c>
      <c r="C1210" s="9">
        <v>0.46</v>
      </c>
      <c r="D1210" s="9">
        <v>2.1</v>
      </c>
      <c r="E1210" s="9">
        <v>7.3999999999999996E-2</v>
      </c>
      <c r="F1210" s="9">
        <v>24</v>
      </c>
      <c r="G1210" s="9">
        <v>44</v>
      </c>
      <c r="H1210" s="9">
        <v>0.99534</v>
      </c>
      <c r="I1210" s="9">
        <v>3.4</v>
      </c>
      <c r="J1210" s="9">
        <v>0.85</v>
      </c>
      <c r="K1210" s="9">
        <v>11</v>
      </c>
      <c r="L1210" s="9">
        <v>7</v>
      </c>
    </row>
    <row r="1211" spans="1:12" x14ac:dyDescent="0.3">
      <c r="A1211" s="9">
        <v>6.2</v>
      </c>
      <c r="B1211" s="9">
        <v>0.39</v>
      </c>
      <c r="C1211" s="9">
        <v>0.43</v>
      </c>
      <c r="D1211" s="9">
        <v>2</v>
      </c>
      <c r="E1211" s="9">
        <v>7.0999999999999994E-2</v>
      </c>
      <c r="F1211" s="9">
        <v>14</v>
      </c>
      <c r="G1211" s="9">
        <v>24</v>
      </c>
      <c r="H1211" s="9">
        <v>0.99428000000000005</v>
      </c>
      <c r="I1211" s="9">
        <v>3.45</v>
      </c>
      <c r="J1211" s="9">
        <v>0.87</v>
      </c>
      <c r="K1211" s="9">
        <v>11.2</v>
      </c>
      <c r="L1211" s="9">
        <v>7</v>
      </c>
    </row>
    <row r="1212" spans="1:12" x14ac:dyDescent="0.3">
      <c r="A1212" s="9">
        <v>6.8</v>
      </c>
      <c r="B1212" s="9">
        <v>0.65</v>
      </c>
      <c r="C1212" s="9">
        <v>0.02</v>
      </c>
      <c r="D1212" s="9">
        <v>2.1</v>
      </c>
      <c r="E1212" s="9">
        <v>7.8E-2</v>
      </c>
      <c r="F1212" s="9">
        <v>8</v>
      </c>
      <c r="G1212" s="9">
        <v>15</v>
      </c>
      <c r="H1212" s="9">
        <v>0.99497999999999998</v>
      </c>
      <c r="I1212" s="9">
        <v>3.35</v>
      </c>
      <c r="J1212" s="9">
        <v>0.62</v>
      </c>
      <c r="K1212" s="9">
        <v>10.4</v>
      </c>
      <c r="L1212" s="9">
        <v>6</v>
      </c>
    </row>
    <row r="1213" spans="1:12" x14ac:dyDescent="0.3">
      <c r="A1213" s="9">
        <v>6.6</v>
      </c>
      <c r="B1213" s="9">
        <v>0.44</v>
      </c>
      <c r="C1213" s="9">
        <v>0.15</v>
      </c>
      <c r="D1213" s="9">
        <v>2.1</v>
      </c>
      <c r="E1213" s="9">
        <v>7.5999999999999998E-2</v>
      </c>
      <c r="F1213" s="9">
        <v>22</v>
      </c>
      <c r="G1213" s="9">
        <v>53</v>
      </c>
      <c r="H1213" s="9">
        <v>0.99570000000000003</v>
      </c>
      <c r="I1213" s="9">
        <v>3.32</v>
      </c>
      <c r="J1213" s="9">
        <v>0.62</v>
      </c>
      <c r="K1213" s="9">
        <v>9.3000000000000007</v>
      </c>
      <c r="L1213" s="9">
        <v>5</v>
      </c>
    </row>
    <row r="1214" spans="1:12" x14ac:dyDescent="0.3">
      <c r="A1214" s="9">
        <v>6.8</v>
      </c>
      <c r="B1214" s="9">
        <v>0.65</v>
      </c>
      <c r="C1214" s="9">
        <v>0.02</v>
      </c>
      <c r="D1214" s="9">
        <v>2.1</v>
      </c>
      <c r="E1214" s="9">
        <v>7.8E-2</v>
      </c>
      <c r="F1214" s="9">
        <v>8</v>
      </c>
      <c r="G1214" s="9">
        <v>15</v>
      </c>
      <c r="H1214" s="9">
        <v>0.99497999999999998</v>
      </c>
      <c r="I1214" s="9">
        <v>3.35</v>
      </c>
      <c r="J1214" s="9">
        <v>0.62</v>
      </c>
      <c r="K1214" s="9">
        <v>10.4</v>
      </c>
      <c r="L1214" s="9">
        <v>6</v>
      </c>
    </row>
    <row r="1215" spans="1:12" x14ac:dyDescent="0.3">
      <c r="A1215" s="9">
        <v>9.6</v>
      </c>
      <c r="B1215" s="9">
        <v>0.38</v>
      </c>
      <c r="C1215" s="9">
        <v>0.42</v>
      </c>
      <c r="D1215" s="9">
        <v>1.9</v>
      </c>
      <c r="E1215" s="9">
        <v>7.0999999999999994E-2</v>
      </c>
      <c r="F1215" s="9">
        <v>5</v>
      </c>
      <c r="G1215" s="9">
        <v>13</v>
      </c>
      <c r="H1215" s="9">
        <v>0.99658999999999998</v>
      </c>
      <c r="I1215" s="9">
        <v>3.15</v>
      </c>
      <c r="J1215" s="9">
        <v>0.75</v>
      </c>
      <c r="K1215" s="9">
        <v>10.5</v>
      </c>
      <c r="L1215" s="9">
        <v>6</v>
      </c>
    </row>
    <row r="1216" spans="1:12" x14ac:dyDescent="0.3">
      <c r="A1216" s="9">
        <v>10.199999999999999</v>
      </c>
      <c r="B1216" s="9">
        <v>0.33</v>
      </c>
      <c r="C1216" s="9">
        <v>0.46</v>
      </c>
      <c r="D1216" s="9">
        <v>1.9</v>
      </c>
      <c r="E1216" s="9">
        <v>8.1000000000000003E-2</v>
      </c>
      <c r="F1216" s="9">
        <v>6</v>
      </c>
      <c r="G1216" s="9">
        <v>9</v>
      </c>
      <c r="H1216" s="9">
        <v>0.99628000000000005</v>
      </c>
      <c r="I1216" s="9">
        <v>3.1</v>
      </c>
      <c r="J1216" s="9">
        <v>0.48</v>
      </c>
      <c r="K1216" s="9">
        <v>10.4</v>
      </c>
      <c r="L1216" s="9">
        <v>6</v>
      </c>
    </row>
    <row r="1217" spans="1:12" x14ac:dyDescent="0.3">
      <c r="A1217" s="9">
        <v>8.8000000000000007</v>
      </c>
      <c r="B1217" s="9">
        <v>0.27</v>
      </c>
      <c r="C1217" s="9">
        <v>0.46</v>
      </c>
      <c r="D1217" s="9">
        <v>2.1</v>
      </c>
      <c r="E1217" s="9">
        <v>9.5000000000000001E-2</v>
      </c>
      <c r="F1217" s="9">
        <v>20</v>
      </c>
      <c r="G1217" s="9">
        <v>29</v>
      </c>
      <c r="H1217" s="9">
        <v>0.99487999999999999</v>
      </c>
      <c r="I1217" s="9">
        <v>3.26</v>
      </c>
      <c r="J1217" s="9">
        <v>0.56000000000000005</v>
      </c>
      <c r="K1217" s="9">
        <v>11.3</v>
      </c>
      <c r="L1217" s="9">
        <v>6</v>
      </c>
    </row>
    <row r="1218" spans="1:12" x14ac:dyDescent="0.3">
      <c r="A1218" s="9">
        <v>7.9</v>
      </c>
      <c r="B1218" s="9">
        <v>0.56999999999999995</v>
      </c>
      <c r="C1218" s="9">
        <v>0.31</v>
      </c>
      <c r="D1218" s="9">
        <v>2</v>
      </c>
      <c r="E1218" s="9">
        <v>7.9000000000000001E-2</v>
      </c>
      <c r="F1218" s="9">
        <v>10</v>
      </c>
      <c r="G1218" s="9">
        <v>79</v>
      </c>
      <c r="H1218" s="9">
        <v>0.99677000000000004</v>
      </c>
      <c r="I1218" s="9">
        <v>3.29</v>
      </c>
      <c r="J1218" s="9">
        <v>0.69</v>
      </c>
      <c r="K1218" s="9">
        <v>9.5</v>
      </c>
      <c r="L1218" s="9">
        <v>6</v>
      </c>
    </row>
    <row r="1219" spans="1:12" x14ac:dyDescent="0.3">
      <c r="A1219" s="9">
        <v>8.1999999999999993</v>
      </c>
      <c r="B1219" s="9">
        <v>0.34</v>
      </c>
      <c r="C1219" s="9">
        <v>0.37</v>
      </c>
      <c r="D1219" s="9">
        <v>1.9</v>
      </c>
      <c r="E1219" s="9">
        <v>5.7000000000000002E-2</v>
      </c>
      <c r="F1219" s="9">
        <v>43</v>
      </c>
      <c r="G1219" s="9">
        <v>74</v>
      </c>
      <c r="H1219" s="9">
        <v>0.99407999999999996</v>
      </c>
      <c r="I1219" s="9">
        <v>3.23</v>
      </c>
      <c r="J1219" s="9">
        <v>0.81</v>
      </c>
      <c r="K1219" s="9">
        <v>12</v>
      </c>
      <c r="L1219" s="9">
        <v>6</v>
      </c>
    </row>
    <row r="1220" spans="1:12" x14ac:dyDescent="0.3">
      <c r="A1220" s="9">
        <v>8.1999999999999993</v>
      </c>
      <c r="B1220" s="9">
        <v>0.4</v>
      </c>
      <c r="C1220" s="9">
        <v>0.31</v>
      </c>
      <c r="D1220" s="9">
        <v>1.9</v>
      </c>
      <c r="E1220" s="9">
        <v>8.2000000000000003E-2</v>
      </c>
      <c r="F1220" s="9">
        <v>8</v>
      </c>
      <c r="G1220" s="9">
        <v>24</v>
      </c>
      <c r="H1220" s="9">
        <v>0.996</v>
      </c>
      <c r="I1220" s="9">
        <v>3.24</v>
      </c>
      <c r="J1220" s="9">
        <v>0.69</v>
      </c>
      <c r="K1220" s="9">
        <v>10.6</v>
      </c>
      <c r="L1220" s="9">
        <v>6</v>
      </c>
    </row>
    <row r="1221" spans="1:12" x14ac:dyDescent="0.3">
      <c r="A1221" s="9">
        <v>9</v>
      </c>
      <c r="B1221" s="9">
        <v>0.39</v>
      </c>
      <c r="C1221" s="9">
        <v>0.4</v>
      </c>
      <c r="D1221" s="9">
        <v>1.3</v>
      </c>
      <c r="E1221" s="9">
        <v>4.3999999999999997E-2</v>
      </c>
      <c r="F1221" s="9">
        <v>25</v>
      </c>
      <c r="G1221" s="9">
        <v>50</v>
      </c>
      <c r="H1221" s="9">
        <v>0.99478</v>
      </c>
      <c r="I1221" s="9">
        <v>3.2</v>
      </c>
      <c r="J1221" s="9">
        <v>0.83</v>
      </c>
      <c r="K1221" s="9">
        <v>10.9</v>
      </c>
      <c r="L1221" s="9">
        <v>6</v>
      </c>
    </row>
    <row r="1222" spans="1:12" x14ac:dyDescent="0.3">
      <c r="A1222" s="9">
        <v>10.9</v>
      </c>
      <c r="B1222" s="9">
        <v>0.32</v>
      </c>
      <c r="C1222" s="9">
        <v>0.52</v>
      </c>
      <c r="D1222" s="9">
        <v>1.8</v>
      </c>
      <c r="E1222" s="9">
        <v>0.13200000000000001</v>
      </c>
      <c r="F1222" s="9">
        <v>17</v>
      </c>
      <c r="G1222" s="9">
        <v>44</v>
      </c>
      <c r="H1222" s="9">
        <v>0.99734</v>
      </c>
      <c r="I1222" s="9">
        <v>3.28</v>
      </c>
      <c r="J1222" s="9">
        <v>0.77</v>
      </c>
      <c r="K1222" s="9">
        <v>11.5</v>
      </c>
      <c r="L1222" s="9">
        <v>6</v>
      </c>
    </row>
    <row r="1223" spans="1:12" x14ac:dyDescent="0.3">
      <c r="A1223" s="9">
        <v>10.9</v>
      </c>
      <c r="B1223" s="9">
        <v>0.32</v>
      </c>
      <c r="C1223" s="9">
        <v>0.52</v>
      </c>
      <c r="D1223" s="9">
        <v>1.8</v>
      </c>
      <c r="E1223" s="9">
        <v>0.13200000000000001</v>
      </c>
      <c r="F1223" s="9">
        <v>17</v>
      </c>
      <c r="G1223" s="9">
        <v>44</v>
      </c>
      <c r="H1223" s="9">
        <v>0.99734</v>
      </c>
      <c r="I1223" s="9">
        <v>3.28</v>
      </c>
      <c r="J1223" s="9">
        <v>0.77</v>
      </c>
      <c r="K1223" s="9">
        <v>11.5</v>
      </c>
      <c r="L1223" s="9">
        <v>6</v>
      </c>
    </row>
    <row r="1224" spans="1:12" x14ac:dyDescent="0.3">
      <c r="A1224" s="9">
        <v>8.1</v>
      </c>
      <c r="B1224" s="9">
        <v>0.53</v>
      </c>
      <c r="C1224" s="9">
        <v>0.22</v>
      </c>
      <c r="D1224" s="9">
        <v>2.2000000000000002</v>
      </c>
      <c r="E1224" s="9">
        <v>7.8E-2</v>
      </c>
      <c r="F1224" s="9">
        <v>33</v>
      </c>
      <c r="G1224" s="9">
        <v>89</v>
      </c>
      <c r="H1224" s="9">
        <v>0.99678</v>
      </c>
      <c r="I1224" s="9">
        <v>3.26</v>
      </c>
      <c r="J1224" s="9">
        <v>0.46</v>
      </c>
      <c r="K1224" s="9">
        <v>9.6</v>
      </c>
      <c r="L1224" s="9">
        <v>6</v>
      </c>
    </row>
    <row r="1225" spans="1:12" x14ac:dyDescent="0.3">
      <c r="A1225" s="9">
        <v>10.5</v>
      </c>
      <c r="B1225" s="9">
        <v>0.36</v>
      </c>
      <c r="C1225" s="9">
        <v>0.47</v>
      </c>
      <c r="D1225" s="9">
        <v>2.2000000000000002</v>
      </c>
      <c r="E1225" s="9">
        <v>7.3999999999999996E-2</v>
      </c>
      <c r="F1225" s="9">
        <v>9</v>
      </c>
      <c r="G1225" s="9">
        <v>23</v>
      </c>
      <c r="H1225" s="9">
        <v>0.99638000000000004</v>
      </c>
      <c r="I1225" s="9">
        <v>3.23</v>
      </c>
      <c r="J1225" s="9">
        <v>0.76</v>
      </c>
      <c r="K1225" s="9">
        <v>12</v>
      </c>
      <c r="L1225" s="9">
        <v>6</v>
      </c>
    </row>
    <row r="1226" spans="1:12" x14ac:dyDescent="0.3">
      <c r="A1226" s="9">
        <v>12.6</v>
      </c>
      <c r="B1226" s="9">
        <v>0.39</v>
      </c>
      <c r="C1226" s="9">
        <v>0.49</v>
      </c>
      <c r="D1226" s="9">
        <v>2.5</v>
      </c>
      <c r="E1226" s="9">
        <v>0.08</v>
      </c>
      <c r="F1226" s="9">
        <v>8</v>
      </c>
      <c r="G1226" s="9">
        <v>20</v>
      </c>
      <c r="H1226" s="9">
        <v>0.99919999999999998</v>
      </c>
      <c r="I1226" s="9">
        <v>3.07</v>
      </c>
      <c r="J1226" s="9">
        <v>0.82</v>
      </c>
      <c r="K1226" s="9">
        <v>10.3</v>
      </c>
      <c r="L1226" s="9">
        <v>6</v>
      </c>
    </row>
    <row r="1227" spans="1:12" x14ac:dyDescent="0.3">
      <c r="A1227" s="9">
        <v>9.1999999999999993</v>
      </c>
      <c r="B1227" s="9">
        <v>0.46</v>
      </c>
      <c r="C1227" s="9">
        <v>0.23</v>
      </c>
      <c r="D1227" s="9">
        <v>2.6</v>
      </c>
      <c r="E1227" s="9">
        <v>9.0999999999999998E-2</v>
      </c>
      <c r="F1227" s="9">
        <v>18</v>
      </c>
      <c r="G1227" s="9">
        <v>77</v>
      </c>
      <c r="H1227" s="9">
        <v>0.99922</v>
      </c>
      <c r="I1227" s="9">
        <v>3.15</v>
      </c>
      <c r="J1227" s="9">
        <v>0.51</v>
      </c>
      <c r="K1227" s="9">
        <v>9.4</v>
      </c>
      <c r="L1227" s="9">
        <v>5</v>
      </c>
    </row>
    <row r="1228" spans="1:12" x14ac:dyDescent="0.3">
      <c r="A1228" s="9">
        <v>7.5</v>
      </c>
      <c r="B1228" s="9">
        <v>0.57999999999999996</v>
      </c>
      <c r="C1228" s="9">
        <v>0.03</v>
      </c>
      <c r="D1228" s="9">
        <v>4.0999999999999996</v>
      </c>
      <c r="E1228" s="9">
        <v>0.08</v>
      </c>
      <c r="F1228" s="9">
        <v>27</v>
      </c>
      <c r="G1228" s="9">
        <v>46</v>
      </c>
      <c r="H1228" s="9">
        <v>0.99592000000000003</v>
      </c>
      <c r="I1228" s="9">
        <v>3.02</v>
      </c>
      <c r="J1228" s="9">
        <v>0.47</v>
      </c>
      <c r="K1228" s="9">
        <v>9.1999999999999993</v>
      </c>
      <c r="L1228" s="9">
        <v>5</v>
      </c>
    </row>
    <row r="1229" spans="1:12" x14ac:dyDescent="0.3">
      <c r="A1229" s="9">
        <v>9</v>
      </c>
      <c r="B1229" s="9">
        <v>0.57999999999999996</v>
      </c>
      <c r="C1229" s="9">
        <v>0.25</v>
      </c>
      <c r="D1229" s="9">
        <v>2</v>
      </c>
      <c r="E1229" s="9">
        <v>0.104</v>
      </c>
      <c r="F1229" s="9">
        <v>8</v>
      </c>
      <c r="G1229" s="9">
        <v>21</v>
      </c>
      <c r="H1229" s="9">
        <v>0.99768999999999997</v>
      </c>
      <c r="I1229" s="9">
        <v>3.27</v>
      </c>
      <c r="J1229" s="9">
        <v>0.72</v>
      </c>
      <c r="K1229" s="9">
        <v>9.6</v>
      </c>
      <c r="L1229" s="9">
        <v>5</v>
      </c>
    </row>
    <row r="1230" spans="1:12" x14ac:dyDescent="0.3">
      <c r="A1230" s="9">
        <v>5.0999999999999996</v>
      </c>
      <c r="B1230" s="9">
        <v>0.42</v>
      </c>
      <c r="C1230" s="9">
        <v>0</v>
      </c>
      <c r="D1230" s="9">
        <v>1.8</v>
      </c>
      <c r="E1230" s="9">
        <v>4.3999999999999997E-2</v>
      </c>
      <c r="F1230" s="9">
        <v>18</v>
      </c>
      <c r="G1230" s="9">
        <v>88</v>
      </c>
      <c r="H1230" s="9">
        <v>0.99156999999999995</v>
      </c>
      <c r="I1230" s="9">
        <v>3.68</v>
      </c>
      <c r="J1230" s="9">
        <v>0.73</v>
      </c>
      <c r="K1230" s="9">
        <v>13.6</v>
      </c>
      <c r="L1230" s="9">
        <v>7</v>
      </c>
    </row>
    <row r="1231" spans="1:12" x14ac:dyDescent="0.3">
      <c r="A1231" s="9">
        <v>7.6</v>
      </c>
      <c r="B1231" s="9">
        <v>0.43</v>
      </c>
      <c r="C1231" s="9">
        <v>0.28999999999999998</v>
      </c>
      <c r="D1231" s="9">
        <v>2.1</v>
      </c>
      <c r="E1231" s="9">
        <v>7.4999999999999997E-2</v>
      </c>
      <c r="F1231" s="9">
        <v>19</v>
      </c>
      <c r="G1231" s="9">
        <v>66</v>
      </c>
      <c r="H1231" s="9">
        <v>0.99717999999999996</v>
      </c>
      <c r="I1231" s="9">
        <v>3.4</v>
      </c>
      <c r="J1231" s="9">
        <v>0.64</v>
      </c>
      <c r="K1231" s="9">
        <v>9.5</v>
      </c>
      <c r="L1231" s="9">
        <v>5</v>
      </c>
    </row>
    <row r="1232" spans="1:12" x14ac:dyDescent="0.3">
      <c r="A1232" s="9">
        <v>7.7</v>
      </c>
      <c r="B1232" s="9">
        <v>0.18</v>
      </c>
      <c r="C1232" s="9">
        <v>0.34</v>
      </c>
      <c r="D1232" s="9">
        <v>2.7</v>
      </c>
      <c r="E1232" s="9">
        <v>6.6000000000000003E-2</v>
      </c>
      <c r="F1232" s="9">
        <v>15</v>
      </c>
      <c r="G1232" s="9">
        <v>58</v>
      </c>
      <c r="H1232" s="9">
        <v>0.99470000000000003</v>
      </c>
      <c r="I1232" s="9">
        <v>3.37</v>
      </c>
      <c r="J1232" s="9">
        <v>0.78</v>
      </c>
      <c r="K1232" s="9">
        <v>11.8</v>
      </c>
      <c r="L1232" s="9">
        <v>6</v>
      </c>
    </row>
    <row r="1233" spans="1:12" x14ac:dyDescent="0.3">
      <c r="A1233" s="9">
        <v>7.8</v>
      </c>
      <c r="B1233" s="9">
        <v>0.81499999999999995</v>
      </c>
      <c r="C1233" s="9">
        <v>0.01</v>
      </c>
      <c r="D1233" s="9">
        <v>2.6</v>
      </c>
      <c r="E1233" s="9">
        <v>7.3999999999999996E-2</v>
      </c>
      <c r="F1233" s="9">
        <v>48</v>
      </c>
      <c r="G1233" s="9">
        <v>90</v>
      </c>
      <c r="H1233" s="9">
        <v>0.99621000000000004</v>
      </c>
      <c r="I1233" s="9">
        <v>3.38</v>
      </c>
      <c r="J1233" s="9">
        <v>0.62</v>
      </c>
      <c r="K1233" s="9">
        <v>10.8</v>
      </c>
      <c r="L1233" s="9">
        <v>5</v>
      </c>
    </row>
    <row r="1234" spans="1:12" x14ac:dyDescent="0.3">
      <c r="A1234" s="9">
        <v>7.6</v>
      </c>
      <c r="B1234" s="9">
        <v>0.43</v>
      </c>
      <c r="C1234" s="9">
        <v>0.28999999999999998</v>
      </c>
      <c r="D1234" s="9">
        <v>2.1</v>
      </c>
      <c r="E1234" s="9">
        <v>7.4999999999999997E-2</v>
      </c>
      <c r="F1234" s="9">
        <v>19</v>
      </c>
      <c r="G1234" s="9">
        <v>66</v>
      </c>
      <c r="H1234" s="9">
        <v>0.99717999999999996</v>
      </c>
      <c r="I1234" s="9">
        <v>3.4</v>
      </c>
      <c r="J1234" s="9">
        <v>0.64</v>
      </c>
      <c r="K1234" s="9">
        <v>9.5</v>
      </c>
      <c r="L1234" s="9">
        <v>5</v>
      </c>
    </row>
    <row r="1235" spans="1:12" x14ac:dyDescent="0.3">
      <c r="A1235" s="9">
        <v>10.199999999999999</v>
      </c>
      <c r="B1235" s="9">
        <v>0.23</v>
      </c>
      <c r="C1235" s="9">
        <v>0.37</v>
      </c>
      <c r="D1235" s="9">
        <v>2.2000000000000002</v>
      </c>
      <c r="E1235" s="9">
        <v>5.7000000000000002E-2</v>
      </c>
      <c r="F1235" s="9">
        <v>14</v>
      </c>
      <c r="G1235" s="9">
        <v>36</v>
      </c>
      <c r="H1235" s="9">
        <v>0.99614000000000003</v>
      </c>
      <c r="I1235" s="9">
        <v>3.23</v>
      </c>
      <c r="J1235" s="9">
        <v>0.49</v>
      </c>
      <c r="K1235" s="9">
        <v>9.3000000000000007</v>
      </c>
      <c r="L1235" s="9">
        <v>4</v>
      </c>
    </row>
    <row r="1236" spans="1:12" x14ac:dyDescent="0.3">
      <c r="A1236" s="9">
        <v>7.1</v>
      </c>
      <c r="B1236" s="9">
        <v>0.75</v>
      </c>
      <c r="C1236" s="9">
        <v>0.01</v>
      </c>
      <c r="D1236" s="9">
        <v>2.2000000000000002</v>
      </c>
      <c r="E1236" s="9">
        <v>5.8999999999999997E-2</v>
      </c>
      <c r="F1236" s="9">
        <v>11</v>
      </c>
      <c r="G1236" s="9">
        <v>18</v>
      </c>
      <c r="H1236" s="9">
        <v>0.99241999999999997</v>
      </c>
      <c r="I1236" s="9">
        <v>3.39</v>
      </c>
      <c r="J1236" s="9">
        <v>0.4</v>
      </c>
      <c r="K1236" s="9">
        <v>12.8</v>
      </c>
      <c r="L1236" s="9">
        <v>6</v>
      </c>
    </row>
    <row r="1237" spans="1:12" x14ac:dyDescent="0.3">
      <c r="A1237" s="9">
        <v>6</v>
      </c>
      <c r="B1237" s="9">
        <v>0.33</v>
      </c>
      <c r="C1237" s="9">
        <v>0.32</v>
      </c>
      <c r="D1237" s="9">
        <v>12.9</v>
      </c>
      <c r="E1237" s="9">
        <v>5.3999999999999999E-2</v>
      </c>
      <c r="F1237" s="9">
        <v>6</v>
      </c>
      <c r="G1237" s="9">
        <v>113</v>
      </c>
      <c r="H1237" s="9">
        <v>0.99572000000000005</v>
      </c>
      <c r="I1237" s="9">
        <v>3.3</v>
      </c>
      <c r="J1237" s="9">
        <v>0.56000000000000005</v>
      </c>
      <c r="K1237" s="9">
        <v>11.5</v>
      </c>
      <c r="L1237" s="9">
        <v>4</v>
      </c>
    </row>
    <row r="1238" spans="1:12" x14ac:dyDescent="0.3">
      <c r="A1238" s="9">
        <v>7.8</v>
      </c>
      <c r="B1238" s="9">
        <v>0.55000000000000004</v>
      </c>
      <c r="C1238" s="9">
        <v>0</v>
      </c>
      <c r="D1238" s="9">
        <v>1.7</v>
      </c>
      <c r="E1238" s="9">
        <v>7.0000000000000007E-2</v>
      </c>
      <c r="F1238" s="9">
        <v>7</v>
      </c>
      <c r="G1238" s="9">
        <v>17</v>
      </c>
      <c r="H1238" s="9">
        <v>0.99658999999999998</v>
      </c>
      <c r="I1238" s="9">
        <v>3.26</v>
      </c>
      <c r="J1238" s="9">
        <v>0.64</v>
      </c>
      <c r="K1238" s="9">
        <v>9.4</v>
      </c>
      <c r="L1238" s="9">
        <v>6</v>
      </c>
    </row>
    <row r="1239" spans="1:12" x14ac:dyDescent="0.3">
      <c r="A1239" s="9">
        <v>7.1</v>
      </c>
      <c r="B1239" s="9">
        <v>0.75</v>
      </c>
      <c r="C1239" s="9">
        <v>0.01</v>
      </c>
      <c r="D1239" s="9">
        <v>2.2000000000000002</v>
      </c>
      <c r="E1239" s="9">
        <v>5.8999999999999997E-2</v>
      </c>
      <c r="F1239" s="9">
        <v>11</v>
      </c>
      <c r="G1239" s="9">
        <v>18</v>
      </c>
      <c r="H1239" s="9">
        <v>0.99241999999999997</v>
      </c>
      <c r="I1239" s="9">
        <v>3.39</v>
      </c>
      <c r="J1239" s="9">
        <v>0.4</v>
      </c>
      <c r="K1239" s="9">
        <v>12.8</v>
      </c>
      <c r="L1239" s="9">
        <v>6</v>
      </c>
    </row>
    <row r="1240" spans="1:12" x14ac:dyDescent="0.3">
      <c r="A1240" s="9">
        <v>8.1</v>
      </c>
      <c r="B1240" s="9">
        <v>0.73</v>
      </c>
      <c r="C1240" s="9">
        <v>0</v>
      </c>
      <c r="D1240" s="9">
        <v>2.5</v>
      </c>
      <c r="E1240" s="9">
        <v>8.1000000000000003E-2</v>
      </c>
      <c r="F1240" s="9">
        <v>12</v>
      </c>
      <c r="G1240" s="9">
        <v>24</v>
      </c>
      <c r="H1240" s="9">
        <v>0.99797999999999998</v>
      </c>
      <c r="I1240" s="9">
        <v>3.38</v>
      </c>
      <c r="J1240" s="9">
        <v>0.46</v>
      </c>
      <c r="K1240" s="9">
        <v>9.6</v>
      </c>
      <c r="L1240" s="9">
        <v>4</v>
      </c>
    </row>
    <row r="1241" spans="1:12" x14ac:dyDescent="0.3">
      <c r="A1241" s="9">
        <v>6.5</v>
      </c>
      <c r="B1241" s="9">
        <v>0.67</v>
      </c>
      <c r="C1241" s="9">
        <v>0</v>
      </c>
      <c r="D1241" s="9">
        <v>4.3</v>
      </c>
      <c r="E1241" s="9">
        <v>5.7000000000000002E-2</v>
      </c>
      <c r="F1241" s="9">
        <v>11</v>
      </c>
      <c r="G1241" s="9">
        <v>20</v>
      </c>
      <c r="H1241" s="9">
        <v>0.99487999999999999</v>
      </c>
      <c r="I1241" s="9">
        <v>3.45</v>
      </c>
      <c r="J1241" s="9">
        <v>0.56000000000000005</v>
      </c>
      <c r="K1241" s="9">
        <v>11.8</v>
      </c>
      <c r="L1241" s="9">
        <v>4</v>
      </c>
    </row>
    <row r="1242" spans="1:12" x14ac:dyDescent="0.3">
      <c r="A1242" s="9">
        <v>7.5</v>
      </c>
      <c r="B1242" s="9">
        <v>0.61</v>
      </c>
      <c r="C1242" s="9">
        <v>0.2</v>
      </c>
      <c r="D1242" s="9">
        <v>1.7</v>
      </c>
      <c r="E1242" s="9">
        <v>7.5999999999999998E-2</v>
      </c>
      <c r="F1242" s="9">
        <v>36</v>
      </c>
      <c r="G1242" s="9">
        <v>60</v>
      </c>
      <c r="H1242" s="9">
        <v>0.99494000000000005</v>
      </c>
      <c r="I1242" s="9">
        <v>3.1</v>
      </c>
      <c r="J1242" s="9">
        <v>0.4</v>
      </c>
      <c r="K1242" s="9">
        <v>9.3000000000000007</v>
      </c>
      <c r="L1242" s="9">
        <v>5</v>
      </c>
    </row>
    <row r="1243" spans="1:12" x14ac:dyDescent="0.3">
      <c r="A1243" s="9">
        <v>9.8000000000000007</v>
      </c>
      <c r="B1243" s="9">
        <v>0.37</v>
      </c>
      <c r="C1243" s="9">
        <v>0.39</v>
      </c>
      <c r="D1243" s="9">
        <v>2.5</v>
      </c>
      <c r="E1243" s="9">
        <v>7.9000000000000001E-2</v>
      </c>
      <c r="F1243" s="9">
        <v>28</v>
      </c>
      <c r="G1243" s="9">
        <v>65</v>
      </c>
      <c r="H1243" s="9">
        <v>0.99729000000000001</v>
      </c>
      <c r="I1243" s="9">
        <v>3.16</v>
      </c>
      <c r="J1243" s="9">
        <v>0.59</v>
      </c>
      <c r="K1243" s="9">
        <v>9.8000000000000007</v>
      </c>
      <c r="L1243" s="9">
        <v>5</v>
      </c>
    </row>
    <row r="1244" spans="1:12" x14ac:dyDescent="0.3">
      <c r="A1244" s="9">
        <v>9</v>
      </c>
      <c r="B1244" s="9">
        <v>0.4</v>
      </c>
      <c r="C1244" s="9">
        <v>0.41</v>
      </c>
      <c r="D1244" s="9">
        <v>2</v>
      </c>
      <c r="E1244" s="9">
        <v>5.8000000000000003E-2</v>
      </c>
      <c r="F1244" s="9">
        <v>15</v>
      </c>
      <c r="G1244" s="9">
        <v>40</v>
      </c>
      <c r="H1244" s="9">
        <v>0.99414000000000002</v>
      </c>
      <c r="I1244" s="9">
        <v>3.22</v>
      </c>
      <c r="J1244" s="9">
        <v>0.6</v>
      </c>
      <c r="K1244" s="9">
        <v>12.2</v>
      </c>
      <c r="L1244" s="9">
        <v>6</v>
      </c>
    </row>
    <row r="1245" spans="1:12" x14ac:dyDescent="0.3">
      <c r="A1245" s="9">
        <v>8.3000000000000007</v>
      </c>
      <c r="B1245" s="9">
        <v>0.56000000000000005</v>
      </c>
      <c r="C1245" s="9">
        <v>0.22</v>
      </c>
      <c r="D1245" s="9">
        <v>2.4</v>
      </c>
      <c r="E1245" s="9">
        <v>8.2000000000000003E-2</v>
      </c>
      <c r="F1245" s="9">
        <v>10</v>
      </c>
      <c r="G1245" s="9">
        <v>86</v>
      </c>
      <c r="H1245" s="9">
        <v>0.99829999999999997</v>
      </c>
      <c r="I1245" s="9">
        <v>3.37</v>
      </c>
      <c r="J1245" s="9">
        <v>0.62</v>
      </c>
      <c r="K1245" s="9">
        <v>9.5</v>
      </c>
      <c r="L1245" s="9">
        <v>5</v>
      </c>
    </row>
    <row r="1246" spans="1:12" x14ac:dyDescent="0.3">
      <c r="A1246" s="9">
        <v>5.9</v>
      </c>
      <c r="B1246" s="9">
        <v>0.28999999999999998</v>
      </c>
      <c r="C1246" s="9">
        <v>0.25</v>
      </c>
      <c r="D1246" s="9">
        <v>13.4</v>
      </c>
      <c r="E1246" s="9">
        <v>6.7000000000000004E-2</v>
      </c>
      <c r="F1246" s="9">
        <v>72</v>
      </c>
      <c r="G1246" s="9">
        <v>160</v>
      </c>
      <c r="H1246" s="9">
        <v>0.99721000000000004</v>
      </c>
      <c r="I1246" s="9">
        <v>3.33</v>
      </c>
      <c r="J1246" s="9">
        <v>0.54</v>
      </c>
      <c r="K1246" s="9">
        <v>10.3</v>
      </c>
      <c r="L1246" s="9">
        <v>6</v>
      </c>
    </row>
    <row r="1247" spans="1:12" x14ac:dyDescent="0.3">
      <c r="A1247" s="9">
        <v>7.4</v>
      </c>
      <c r="B1247" s="9">
        <v>0.55000000000000004</v>
      </c>
      <c r="C1247" s="9">
        <v>0.19</v>
      </c>
      <c r="D1247" s="9">
        <v>1.8</v>
      </c>
      <c r="E1247" s="9">
        <v>8.2000000000000003E-2</v>
      </c>
      <c r="F1247" s="9">
        <v>15</v>
      </c>
      <c r="G1247" s="9">
        <v>34</v>
      </c>
      <c r="H1247" s="9">
        <v>0.99655000000000005</v>
      </c>
      <c r="I1247" s="9">
        <v>3.49</v>
      </c>
      <c r="J1247" s="9">
        <v>0.68</v>
      </c>
      <c r="K1247" s="9">
        <v>10.5</v>
      </c>
      <c r="L1247" s="9">
        <v>5</v>
      </c>
    </row>
    <row r="1248" spans="1:12" x14ac:dyDescent="0.3">
      <c r="A1248" s="9">
        <v>7.4</v>
      </c>
      <c r="B1248" s="9">
        <v>0.74</v>
      </c>
      <c r="C1248" s="9">
        <v>7.0000000000000007E-2</v>
      </c>
      <c r="D1248" s="9">
        <v>1.7</v>
      </c>
      <c r="E1248" s="9">
        <v>8.5999999999999993E-2</v>
      </c>
      <c r="F1248" s="9">
        <v>15</v>
      </c>
      <c r="G1248" s="9">
        <v>48</v>
      </c>
      <c r="H1248" s="9">
        <v>0.99502000000000002</v>
      </c>
      <c r="I1248" s="9">
        <v>3.12</v>
      </c>
      <c r="J1248" s="9">
        <v>0.48</v>
      </c>
      <c r="K1248" s="9">
        <v>10</v>
      </c>
      <c r="L1248" s="9">
        <v>5</v>
      </c>
    </row>
    <row r="1249" spans="1:12" x14ac:dyDescent="0.3">
      <c r="A1249" s="9">
        <v>7.4</v>
      </c>
      <c r="B1249" s="9">
        <v>0.55000000000000004</v>
      </c>
      <c r="C1249" s="9">
        <v>0.19</v>
      </c>
      <c r="D1249" s="9">
        <v>1.8</v>
      </c>
      <c r="E1249" s="9">
        <v>8.2000000000000003E-2</v>
      </c>
      <c r="F1249" s="9">
        <v>15</v>
      </c>
      <c r="G1249" s="9">
        <v>34</v>
      </c>
      <c r="H1249" s="9">
        <v>0.99655000000000005</v>
      </c>
      <c r="I1249" s="9">
        <v>3.49</v>
      </c>
      <c r="J1249" s="9">
        <v>0.68</v>
      </c>
      <c r="K1249" s="9">
        <v>10.5</v>
      </c>
      <c r="L1249" s="9">
        <v>5</v>
      </c>
    </row>
    <row r="1250" spans="1:12" x14ac:dyDescent="0.3">
      <c r="A1250" s="9">
        <v>6.9</v>
      </c>
      <c r="B1250" s="9">
        <v>0.41</v>
      </c>
      <c r="C1250" s="9">
        <v>0.33</v>
      </c>
      <c r="D1250" s="9">
        <v>2.2000000000000002</v>
      </c>
      <c r="E1250" s="9">
        <v>8.1000000000000003E-2</v>
      </c>
      <c r="F1250" s="9">
        <v>22</v>
      </c>
      <c r="G1250" s="9">
        <v>36</v>
      </c>
      <c r="H1250" s="9">
        <v>0.99490000000000001</v>
      </c>
      <c r="I1250" s="9">
        <v>3.41</v>
      </c>
      <c r="J1250" s="9">
        <v>0.75</v>
      </c>
      <c r="K1250" s="9">
        <v>11.1</v>
      </c>
      <c r="L1250" s="9">
        <v>6</v>
      </c>
    </row>
    <row r="1251" spans="1:12" x14ac:dyDescent="0.3">
      <c r="A1251" s="9">
        <v>7.1</v>
      </c>
      <c r="B1251" s="9">
        <v>0.6</v>
      </c>
      <c r="C1251" s="9">
        <v>0.01</v>
      </c>
      <c r="D1251" s="9">
        <v>2.2999999999999998</v>
      </c>
      <c r="E1251" s="9">
        <v>7.9000000000000001E-2</v>
      </c>
      <c r="F1251" s="9">
        <v>24</v>
      </c>
      <c r="G1251" s="9">
        <v>37</v>
      </c>
      <c r="H1251" s="9">
        <v>0.99514000000000002</v>
      </c>
      <c r="I1251" s="9">
        <v>3.4</v>
      </c>
      <c r="J1251" s="9">
        <v>0.61</v>
      </c>
      <c r="K1251" s="9">
        <v>10.9</v>
      </c>
      <c r="L1251" s="9">
        <v>6</v>
      </c>
    </row>
    <row r="1252" spans="1:12" x14ac:dyDescent="0.3">
      <c r="A1252" s="9">
        <v>7.1</v>
      </c>
      <c r="B1252" s="9">
        <v>0.6</v>
      </c>
      <c r="C1252" s="9">
        <v>0.01</v>
      </c>
      <c r="D1252" s="9">
        <v>2.2999999999999998</v>
      </c>
      <c r="E1252" s="9">
        <v>7.9000000000000001E-2</v>
      </c>
      <c r="F1252" s="9">
        <v>24</v>
      </c>
      <c r="G1252" s="9">
        <v>37</v>
      </c>
      <c r="H1252" s="9">
        <v>0.99514000000000002</v>
      </c>
      <c r="I1252" s="9">
        <v>3.4</v>
      </c>
      <c r="J1252" s="9">
        <v>0.61</v>
      </c>
      <c r="K1252" s="9">
        <v>10.9</v>
      </c>
      <c r="L1252" s="9">
        <v>6</v>
      </c>
    </row>
    <row r="1253" spans="1:12" x14ac:dyDescent="0.3">
      <c r="A1253" s="9">
        <v>7.5</v>
      </c>
      <c r="B1253" s="9">
        <v>0.57999999999999996</v>
      </c>
      <c r="C1253" s="9">
        <v>0.14000000000000001</v>
      </c>
      <c r="D1253" s="9">
        <v>2.2000000000000002</v>
      </c>
      <c r="E1253" s="9">
        <v>7.6999999999999999E-2</v>
      </c>
      <c r="F1253" s="9">
        <v>27</v>
      </c>
      <c r="G1253" s="9">
        <v>60</v>
      </c>
      <c r="H1253" s="9">
        <v>0.99629999999999996</v>
      </c>
      <c r="I1253" s="9">
        <v>3.28</v>
      </c>
      <c r="J1253" s="9">
        <v>0.59</v>
      </c>
      <c r="K1253" s="9">
        <v>9.8000000000000007</v>
      </c>
      <c r="L1253" s="9">
        <v>5</v>
      </c>
    </row>
    <row r="1254" spans="1:12" x14ac:dyDescent="0.3">
      <c r="A1254" s="9">
        <v>7.1</v>
      </c>
      <c r="B1254" s="9">
        <v>0.72</v>
      </c>
      <c r="C1254" s="9">
        <v>0</v>
      </c>
      <c r="D1254" s="9">
        <v>1.8</v>
      </c>
      <c r="E1254" s="9">
        <v>0.123</v>
      </c>
      <c r="F1254" s="9">
        <v>6</v>
      </c>
      <c r="G1254" s="9">
        <v>14</v>
      </c>
      <c r="H1254" s="9">
        <v>0.99626999999999999</v>
      </c>
      <c r="I1254" s="9">
        <v>3.45</v>
      </c>
      <c r="J1254" s="9">
        <v>0.57999999999999996</v>
      </c>
      <c r="K1254" s="9">
        <v>9.8000000000000007</v>
      </c>
      <c r="L1254" s="9">
        <v>5</v>
      </c>
    </row>
    <row r="1255" spans="1:12" x14ac:dyDescent="0.3">
      <c r="A1255" s="9">
        <v>7.9</v>
      </c>
      <c r="B1255" s="9">
        <v>0.66</v>
      </c>
      <c r="C1255" s="9">
        <v>0</v>
      </c>
      <c r="D1255" s="9">
        <v>1.4</v>
      </c>
      <c r="E1255" s="9">
        <v>9.6000000000000002E-2</v>
      </c>
      <c r="F1255" s="9">
        <v>6</v>
      </c>
      <c r="G1255" s="9">
        <v>13</v>
      </c>
      <c r="H1255" s="9">
        <v>0.99568999999999996</v>
      </c>
      <c r="I1255" s="9">
        <v>3.43</v>
      </c>
      <c r="J1255" s="9">
        <v>0.57999999999999996</v>
      </c>
      <c r="K1255" s="9">
        <v>9.5</v>
      </c>
      <c r="L1255" s="9">
        <v>5</v>
      </c>
    </row>
    <row r="1256" spans="1:12" x14ac:dyDescent="0.3">
      <c r="A1256" s="9">
        <v>7.8</v>
      </c>
      <c r="B1256" s="9">
        <v>0.7</v>
      </c>
      <c r="C1256" s="9">
        <v>0.06</v>
      </c>
      <c r="D1256" s="9">
        <v>1.9</v>
      </c>
      <c r="E1256" s="9">
        <v>7.9000000000000001E-2</v>
      </c>
      <c r="F1256" s="9">
        <v>20</v>
      </c>
      <c r="G1256" s="9">
        <v>35</v>
      </c>
      <c r="H1256" s="9">
        <v>0.99628000000000005</v>
      </c>
      <c r="I1256" s="9">
        <v>3.4</v>
      </c>
      <c r="J1256" s="9">
        <v>0.69</v>
      </c>
      <c r="K1256" s="9">
        <v>10.9</v>
      </c>
      <c r="L1256" s="9">
        <v>5</v>
      </c>
    </row>
    <row r="1257" spans="1:12" x14ac:dyDescent="0.3">
      <c r="A1257" s="9">
        <v>6.1</v>
      </c>
      <c r="B1257" s="9">
        <v>0.64</v>
      </c>
      <c r="C1257" s="9">
        <v>0.02</v>
      </c>
      <c r="D1257" s="9">
        <v>2.4</v>
      </c>
      <c r="E1257" s="9">
        <v>6.9000000000000006E-2</v>
      </c>
      <c r="F1257" s="9">
        <v>26</v>
      </c>
      <c r="G1257" s="9">
        <v>46</v>
      </c>
      <c r="H1257" s="9">
        <v>0.99358000000000002</v>
      </c>
      <c r="I1257" s="9">
        <v>3.47</v>
      </c>
      <c r="J1257" s="9">
        <v>0.45</v>
      </c>
      <c r="K1257" s="9">
        <v>11</v>
      </c>
      <c r="L1257" s="9">
        <v>5</v>
      </c>
    </row>
    <row r="1258" spans="1:12" x14ac:dyDescent="0.3">
      <c r="A1258" s="9">
        <v>7.5</v>
      </c>
      <c r="B1258" s="9">
        <v>0.59</v>
      </c>
      <c r="C1258" s="9">
        <v>0.22</v>
      </c>
      <c r="D1258" s="9">
        <v>1.8</v>
      </c>
      <c r="E1258" s="9">
        <v>8.2000000000000003E-2</v>
      </c>
      <c r="F1258" s="9">
        <v>43</v>
      </c>
      <c r="G1258" s="9">
        <v>60</v>
      </c>
      <c r="H1258" s="9">
        <v>0.99499000000000004</v>
      </c>
      <c r="I1258" s="9">
        <v>3.1</v>
      </c>
      <c r="J1258" s="9">
        <v>0.42</v>
      </c>
      <c r="K1258" s="9">
        <v>9.1999999999999993</v>
      </c>
      <c r="L1258" s="9">
        <v>5</v>
      </c>
    </row>
    <row r="1259" spans="1:12" x14ac:dyDescent="0.3">
      <c r="A1259" s="9">
        <v>7</v>
      </c>
      <c r="B1259" s="9">
        <v>0.57999999999999996</v>
      </c>
      <c r="C1259" s="9">
        <v>0.28000000000000003</v>
      </c>
      <c r="D1259" s="9">
        <v>4.8</v>
      </c>
      <c r="E1259" s="9">
        <v>8.5000000000000006E-2</v>
      </c>
      <c r="F1259" s="9">
        <v>12</v>
      </c>
      <c r="G1259" s="9">
        <v>69</v>
      </c>
      <c r="H1259" s="9">
        <v>0.99633000000000005</v>
      </c>
      <c r="I1259" s="9">
        <v>3.32</v>
      </c>
      <c r="J1259" s="9">
        <v>0.7</v>
      </c>
      <c r="K1259" s="9">
        <v>11</v>
      </c>
      <c r="L1259" s="9">
        <v>6</v>
      </c>
    </row>
    <row r="1260" spans="1:12" x14ac:dyDescent="0.3">
      <c r="A1260" s="9">
        <v>6.8</v>
      </c>
      <c r="B1260" s="9">
        <v>0.64</v>
      </c>
      <c r="C1260" s="9">
        <v>0</v>
      </c>
      <c r="D1260" s="9">
        <v>2.7</v>
      </c>
      <c r="E1260" s="9">
        <v>0.123</v>
      </c>
      <c r="F1260" s="9">
        <v>15</v>
      </c>
      <c r="G1260" s="9">
        <v>33</v>
      </c>
      <c r="H1260" s="9">
        <v>0.99538000000000004</v>
      </c>
      <c r="I1260" s="9">
        <v>3.44</v>
      </c>
      <c r="J1260" s="9">
        <v>0.63</v>
      </c>
      <c r="K1260" s="9">
        <v>11.3</v>
      </c>
      <c r="L1260" s="9">
        <v>6</v>
      </c>
    </row>
    <row r="1261" spans="1:12" x14ac:dyDescent="0.3">
      <c r="A1261" s="9">
        <v>6.8</v>
      </c>
      <c r="B1261" s="9">
        <v>0.64</v>
      </c>
      <c r="C1261" s="9">
        <v>0</v>
      </c>
      <c r="D1261" s="9">
        <v>2.7</v>
      </c>
      <c r="E1261" s="9">
        <v>0.123</v>
      </c>
      <c r="F1261" s="9">
        <v>15</v>
      </c>
      <c r="G1261" s="9">
        <v>33</v>
      </c>
      <c r="H1261" s="9">
        <v>0.99538000000000004</v>
      </c>
      <c r="I1261" s="9">
        <v>3.44</v>
      </c>
      <c r="J1261" s="9">
        <v>0.63</v>
      </c>
      <c r="K1261" s="9">
        <v>11.3</v>
      </c>
      <c r="L1261" s="9">
        <v>6</v>
      </c>
    </row>
    <row r="1262" spans="1:12" x14ac:dyDescent="0.3">
      <c r="A1262" s="9">
        <v>8.6</v>
      </c>
      <c r="B1262" s="9">
        <v>0.63500000000000001</v>
      </c>
      <c r="C1262" s="9">
        <v>0.68</v>
      </c>
      <c r="D1262" s="9">
        <v>1.8</v>
      </c>
      <c r="E1262" s="9">
        <v>0.40300000000000002</v>
      </c>
      <c r="F1262" s="9">
        <v>19</v>
      </c>
      <c r="G1262" s="9">
        <v>56</v>
      </c>
      <c r="H1262" s="9">
        <v>0.99631999999999998</v>
      </c>
      <c r="I1262" s="9">
        <v>3.02</v>
      </c>
      <c r="J1262" s="9">
        <v>1.1499999999999999</v>
      </c>
      <c r="K1262" s="9">
        <v>9.3000000000000007</v>
      </c>
      <c r="L1262" s="9">
        <v>5</v>
      </c>
    </row>
    <row r="1263" spans="1:12" x14ac:dyDescent="0.3">
      <c r="A1263" s="9">
        <v>6.3</v>
      </c>
      <c r="B1263" s="9">
        <v>1.02</v>
      </c>
      <c r="C1263" s="9">
        <v>0</v>
      </c>
      <c r="D1263" s="9">
        <v>2</v>
      </c>
      <c r="E1263" s="9">
        <v>8.3000000000000004E-2</v>
      </c>
      <c r="F1263" s="9">
        <v>17</v>
      </c>
      <c r="G1263" s="9">
        <v>24</v>
      </c>
      <c r="H1263" s="9">
        <v>0.99436999999999998</v>
      </c>
      <c r="I1263" s="9">
        <v>3.59</v>
      </c>
      <c r="J1263" s="9">
        <v>0.55000000000000004</v>
      </c>
      <c r="K1263" s="9">
        <v>11.2</v>
      </c>
      <c r="L1263" s="9">
        <v>4</v>
      </c>
    </row>
    <row r="1264" spans="1:12" x14ac:dyDescent="0.3">
      <c r="A1264" s="9">
        <v>9.8000000000000007</v>
      </c>
      <c r="B1264" s="9">
        <v>0.45</v>
      </c>
      <c r="C1264" s="9">
        <v>0.38</v>
      </c>
      <c r="D1264" s="9">
        <v>2.5</v>
      </c>
      <c r="E1264" s="9">
        <v>8.1000000000000003E-2</v>
      </c>
      <c r="F1264" s="9">
        <v>34</v>
      </c>
      <c r="G1264" s="9">
        <v>66</v>
      </c>
      <c r="H1264" s="9">
        <v>0.99726000000000004</v>
      </c>
      <c r="I1264" s="9">
        <v>3.15</v>
      </c>
      <c r="J1264" s="9">
        <v>0.57999999999999996</v>
      </c>
      <c r="K1264" s="9">
        <v>9.8000000000000007</v>
      </c>
      <c r="L1264" s="9">
        <v>5</v>
      </c>
    </row>
    <row r="1265" spans="1:12" x14ac:dyDescent="0.3">
      <c r="A1265" s="9">
        <v>8.1999999999999993</v>
      </c>
      <c r="B1265" s="9">
        <v>0.78</v>
      </c>
      <c r="C1265" s="9">
        <v>0</v>
      </c>
      <c r="D1265" s="9">
        <v>2.2000000000000002</v>
      </c>
      <c r="E1265" s="9">
        <v>8.8999999999999996E-2</v>
      </c>
      <c r="F1265" s="9">
        <v>13</v>
      </c>
      <c r="G1265" s="9">
        <v>26</v>
      </c>
      <c r="H1265" s="9">
        <v>0.99780000000000002</v>
      </c>
      <c r="I1265" s="9">
        <v>3.37</v>
      </c>
      <c r="J1265" s="9">
        <v>0.46</v>
      </c>
      <c r="K1265" s="9">
        <v>9.6</v>
      </c>
      <c r="L1265" s="9">
        <v>4</v>
      </c>
    </row>
    <row r="1266" spans="1:12" x14ac:dyDescent="0.3">
      <c r="A1266" s="9">
        <v>8.5</v>
      </c>
      <c r="B1266" s="9">
        <v>0.37</v>
      </c>
      <c r="C1266" s="9">
        <v>0.32</v>
      </c>
      <c r="D1266" s="9">
        <v>1.8</v>
      </c>
      <c r="E1266" s="9">
        <v>6.6000000000000003E-2</v>
      </c>
      <c r="F1266" s="9">
        <v>26</v>
      </c>
      <c r="G1266" s="9">
        <v>51</v>
      </c>
      <c r="H1266" s="9">
        <v>0.99456</v>
      </c>
      <c r="I1266" s="9">
        <v>3.38</v>
      </c>
      <c r="J1266" s="9">
        <v>0.72</v>
      </c>
      <c r="K1266" s="9">
        <v>11.8</v>
      </c>
      <c r="L1266" s="9">
        <v>6</v>
      </c>
    </row>
    <row r="1267" spans="1:12" x14ac:dyDescent="0.3">
      <c r="A1267" s="9">
        <v>7.2</v>
      </c>
      <c r="B1267" s="9">
        <v>0.56999999999999995</v>
      </c>
      <c r="C1267" s="9">
        <v>0.05</v>
      </c>
      <c r="D1267" s="9">
        <v>2.2999999999999998</v>
      </c>
      <c r="E1267" s="9">
        <v>8.1000000000000003E-2</v>
      </c>
      <c r="F1267" s="9">
        <v>16</v>
      </c>
      <c r="G1267" s="9">
        <v>36</v>
      </c>
      <c r="H1267" s="9">
        <v>0.99563999999999997</v>
      </c>
      <c r="I1267" s="9">
        <v>3.38</v>
      </c>
      <c r="J1267" s="9">
        <v>0.6</v>
      </c>
      <c r="K1267" s="9">
        <v>10.3</v>
      </c>
      <c r="L1267" s="9">
        <v>6</v>
      </c>
    </row>
    <row r="1268" spans="1:12" x14ac:dyDescent="0.3">
      <c r="A1268" s="9">
        <v>7.2</v>
      </c>
      <c r="B1268" s="9">
        <v>0.56999999999999995</v>
      </c>
      <c r="C1268" s="9">
        <v>0.05</v>
      </c>
      <c r="D1268" s="9">
        <v>2.2999999999999998</v>
      </c>
      <c r="E1268" s="9">
        <v>8.1000000000000003E-2</v>
      </c>
      <c r="F1268" s="9">
        <v>16</v>
      </c>
      <c r="G1268" s="9">
        <v>36</v>
      </c>
      <c r="H1268" s="9">
        <v>0.99563999999999997</v>
      </c>
      <c r="I1268" s="9">
        <v>3.38</v>
      </c>
      <c r="J1268" s="9">
        <v>0.6</v>
      </c>
      <c r="K1268" s="9">
        <v>10.3</v>
      </c>
      <c r="L1268" s="9">
        <v>6</v>
      </c>
    </row>
    <row r="1269" spans="1:12" x14ac:dyDescent="0.3">
      <c r="A1269" s="9">
        <v>10.4</v>
      </c>
      <c r="B1269" s="9">
        <v>0.43</v>
      </c>
      <c r="C1269" s="9">
        <v>0.5</v>
      </c>
      <c r="D1269" s="9">
        <v>2.2999999999999998</v>
      </c>
      <c r="E1269" s="9">
        <v>6.8000000000000005E-2</v>
      </c>
      <c r="F1269" s="9">
        <v>13</v>
      </c>
      <c r="G1269" s="9">
        <v>19</v>
      </c>
      <c r="H1269" s="9">
        <v>0.996</v>
      </c>
      <c r="I1269" s="9">
        <v>3.1</v>
      </c>
      <c r="J1269" s="9">
        <v>0.87</v>
      </c>
      <c r="K1269" s="9">
        <v>11.4</v>
      </c>
      <c r="L1269" s="9">
        <v>6</v>
      </c>
    </row>
    <row r="1270" spans="1:12" x14ac:dyDescent="0.3">
      <c r="A1270" s="9">
        <v>6.9</v>
      </c>
      <c r="B1270" s="9">
        <v>0.41</v>
      </c>
      <c r="C1270" s="9">
        <v>0.31</v>
      </c>
      <c r="D1270" s="9">
        <v>2</v>
      </c>
      <c r="E1270" s="9">
        <v>7.9000000000000001E-2</v>
      </c>
      <c r="F1270" s="9">
        <v>21</v>
      </c>
      <c r="G1270" s="9">
        <v>51</v>
      </c>
      <c r="H1270" s="9">
        <v>0.99668000000000001</v>
      </c>
      <c r="I1270" s="9">
        <v>3.47</v>
      </c>
      <c r="J1270" s="9">
        <v>0.55000000000000004</v>
      </c>
      <c r="K1270" s="9">
        <v>9.5</v>
      </c>
      <c r="L1270" s="9">
        <v>6</v>
      </c>
    </row>
    <row r="1271" spans="1:12" x14ac:dyDescent="0.3">
      <c r="A1271" s="9">
        <v>5.5</v>
      </c>
      <c r="B1271" s="9">
        <v>0.49</v>
      </c>
      <c r="C1271" s="9">
        <v>0.03</v>
      </c>
      <c r="D1271" s="9">
        <v>1.8</v>
      </c>
      <c r="E1271" s="9">
        <v>4.3999999999999997E-2</v>
      </c>
      <c r="F1271" s="9">
        <v>28</v>
      </c>
      <c r="G1271" s="9">
        <v>87</v>
      </c>
      <c r="H1271" s="9">
        <v>0.99080000000000001</v>
      </c>
      <c r="I1271" s="9">
        <v>3.5</v>
      </c>
      <c r="J1271" s="9">
        <v>0.82</v>
      </c>
      <c r="K1271" s="9">
        <v>14</v>
      </c>
      <c r="L1271" s="9">
        <v>8</v>
      </c>
    </row>
    <row r="1272" spans="1:12" x14ac:dyDescent="0.3">
      <c r="A1272" s="9">
        <v>5</v>
      </c>
      <c r="B1272" s="9">
        <v>0.38</v>
      </c>
      <c r="C1272" s="9">
        <v>0.01</v>
      </c>
      <c r="D1272" s="9">
        <v>1.6</v>
      </c>
      <c r="E1272" s="9">
        <v>4.8000000000000001E-2</v>
      </c>
      <c r="F1272" s="9">
        <v>26</v>
      </c>
      <c r="G1272" s="9">
        <v>60</v>
      </c>
      <c r="H1272" s="9">
        <v>0.99084000000000005</v>
      </c>
      <c r="I1272" s="9">
        <v>3.7</v>
      </c>
      <c r="J1272" s="9">
        <v>0.75</v>
      </c>
      <c r="K1272" s="9">
        <v>14</v>
      </c>
      <c r="L1272" s="9">
        <v>6</v>
      </c>
    </row>
    <row r="1273" spans="1:12" x14ac:dyDescent="0.3">
      <c r="A1273" s="9">
        <v>7.3</v>
      </c>
      <c r="B1273" s="9">
        <v>0.44</v>
      </c>
      <c r="C1273" s="9">
        <v>0.2</v>
      </c>
      <c r="D1273" s="9">
        <v>1.6</v>
      </c>
      <c r="E1273" s="9">
        <v>4.9000000000000002E-2</v>
      </c>
      <c r="F1273" s="9">
        <v>24</v>
      </c>
      <c r="G1273" s="9">
        <v>64</v>
      </c>
      <c r="H1273" s="9">
        <v>0.99350000000000005</v>
      </c>
      <c r="I1273" s="9">
        <v>3.38</v>
      </c>
      <c r="J1273" s="9">
        <v>0.56999999999999995</v>
      </c>
      <c r="K1273" s="9">
        <v>11.7</v>
      </c>
      <c r="L1273" s="9">
        <v>6</v>
      </c>
    </row>
    <row r="1274" spans="1:12" x14ac:dyDescent="0.3">
      <c r="A1274" s="9">
        <v>5.9</v>
      </c>
      <c r="B1274" s="9">
        <v>0.46</v>
      </c>
      <c r="C1274" s="9">
        <v>0</v>
      </c>
      <c r="D1274" s="9">
        <v>1.9</v>
      </c>
      <c r="E1274" s="9">
        <v>7.6999999999999999E-2</v>
      </c>
      <c r="F1274" s="9">
        <v>25</v>
      </c>
      <c r="G1274" s="9">
        <v>44</v>
      </c>
      <c r="H1274" s="9">
        <v>0.99385000000000001</v>
      </c>
      <c r="I1274" s="9">
        <v>3.5</v>
      </c>
      <c r="J1274" s="9">
        <v>0.53</v>
      </c>
      <c r="K1274" s="9">
        <v>11.2</v>
      </c>
      <c r="L1274" s="9">
        <v>5</v>
      </c>
    </row>
    <row r="1275" spans="1:12" x14ac:dyDescent="0.3">
      <c r="A1275" s="9">
        <v>7.5</v>
      </c>
      <c r="B1275" s="9">
        <v>0.57999999999999996</v>
      </c>
      <c r="C1275" s="9">
        <v>0.2</v>
      </c>
      <c r="D1275" s="9">
        <v>2</v>
      </c>
      <c r="E1275" s="9">
        <v>7.2999999999999995E-2</v>
      </c>
      <c r="F1275" s="9">
        <v>34</v>
      </c>
      <c r="G1275" s="9">
        <v>44</v>
      </c>
      <c r="H1275" s="9">
        <v>0.99494000000000005</v>
      </c>
      <c r="I1275" s="9">
        <v>3.1</v>
      </c>
      <c r="J1275" s="9">
        <v>0.43</v>
      </c>
      <c r="K1275" s="9">
        <v>9.3000000000000007</v>
      </c>
      <c r="L1275" s="9">
        <v>5</v>
      </c>
    </row>
    <row r="1276" spans="1:12" x14ac:dyDescent="0.3">
      <c r="A1276" s="9">
        <v>7.8</v>
      </c>
      <c r="B1276" s="9">
        <v>0.57999999999999996</v>
      </c>
      <c r="C1276" s="9">
        <v>0.13</v>
      </c>
      <c r="D1276" s="9">
        <v>2.1</v>
      </c>
      <c r="E1276" s="9">
        <v>0.10199999999999999</v>
      </c>
      <c r="F1276" s="9">
        <v>17</v>
      </c>
      <c r="G1276" s="9">
        <v>36</v>
      </c>
      <c r="H1276" s="9">
        <v>0.99439999999999995</v>
      </c>
      <c r="I1276" s="9">
        <v>3.24</v>
      </c>
      <c r="J1276" s="9">
        <v>0.53</v>
      </c>
      <c r="K1276" s="9">
        <v>11.2</v>
      </c>
      <c r="L1276" s="9">
        <v>6</v>
      </c>
    </row>
    <row r="1277" spans="1:12" x14ac:dyDescent="0.3">
      <c r="A1277" s="9">
        <v>8</v>
      </c>
      <c r="B1277" s="9">
        <v>0.71499999999999997</v>
      </c>
      <c r="C1277" s="9">
        <v>0.22</v>
      </c>
      <c r="D1277" s="9">
        <v>2.2999999999999998</v>
      </c>
      <c r="E1277" s="9">
        <v>7.4999999999999997E-2</v>
      </c>
      <c r="F1277" s="9">
        <v>13</v>
      </c>
      <c r="G1277" s="9">
        <v>81</v>
      </c>
      <c r="H1277" s="9">
        <v>0.99687999999999999</v>
      </c>
      <c r="I1277" s="9">
        <v>3.24</v>
      </c>
      <c r="J1277" s="9">
        <v>0.54</v>
      </c>
      <c r="K1277" s="9">
        <v>9.5</v>
      </c>
      <c r="L1277" s="9">
        <v>6</v>
      </c>
    </row>
    <row r="1278" spans="1:12" x14ac:dyDescent="0.3">
      <c r="A1278" s="9">
        <v>8.5</v>
      </c>
      <c r="B1278" s="9">
        <v>0.4</v>
      </c>
      <c r="C1278" s="9">
        <v>0.4</v>
      </c>
      <c r="D1278" s="9">
        <v>6.3</v>
      </c>
      <c r="E1278" s="9">
        <v>0.05</v>
      </c>
      <c r="F1278" s="9">
        <v>3</v>
      </c>
      <c r="G1278" s="9">
        <v>10</v>
      </c>
      <c r="H1278" s="9">
        <v>0.99565999999999999</v>
      </c>
      <c r="I1278" s="9">
        <v>3.28</v>
      </c>
      <c r="J1278" s="9">
        <v>0.56000000000000005</v>
      </c>
      <c r="K1278" s="9">
        <v>12</v>
      </c>
      <c r="L1278" s="9">
        <v>4</v>
      </c>
    </row>
    <row r="1279" spans="1:12" x14ac:dyDescent="0.3">
      <c r="A1279" s="9">
        <v>7</v>
      </c>
      <c r="B1279" s="9">
        <v>0.69</v>
      </c>
      <c r="C1279" s="9">
        <v>0</v>
      </c>
      <c r="D1279" s="9">
        <v>1.9</v>
      </c>
      <c r="E1279" s="9">
        <v>0.114</v>
      </c>
      <c r="F1279" s="9">
        <v>3</v>
      </c>
      <c r="G1279" s="9">
        <v>10</v>
      </c>
      <c r="H1279" s="9">
        <v>0.99636000000000002</v>
      </c>
      <c r="I1279" s="9">
        <v>3.35</v>
      </c>
      <c r="J1279" s="9">
        <v>0.6</v>
      </c>
      <c r="K1279" s="9">
        <v>9.6999999999999993</v>
      </c>
      <c r="L1279" s="9">
        <v>6</v>
      </c>
    </row>
    <row r="1280" spans="1:12" x14ac:dyDescent="0.3">
      <c r="A1280" s="9">
        <v>8</v>
      </c>
      <c r="B1280" s="9">
        <v>0.71499999999999997</v>
      </c>
      <c r="C1280" s="9">
        <v>0.22</v>
      </c>
      <c r="D1280" s="9">
        <v>2.2999999999999998</v>
      </c>
      <c r="E1280" s="9">
        <v>7.4999999999999997E-2</v>
      </c>
      <c r="F1280" s="9">
        <v>13</v>
      </c>
      <c r="G1280" s="9">
        <v>81</v>
      </c>
      <c r="H1280" s="9">
        <v>0.99687999999999999</v>
      </c>
      <c r="I1280" s="9">
        <v>3.24</v>
      </c>
      <c r="J1280" s="9">
        <v>0.54</v>
      </c>
      <c r="K1280" s="9">
        <v>9.5</v>
      </c>
      <c r="L1280" s="9">
        <v>6</v>
      </c>
    </row>
    <row r="1281" spans="1:12" x14ac:dyDescent="0.3">
      <c r="A1281" s="9">
        <v>9.8000000000000007</v>
      </c>
      <c r="B1281" s="9">
        <v>0.3</v>
      </c>
      <c r="C1281" s="9">
        <v>0.39</v>
      </c>
      <c r="D1281" s="9">
        <v>1.7</v>
      </c>
      <c r="E1281" s="9">
        <v>6.2E-2</v>
      </c>
      <c r="F1281" s="9">
        <v>3</v>
      </c>
      <c r="G1281" s="9">
        <v>9</v>
      </c>
      <c r="H1281" s="9">
        <v>0.99480000000000002</v>
      </c>
      <c r="I1281" s="9">
        <v>3.14</v>
      </c>
      <c r="J1281" s="9">
        <v>0.56999999999999995</v>
      </c>
      <c r="K1281" s="9">
        <v>11.5</v>
      </c>
      <c r="L1281" s="9">
        <v>7</v>
      </c>
    </row>
    <row r="1282" spans="1:12" x14ac:dyDescent="0.3">
      <c r="A1282" s="9">
        <v>7.1</v>
      </c>
      <c r="B1282" s="9">
        <v>0.46</v>
      </c>
      <c r="C1282" s="9">
        <v>0.2</v>
      </c>
      <c r="D1282" s="9">
        <v>1.9</v>
      </c>
      <c r="E1282" s="9">
        <v>7.6999999999999999E-2</v>
      </c>
      <c r="F1282" s="9">
        <v>28</v>
      </c>
      <c r="G1282" s="9">
        <v>54</v>
      </c>
      <c r="H1282" s="9">
        <v>0.99560000000000004</v>
      </c>
      <c r="I1282" s="9">
        <v>3.37</v>
      </c>
      <c r="J1282" s="9">
        <v>0.64</v>
      </c>
      <c r="K1282" s="9">
        <v>10.4</v>
      </c>
      <c r="L1282" s="9">
        <v>6</v>
      </c>
    </row>
    <row r="1283" spans="1:12" x14ac:dyDescent="0.3">
      <c r="A1283" s="9">
        <v>7.1</v>
      </c>
      <c r="B1283" s="9">
        <v>0.46</v>
      </c>
      <c r="C1283" s="9">
        <v>0.2</v>
      </c>
      <c r="D1283" s="9">
        <v>1.9</v>
      </c>
      <c r="E1283" s="9">
        <v>7.6999999999999999E-2</v>
      </c>
      <c r="F1283" s="9">
        <v>28</v>
      </c>
      <c r="G1283" s="9">
        <v>54</v>
      </c>
      <c r="H1283" s="9">
        <v>0.99560000000000004</v>
      </c>
      <c r="I1283" s="9">
        <v>3.37</v>
      </c>
      <c r="J1283" s="9">
        <v>0.64</v>
      </c>
      <c r="K1283" s="9">
        <v>10.4</v>
      </c>
      <c r="L1283" s="9">
        <v>6</v>
      </c>
    </row>
    <row r="1284" spans="1:12" x14ac:dyDescent="0.3">
      <c r="A1284" s="9">
        <v>7.9</v>
      </c>
      <c r="B1284" s="9">
        <v>0.76500000000000001</v>
      </c>
      <c r="C1284" s="9">
        <v>0</v>
      </c>
      <c r="D1284" s="9">
        <v>2</v>
      </c>
      <c r="E1284" s="9">
        <v>8.4000000000000005E-2</v>
      </c>
      <c r="F1284" s="9">
        <v>9</v>
      </c>
      <c r="G1284" s="9">
        <v>22</v>
      </c>
      <c r="H1284" s="9">
        <v>0.99619000000000002</v>
      </c>
      <c r="I1284" s="9">
        <v>3.33</v>
      </c>
      <c r="J1284" s="9">
        <v>0.68</v>
      </c>
      <c r="K1284" s="9">
        <v>10.9</v>
      </c>
      <c r="L1284" s="9">
        <v>6</v>
      </c>
    </row>
    <row r="1285" spans="1:12" x14ac:dyDescent="0.3">
      <c r="A1285" s="9">
        <v>8.6999999999999993</v>
      </c>
      <c r="B1285" s="9">
        <v>0.63</v>
      </c>
      <c r="C1285" s="9">
        <v>0.28000000000000003</v>
      </c>
      <c r="D1285" s="9">
        <v>2.7</v>
      </c>
      <c r="E1285" s="9">
        <v>9.6000000000000002E-2</v>
      </c>
      <c r="F1285" s="9">
        <v>17</v>
      </c>
      <c r="G1285" s="9">
        <v>69</v>
      </c>
      <c r="H1285" s="9">
        <v>0.99734</v>
      </c>
      <c r="I1285" s="9">
        <v>3.26</v>
      </c>
      <c r="J1285" s="9">
        <v>0.63</v>
      </c>
      <c r="K1285" s="9">
        <v>10.199999999999999</v>
      </c>
      <c r="L1285" s="9">
        <v>6</v>
      </c>
    </row>
    <row r="1286" spans="1:12" x14ac:dyDescent="0.3">
      <c r="A1286" s="9">
        <v>7</v>
      </c>
      <c r="B1286" s="9">
        <v>0.42</v>
      </c>
      <c r="C1286" s="9">
        <v>0.19</v>
      </c>
      <c r="D1286" s="9">
        <v>2.2999999999999998</v>
      </c>
      <c r="E1286" s="9">
        <v>7.0999999999999994E-2</v>
      </c>
      <c r="F1286" s="9">
        <v>18</v>
      </c>
      <c r="G1286" s="9">
        <v>36</v>
      </c>
      <c r="H1286" s="9">
        <v>0.99475999999999998</v>
      </c>
      <c r="I1286" s="9">
        <v>3.39</v>
      </c>
      <c r="J1286" s="9">
        <v>0.56000000000000005</v>
      </c>
      <c r="K1286" s="9">
        <v>10.9</v>
      </c>
      <c r="L1286" s="9">
        <v>5</v>
      </c>
    </row>
    <row r="1287" spans="1:12" x14ac:dyDescent="0.3">
      <c r="A1287" s="9">
        <v>11.3</v>
      </c>
      <c r="B1287" s="9">
        <v>0.37</v>
      </c>
      <c r="C1287" s="9">
        <v>0.5</v>
      </c>
      <c r="D1287" s="9">
        <v>1.8</v>
      </c>
      <c r="E1287" s="9">
        <v>0.09</v>
      </c>
      <c r="F1287" s="9">
        <v>20</v>
      </c>
      <c r="G1287" s="9">
        <v>47</v>
      </c>
      <c r="H1287" s="9">
        <v>0.99734</v>
      </c>
      <c r="I1287" s="9">
        <v>3.15</v>
      </c>
      <c r="J1287" s="9">
        <v>0.56999999999999995</v>
      </c>
      <c r="K1287" s="9">
        <v>10.5</v>
      </c>
      <c r="L1287" s="9">
        <v>5</v>
      </c>
    </row>
    <row r="1288" spans="1:12" x14ac:dyDescent="0.3">
      <c r="A1288" s="9">
        <v>7.1</v>
      </c>
      <c r="B1288" s="9">
        <v>0.16</v>
      </c>
      <c r="C1288" s="9">
        <v>0.44</v>
      </c>
      <c r="D1288" s="9">
        <v>2.5</v>
      </c>
      <c r="E1288" s="9">
        <v>6.8000000000000005E-2</v>
      </c>
      <c r="F1288" s="9">
        <v>17</v>
      </c>
      <c r="G1288" s="9">
        <v>31</v>
      </c>
      <c r="H1288" s="9">
        <v>0.99328000000000005</v>
      </c>
      <c r="I1288" s="9">
        <v>3.35</v>
      </c>
      <c r="J1288" s="9">
        <v>0.54</v>
      </c>
      <c r="K1288" s="9">
        <v>12.4</v>
      </c>
      <c r="L1288" s="9">
        <v>6</v>
      </c>
    </row>
    <row r="1289" spans="1:12" x14ac:dyDescent="0.3">
      <c r="A1289" s="9">
        <v>8</v>
      </c>
      <c r="B1289" s="9">
        <v>0.6</v>
      </c>
      <c r="C1289" s="9">
        <v>0.08</v>
      </c>
      <c r="D1289" s="9">
        <v>2.6</v>
      </c>
      <c r="E1289" s="9">
        <v>5.6000000000000001E-2</v>
      </c>
      <c r="F1289" s="9">
        <v>3</v>
      </c>
      <c r="G1289" s="9">
        <v>7</v>
      </c>
      <c r="H1289" s="9">
        <v>0.99285999999999996</v>
      </c>
      <c r="I1289" s="9">
        <v>3.22</v>
      </c>
      <c r="J1289" s="9">
        <v>0.37</v>
      </c>
      <c r="K1289" s="9">
        <v>13</v>
      </c>
      <c r="L1289" s="9">
        <v>5</v>
      </c>
    </row>
    <row r="1290" spans="1:12" x14ac:dyDescent="0.3">
      <c r="A1290" s="9">
        <v>7</v>
      </c>
      <c r="B1290" s="9">
        <v>0.6</v>
      </c>
      <c r="C1290" s="9">
        <v>0.3</v>
      </c>
      <c r="D1290" s="9">
        <v>4.5</v>
      </c>
      <c r="E1290" s="9">
        <v>6.8000000000000005E-2</v>
      </c>
      <c r="F1290" s="9">
        <v>20</v>
      </c>
      <c r="G1290" s="9">
        <v>110</v>
      </c>
      <c r="H1290" s="9">
        <v>0.99914000000000003</v>
      </c>
      <c r="I1290" s="9">
        <v>3.3</v>
      </c>
      <c r="J1290" s="9">
        <v>1.17</v>
      </c>
      <c r="K1290" s="9">
        <v>10.199999999999999</v>
      </c>
      <c r="L1290" s="9">
        <v>5</v>
      </c>
    </row>
    <row r="1291" spans="1:12" x14ac:dyDescent="0.3">
      <c r="A1291" s="9">
        <v>7</v>
      </c>
      <c r="B1291" s="9">
        <v>0.6</v>
      </c>
      <c r="C1291" s="9">
        <v>0.3</v>
      </c>
      <c r="D1291" s="9">
        <v>4.5</v>
      </c>
      <c r="E1291" s="9">
        <v>6.8000000000000005E-2</v>
      </c>
      <c r="F1291" s="9">
        <v>20</v>
      </c>
      <c r="G1291" s="9">
        <v>110</v>
      </c>
      <c r="H1291" s="9">
        <v>0.99914000000000003</v>
      </c>
      <c r="I1291" s="9">
        <v>3.3</v>
      </c>
      <c r="J1291" s="9">
        <v>1.17</v>
      </c>
      <c r="K1291" s="9">
        <v>10.199999999999999</v>
      </c>
      <c r="L1291" s="9">
        <v>5</v>
      </c>
    </row>
    <row r="1292" spans="1:12" x14ac:dyDescent="0.3">
      <c r="A1292" s="9">
        <v>7.6</v>
      </c>
      <c r="B1292" s="9">
        <v>0.74</v>
      </c>
      <c r="C1292" s="9">
        <v>0</v>
      </c>
      <c r="D1292" s="9">
        <v>1.9</v>
      </c>
      <c r="E1292" s="9">
        <v>0.1</v>
      </c>
      <c r="F1292" s="9">
        <v>6</v>
      </c>
      <c r="G1292" s="9">
        <v>12</v>
      </c>
      <c r="H1292" s="9">
        <v>0.99521000000000004</v>
      </c>
      <c r="I1292" s="9">
        <v>3.36</v>
      </c>
      <c r="J1292" s="9">
        <v>0.59</v>
      </c>
      <c r="K1292" s="9">
        <v>11</v>
      </c>
      <c r="L1292" s="9">
        <v>5</v>
      </c>
    </row>
    <row r="1293" spans="1:12" x14ac:dyDescent="0.3">
      <c r="A1293" s="9">
        <v>8.1999999999999993</v>
      </c>
      <c r="B1293" s="9">
        <v>0.63500000000000001</v>
      </c>
      <c r="C1293" s="9">
        <v>0.1</v>
      </c>
      <c r="D1293" s="9">
        <v>2.1</v>
      </c>
      <c r="E1293" s="9">
        <v>7.2999999999999995E-2</v>
      </c>
      <c r="F1293" s="9">
        <v>25</v>
      </c>
      <c r="G1293" s="9">
        <v>60</v>
      </c>
      <c r="H1293" s="9">
        <v>0.99638000000000004</v>
      </c>
      <c r="I1293" s="9">
        <v>3.29</v>
      </c>
      <c r="J1293" s="9">
        <v>0.75</v>
      </c>
      <c r="K1293" s="9">
        <v>10.9</v>
      </c>
      <c r="L1293" s="9">
        <v>6</v>
      </c>
    </row>
    <row r="1294" spans="1:12" x14ac:dyDescent="0.3">
      <c r="A1294" s="9">
        <v>5.9</v>
      </c>
      <c r="B1294" s="9">
        <v>0.39500000000000002</v>
      </c>
      <c r="C1294" s="9">
        <v>0.13</v>
      </c>
      <c r="D1294" s="9">
        <v>2.4</v>
      </c>
      <c r="E1294" s="9">
        <v>5.6000000000000001E-2</v>
      </c>
      <c r="F1294" s="9">
        <v>14</v>
      </c>
      <c r="G1294" s="9">
        <v>28</v>
      </c>
      <c r="H1294" s="9">
        <v>0.99361999999999995</v>
      </c>
      <c r="I1294" s="9">
        <v>3.62</v>
      </c>
      <c r="J1294" s="9">
        <v>0.67</v>
      </c>
      <c r="K1294" s="9">
        <v>12.4</v>
      </c>
      <c r="L1294" s="9">
        <v>6</v>
      </c>
    </row>
    <row r="1295" spans="1:12" x14ac:dyDescent="0.3">
      <c r="A1295" s="9">
        <v>7.5</v>
      </c>
      <c r="B1295" s="9">
        <v>0.755</v>
      </c>
      <c r="C1295" s="9">
        <v>0</v>
      </c>
      <c r="D1295" s="9">
        <v>1.9</v>
      </c>
      <c r="E1295" s="9">
        <v>8.4000000000000005E-2</v>
      </c>
      <c r="F1295" s="9">
        <v>6</v>
      </c>
      <c r="G1295" s="9">
        <v>12</v>
      </c>
      <c r="H1295" s="9">
        <v>0.99672000000000005</v>
      </c>
      <c r="I1295" s="9">
        <v>3.34</v>
      </c>
      <c r="J1295" s="9">
        <v>0.49</v>
      </c>
      <c r="K1295" s="9">
        <v>9.6999999999999993</v>
      </c>
      <c r="L1295" s="9">
        <v>4</v>
      </c>
    </row>
    <row r="1296" spans="1:12" x14ac:dyDescent="0.3">
      <c r="A1296" s="9">
        <v>8.1999999999999993</v>
      </c>
      <c r="B1296" s="9">
        <v>0.63500000000000001</v>
      </c>
      <c r="C1296" s="9">
        <v>0.1</v>
      </c>
      <c r="D1296" s="9">
        <v>2.1</v>
      </c>
      <c r="E1296" s="9">
        <v>7.2999999999999995E-2</v>
      </c>
      <c r="F1296" s="9">
        <v>25</v>
      </c>
      <c r="G1296" s="9">
        <v>60</v>
      </c>
      <c r="H1296" s="9">
        <v>0.99638000000000004</v>
      </c>
      <c r="I1296" s="9">
        <v>3.29</v>
      </c>
      <c r="J1296" s="9">
        <v>0.75</v>
      </c>
      <c r="K1296" s="9">
        <v>10.9</v>
      </c>
      <c r="L1296" s="9">
        <v>6</v>
      </c>
    </row>
    <row r="1297" spans="1:12" x14ac:dyDescent="0.3">
      <c r="A1297" s="9">
        <v>6.6</v>
      </c>
      <c r="B1297" s="9">
        <v>0.63</v>
      </c>
      <c r="C1297" s="9">
        <v>0</v>
      </c>
      <c r="D1297" s="9">
        <v>4.3</v>
      </c>
      <c r="E1297" s="9">
        <v>9.2999999999999999E-2</v>
      </c>
      <c r="F1297" s="9">
        <v>51</v>
      </c>
      <c r="G1297" s="9">
        <v>77.5</v>
      </c>
      <c r="H1297" s="9">
        <v>0.99558000000000002</v>
      </c>
      <c r="I1297" s="9">
        <v>3.2</v>
      </c>
      <c r="J1297" s="9">
        <v>0.45</v>
      </c>
      <c r="K1297" s="9">
        <v>9.5</v>
      </c>
      <c r="L1297" s="9">
        <v>5</v>
      </c>
    </row>
    <row r="1298" spans="1:12" x14ac:dyDescent="0.3">
      <c r="A1298" s="9">
        <v>6.6</v>
      </c>
      <c r="B1298" s="9">
        <v>0.63</v>
      </c>
      <c r="C1298" s="9">
        <v>0</v>
      </c>
      <c r="D1298" s="9">
        <v>4.3</v>
      </c>
      <c r="E1298" s="9">
        <v>9.2999999999999999E-2</v>
      </c>
      <c r="F1298" s="9">
        <v>51</v>
      </c>
      <c r="G1298" s="9">
        <v>77.5</v>
      </c>
      <c r="H1298" s="9">
        <v>0.99558000000000002</v>
      </c>
      <c r="I1298" s="9">
        <v>3.2</v>
      </c>
      <c r="J1298" s="9">
        <v>0.45</v>
      </c>
      <c r="K1298" s="9">
        <v>9.5</v>
      </c>
      <c r="L1298" s="9">
        <v>5</v>
      </c>
    </row>
    <row r="1299" spans="1:12" x14ac:dyDescent="0.3">
      <c r="A1299" s="9">
        <v>7.2</v>
      </c>
      <c r="B1299" s="9">
        <v>0.53</v>
      </c>
      <c r="C1299" s="9">
        <v>0.14000000000000001</v>
      </c>
      <c r="D1299" s="9">
        <v>2.1</v>
      </c>
      <c r="E1299" s="9">
        <v>6.4000000000000001E-2</v>
      </c>
      <c r="F1299" s="9">
        <v>15</v>
      </c>
      <c r="G1299" s="9">
        <v>29</v>
      </c>
      <c r="H1299" s="9">
        <v>0.99322999999999995</v>
      </c>
      <c r="I1299" s="9">
        <v>3.35</v>
      </c>
      <c r="J1299" s="9">
        <v>0.61</v>
      </c>
      <c r="K1299" s="9">
        <v>12.1</v>
      </c>
      <c r="L1299" s="9">
        <v>6</v>
      </c>
    </row>
    <row r="1300" spans="1:12" x14ac:dyDescent="0.3">
      <c r="A1300" s="9">
        <v>5.7</v>
      </c>
      <c r="B1300" s="9">
        <v>0.6</v>
      </c>
      <c r="C1300" s="9">
        <v>0</v>
      </c>
      <c r="D1300" s="9">
        <v>1.4</v>
      </c>
      <c r="E1300" s="9">
        <v>6.3E-2</v>
      </c>
      <c r="F1300" s="9">
        <v>11</v>
      </c>
      <c r="G1300" s="9">
        <v>18</v>
      </c>
      <c r="H1300" s="9">
        <v>0.99190999999999996</v>
      </c>
      <c r="I1300" s="9">
        <v>3.45</v>
      </c>
      <c r="J1300" s="9">
        <v>0.56000000000000005</v>
      </c>
      <c r="K1300" s="9">
        <v>12.2</v>
      </c>
      <c r="L1300" s="9">
        <v>6</v>
      </c>
    </row>
    <row r="1301" spans="1:12" x14ac:dyDescent="0.3">
      <c r="A1301" s="9">
        <v>7.6</v>
      </c>
      <c r="B1301" s="9">
        <v>1.58</v>
      </c>
      <c r="C1301" s="9">
        <v>0</v>
      </c>
      <c r="D1301" s="9">
        <v>2.1</v>
      </c>
      <c r="E1301" s="9">
        <v>0.13700000000000001</v>
      </c>
      <c r="F1301" s="9">
        <v>5</v>
      </c>
      <c r="G1301" s="9">
        <v>9</v>
      </c>
      <c r="H1301" s="9">
        <v>0.99475999999999998</v>
      </c>
      <c r="I1301" s="9">
        <v>3.5</v>
      </c>
      <c r="J1301" s="9">
        <v>0.4</v>
      </c>
      <c r="K1301" s="9">
        <v>10.9</v>
      </c>
      <c r="L1301" s="9">
        <v>3</v>
      </c>
    </row>
    <row r="1302" spans="1:12" x14ac:dyDescent="0.3">
      <c r="A1302" s="9">
        <v>5.2</v>
      </c>
      <c r="B1302" s="9">
        <v>0.64500000000000002</v>
      </c>
      <c r="C1302" s="9">
        <v>0</v>
      </c>
      <c r="D1302" s="9">
        <v>2.15</v>
      </c>
      <c r="E1302" s="9">
        <v>0.08</v>
      </c>
      <c r="F1302" s="9">
        <v>15</v>
      </c>
      <c r="G1302" s="9">
        <v>28</v>
      </c>
      <c r="H1302" s="9">
        <v>0.99443999999999999</v>
      </c>
      <c r="I1302" s="9">
        <v>3.78</v>
      </c>
      <c r="J1302" s="9">
        <v>0.61</v>
      </c>
      <c r="K1302" s="9">
        <v>12.5</v>
      </c>
      <c r="L1302" s="9">
        <v>6</v>
      </c>
    </row>
    <row r="1303" spans="1:12" x14ac:dyDescent="0.3">
      <c r="A1303" s="9">
        <v>6.7</v>
      </c>
      <c r="B1303" s="9">
        <v>0.86</v>
      </c>
      <c r="C1303" s="9">
        <v>7.0000000000000007E-2</v>
      </c>
      <c r="D1303" s="9">
        <v>2</v>
      </c>
      <c r="E1303" s="9">
        <v>0.1</v>
      </c>
      <c r="F1303" s="9">
        <v>20</v>
      </c>
      <c r="G1303" s="9">
        <v>57</v>
      </c>
      <c r="H1303" s="9">
        <v>0.99597999999999998</v>
      </c>
      <c r="I1303" s="9">
        <v>3.6</v>
      </c>
      <c r="J1303" s="9">
        <v>0.74</v>
      </c>
      <c r="K1303" s="9">
        <v>11.7</v>
      </c>
      <c r="L1303" s="9">
        <v>6</v>
      </c>
    </row>
    <row r="1304" spans="1:12" x14ac:dyDescent="0.3">
      <c r="A1304" s="9">
        <v>9.1</v>
      </c>
      <c r="B1304" s="9">
        <v>0.37</v>
      </c>
      <c r="C1304" s="9">
        <v>0.32</v>
      </c>
      <c r="D1304" s="9">
        <v>2.1</v>
      </c>
      <c r="E1304" s="9">
        <v>6.4000000000000001E-2</v>
      </c>
      <c r="F1304" s="9">
        <v>4</v>
      </c>
      <c r="G1304" s="9">
        <v>15</v>
      </c>
      <c r="H1304" s="9">
        <v>0.99575999999999998</v>
      </c>
      <c r="I1304" s="9">
        <v>3.3</v>
      </c>
      <c r="J1304" s="9">
        <v>0.8</v>
      </c>
      <c r="K1304" s="9">
        <v>11.2</v>
      </c>
      <c r="L1304" s="9">
        <v>6</v>
      </c>
    </row>
    <row r="1305" spans="1:12" x14ac:dyDescent="0.3">
      <c r="A1305" s="9">
        <v>8</v>
      </c>
      <c r="B1305" s="9">
        <v>0.28000000000000003</v>
      </c>
      <c r="C1305" s="9">
        <v>0.44</v>
      </c>
      <c r="D1305" s="9">
        <v>1.8</v>
      </c>
      <c r="E1305" s="9">
        <v>8.1000000000000003E-2</v>
      </c>
      <c r="F1305" s="9">
        <v>28</v>
      </c>
      <c r="G1305" s="9">
        <v>68</v>
      </c>
      <c r="H1305" s="9">
        <v>0.99500999999999995</v>
      </c>
      <c r="I1305" s="9">
        <v>3.36</v>
      </c>
      <c r="J1305" s="9">
        <v>0.66</v>
      </c>
      <c r="K1305" s="9">
        <v>11.2</v>
      </c>
      <c r="L1305" s="9">
        <v>5</v>
      </c>
    </row>
    <row r="1306" spans="1:12" x14ac:dyDescent="0.3">
      <c r="A1306" s="9">
        <v>7.6</v>
      </c>
      <c r="B1306" s="9">
        <v>0.79</v>
      </c>
      <c r="C1306" s="9">
        <v>0.21</v>
      </c>
      <c r="D1306" s="9">
        <v>2.2999999999999998</v>
      </c>
      <c r="E1306" s="9">
        <v>8.6999999999999994E-2</v>
      </c>
      <c r="F1306" s="9">
        <v>21</v>
      </c>
      <c r="G1306" s="9">
        <v>68</v>
      </c>
      <c r="H1306" s="9">
        <v>0.99550000000000005</v>
      </c>
      <c r="I1306" s="9">
        <v>3.12</v>
      </c>
      <c r="J1306" s="9">
        <v>0.44</v>
      </c>
      <c r="K1306" s="9">
        <v>9.1999999999999993</v>
      </c>
      <c r="L1306" s="9">
        <v>5</v>
      </c>
    </row>
    <row r="1307" spans="1:12" x14ac:dyDescent="0.3">
      <c r="A1307" s="9">
        <v>7.5</v>
      </c>
      <c r="B1307" s="9">
        <v>0.61</v>
      </c>
      <c r="C1307" s="9">
        <v>0.26</v>
      </c>
      <c r="D1307" s="9">
        <v>1.9</v>
      </c>
      <c r="E1307" s="9">
        <v>7.2999999999999995E-2</v>
      </c>
      <c r="F1307" s="9">
        <v>24</v>
      </c>
      <c r="G1307" s="9">
        <v>88</v>
      </c>
      <c r="H1307" s="9">
        <v>0.99612000000000001</v>
      </c>
      <c r="I1307" s="9">
        <v>3.3</v>
      </c>
      <c r="J1307" s="9">
        <v>0.53</v>
      </c>
      <c r="K1307" s="9">
        <v>9.8000000000000007</v>
      </c>
      <c r="L1307" s="9">
        <v>5</v>
      </c>
    </row>
    <row r="1308" spans="1:12" x14ac:dyDescent="0.3">
      <c r="A1308" s="9">
        <v>9.6999999999999993</v>
      </c>
      <c r="B1308" s="9">
        <v>0.69</v>
      </c>
      <c r="C1308" s="9">
        <v>0.32</v>
      </c>
      <c r="D1308" s="9">
        <v>2.5</v>
      </c>
      <c r="E1308" s="9">
        <v>8.7999999999999995E-2</v>
      </c>
      <c r="F1308" s="9">
        <v>22</v>
      </c>
      <c r="G1308" s="9">
        <v>91</v>
      </c>
      <c r="H1308" s="9">
        <v>0.99790000000000001</v>
      </c>
      <c r="I1308" s="9">
        <v>3.29</v>
      </c>
      <c r="J1308" s="9">
        <v>0.62</v>
      </c>
      <c r="K1308" s="9">
        <v>10.1</v>
      </c>
      <c r="L1308" s="9">
        <v>5</v>
      </c>
    </row>
    <row r="1309" spans="1:12" x14ac:dyDescent="0.3">
      <c r="A1309" s="9">
        <v>6.8</v>
      </c>
      <c r="B1309" s="9">
        <v>0.68</v>
      </c>
      <c r="C1309" s="9">
        <v>0.09</v>
      </c>
      <c r="D1309" s="9">
        <v>3.9</v>
      </c>
      <c r="E1309" s="9">
        <v>6.8000000000000005E-2</v>
      </c>
      <c r="F1309" s="9">
        <v>15</v>
      </c>
      <c r="G1309" s="9">
        <v>29</v>
      </c>
      <c r="H1309" s="9">
        <v>0.99524000000000001</v>
      </c>
      <c r="I1309" s="9">
        <v>3.41</v>
      </c>
      <c r="J1309" s="9">
        <v>0.52</v>
      </c>
      <c r="K1309" s="9">
        <v>11.1</v>
      </c>
      <c r="L1309" s="9">
        <v>4</v>
      </c>
    </row>
    <row r="1310" spans="1:12" x14ac:dyDescent="0.3">
      <c r="A1310" s="9">
        <v>9.6999999999999993</v>
      </c>
      <c r="B1310" s="9">
        <v>0.69</v>
      </c>
      <c r="C1310" s="9">
        <v>0.32</v>
      </c>
      <c r="D1310" s="9">
        <v>2.5</v>
      </c>
      <c r="E1310" s="9">
        <v>8.7999999999999995E-2</v>
      </c>
      <c r="F1310" s="9">
        <v>22</v>
      </c>
      <c r="G1310" s="9">
        <v>91</v>
      </c>
      <c r="H1310" s="9">
        <v>0.99790000000000001</v>
      </c>
      <c r="I1310" s="9">
        <v>3.29</v>
      </c>
      <c r="J1310" s="9">
        <v>0.62</v>
      </c>
      <c r="K1310" s="9">
        <v>10.1</v>
      </c>
      <c r="L1310" s="9">
        <v>5</v>
      </c>
    </row>
    <row r="1311" spans="1:12" x14ac:dyDescent="0.3">
      <c r="A1311" s="9">
        <v>7</v>
      </c>
      <c r="B1311" s="9">
        <v>0.62</v>
      </c>
      <c r="C1311" s="9">
        <v>0.1</v>
      </c>
      <c r="D1311" s="9">
        <v>1.4</v>
      </c>
      <c r="E1311" s="9">
        <v>7.0999999999999994E-2</v>
      </c>
      <c r="F1311" s="9">
        <v>27</v>
      </c>
      <c r="G1311" s="9">
        <v>63</v>
      </c>
      <c r="H1311" s="9">
        <v>0.996</v>
      </c>
      <c r="I1311" s="9">
        <v>3.28</v>
      </c>
      <c r="J1311" s="9">
        <v>0.61</v>
      </c>
      <c r="K1311" s="9">
        <v>9.1999999999999993</v>
      </c>
      <c r="L1311" s="9">
        <v>5</v>
      </c>
    </row>
    <row r="1312" spans="1:12" x14ac:dyDescent="0.3">
      <c r="A1312" s="9">
        <v>7.5</v>
      </c>
      <c r="B1312" s="9">
        <v>0.61</v>
      </c>
      <c r="C1312" s="9">
        <v>0.26</v>
      </c>
      <c r="D1312" s="9">
        <v>1.9</v>
      </c>
      <c r="E1312" s="9">
        <v>7.2999999999999995E-2</v>
      </c>
      <c r="F1312" s="9">
        <v>24</v>
      </c>
      <c r="G1312" s="9">
        <v>88</v>
      </c>
      <c r="H1312" s="9">
        <v>0.99612000000000001</v>
      </c>
      <c r="I1312" s="9">
        <v>3.3</v>
      </c>
      <c r="J1312" s="9">
        <v>0.53</v>
      </c>
      <c r="K1312" s="9">
        <v>9.8000000000000007</v>
      </c>
      <c r="L1312" s="9">
        <v>5</v>
      </c>
    </row>
    <row r="1313" spans="1:12" x14ac:dyDescent="0.3">
      <c r="A1313" s="9">
        <v>6.5</v>
      </c>
      <c r="B1313" s="9">
        <v>0.51</v>
      </c>
      <c r="C1313" s="9">
        <v>0.15</v>
      </c>
      <c r="D1313" s="9">
        <v>3</v>
      </c>
      <c r="E1313" s="9">
        <v>6.4000000000000001E-2</v>
      </c>
      <c r="F1313" s="9">
        <v>12</v>
      </c>
      <c r="G1313" s="9">
        <v>27</v>
      </c>
      <c r="H1313" s="9">
        <v>0.9929</v>
      </c>
      <c r="I1313" s="9">
        <v>3.33</v>
      </c>
      <c r="J1313" s="9">
        <v>0.59</v>
      </c>
      <c r="K1313" s="9">
        <v>12.8</v>
      </c>
      <c r="L1313" s="9">
        <v>6</v>
      </c>
    </row>
    <row r="1314" spans="1:12" x14ac:dyDescent="0.3">
      <c r="A1314" s="9">
        <v>8</v>
      </c>
      <c r="B1314" s="9">
        <v>1.18</v>
      </c>
      <c r="C1314" s="9">
        <v>0.21</v>
      </c>
      <c r="D1314" s="9">
        <v>1.9</v>
      </c>
      <c r="E1314" s="9">
        <v>8.3000000000000004E-2</v>
      </c>
      <c r="F1314" s="9">
        <v>14</v>
      </c>
      <c r="G1314" s="9">
        <v>41</v>
      </c>
      <c r="H1314" s="9">
        <v>0.99531999999999998</v>
      </c>
      <c r="I1314" s="9">
        <v>3.34</v>
      </c>
      <c r="J1314" s="9">
        <v>0.47</v>
      </c>
      <c r="K1314" s="9">
        <v>10.5</v>
      </c>
      <c r="L1314" s="9">
        <v>5</v>
      </c>
    </row>
    <row r="1315" spans="1:12" x14ac:dyDescent="0.3">
      <c r="A1315" s="9">
        <v>7</v>
      </c>
      <c r="B1315" s="9">
        <v>0.36</v>
      </c>
      <c r="C1315" s="9">
        <v>0.21</v>
      </c>
      <c r="D1315" s="9">
        <v>2.2999999999999998</v>
      </c>
      <c r="E1315" s="9">
        <v>8.5999999999999993E-2</v>
      </c>
      <c r="F1315" s="9">
        <v>20</v>
      </c>
      <c r="G1315" s="9">
        <v>65</v>
      </c>
      <c r="H1315" s="9">
        <v>0.99558000000000002</v>
      </c>
      <c r="I1315" s="9">
        <v>3.4</v>
      </c>
      <c r="J1315" s="9">
        <v>0.54</v>
      </c>
      <c r="K1315" s="9">
        <v>10.1</v>
      </c>
      <c r="L1315" s="9">
        <v>6</v>
      </c>
    </row>
    <row r="1316" spans="1:12" x14ac:dyDescent="0.3">
      <c r="A1316" s="9">
        <v>7</v>
      </c>
      <c r="B1316" s="9">
        <v>0.36</v>
      </c>
      <c r="C1316" s="9">
        <v>0.21</v>
      </c>
      <c r="D1316" s="9">
        <v>2.4</v>
      </c>
      <c r="E1316" s="9">
        <v>8.5999999999999993E-2</v>
      </c>
      <c r="F1316" s="9">
        <v>24</v>
      </c>
      <c r="G1316" s="9">
        <v>69</v>
      </c>
      <c r="H1316" s="9">
        <v>0.99556</v>
      </c>
      <c r="I1316" s="9">
        <v>3.4</v>
      </c>
      <c r="J1316" s="9">
        <v>0.53</v>
      </c>
      <c r="K1316" s="9">
        <v>10.1</v>
      </c>
      <c r="L1316" s="9">
        <v>6</v>
      </c>
    </row>
    <row r="1317" spans="1:12" x14ac:dyDescent="0.3">
      <c r="A1317" s="9">
        <v>7.5</v>
      </c>
      <c r="B1317" s="9">
        <v>0.63</v>
      </c>
      <c r="C1317" s="9">
        <v>0.27</v>
      </c>
      <c r="D1317" s="9">
        <v>2</v>
      </c>
      <c r="E1317" s="9">
        <v>8.3000000000000004E-2</v>
      </c>
      <c r="F1317" s="9">
        <v>17</v>
      </c>
      <c r="G1317" s="9">
        <v>91</v>
      </c>
      <c r="H1317" s="9">
        <v>0.99616000000000005</v>
      </c>
      <c r="I1317" s="9">
        <v>3.26</v>
      </c>
      <c r="J1317" s="9">
        <v>0.57999999999999996</v>
      </c>
      <c r="K1317" s="9">
        <v>9.8000000000000007</v>
      </c>
      <c r="L1317" s="9">
        <v>6</v>
      </c>
    </row>
    <row r="1318" spans="1:12" x14ac:dyDescent="0.3">
      <c r="A1318" s="9">
        <v>5.4</v>
      </c>
      <c r="B1318" s="9">
        <v>0.74</v>
      </c>
      <c r="C1318" s="9">
        <v>0</v>
      </c>
      <c r="D1318" s="9">
        <v>1.2</v>
      </c>
      <c r="E1318" s="9">
        <v>4.1000000000000002E-2</v>
      </c>
      <c r="F1318" s="9">
        <v>16</v>
      </c>
      <c r="G1318" s="9">
        <v>46</v>
      </c>
      <c r="H1318" s="9">
        <v>0.99258000000000002</v>
      </c>
      <c r="I1318" s="9">
        <v>4.01</v>
      </c>
      <c r="J1318" s="9">
        <v>0.59</v>
      </c>
      <c r="K1318" s="9">
        <v>12.5</v>
      </c>
      <c r="L1318" s="9">
        <v>6</v>
      </c>
    </row>
    <row r="1319" spans="1:12" x14ac:dyDescent="0.3">
      <c r="A1319" s="9">
        <v>9.9</v>
      </c>
      <c r="B1319" s="9">
        <v>0.44</v>
      </c>
      <c r="C1319" s="9">
        <v>0.46</v>
      </c>
      <c r="D1319" s="9">
        <v>2.2000000000000002</v>
      </c>
      <c r="E1319" s="9">
        <v>9.0999999999999998E-2</v>
      </c>
      <c r="F1319" s="9">
        <v>10</v>
      </c>
      <c r="G1319" s="9">
        <v>41</v>
      </c>
      <c r="H1319" s="9">
        <v>0.99638000000000004</v>
      </c>
      <c r="I1319" s="9">
        <v>3.18</v>
      </c>
      <c r="J1319" s="9">
        <v>0.69</v>
      </c>
      <c r="K1319" s="9">
        <v>11.9</v>
      </c>
      <c r="L1319" s="9">
        <v>6</v>
      </c>
    </row>
    <row r="1320" spans="1:12" x14ac:dyDescent="0.3">
      <c r="A1320" s="9">
        <v>7.5</v>
      </c>
      <c r="B1320" s="9">
        <v>0.63</v>
      </c>
      <c r="C1320" s="9">
        <v>0.27</v>
      </c>
      <c r="D1320" s="9">
        <v>2</v>
      </c>
      <c r="E1320" s="9">
        <v>8.3000000000000004E-2</v>
      </c>
      <c r="F1320" s="9">
        <v>17</v>
      </c>
      <c r="G1320" s="9">
        <v>91</v>
      </c>
      <c r="H1320" s="9">
        <v>0.99616000000000005</v>
      </c>
      <c r="I1320" s="9">
        <v>3.26</v>
      </c>
      <c r="J1320" s="9">
        <v>0.57999999999999996</v>
      </c>
      <c r="K1320" s="9">
        <v>9.8000000000000007</v>
      </c>
      <c r="L1320" s="9">
        <v>6</v>
      </c>
    </row>
    <row r="1321" spans="1:12" x14ac:dyDescent="0.3">
      <c r="A1321" s="9">
        <v>9.1</v>
      </c>
      <c r="B1321" s="9">
        <v>0.76</v>
      </c>
      <c r="C1321" s="9">
        <v>0.68</v>
      </c>
      <c r="D1321" s="9">
        <v>1.7</v>
      </c>
      <c r="E1321" s="9">
        <v>0.41399999999999998</v>
      </c>
      <c r="F1321" s="9">
        <v>18</v>
      </c>
      <c r="G1321" s="9">
        <v>64</v>
      </c>
      <c r="H1321" s="9">
        <v>0.99651999999999996</v>
      </c>
      <c r="I1321" s="9">
        <v>2.9</v>
      </c>
      <c r="J1321" s="9">
        <v>1.33</v>
      </c>
      <c r="K1321" s="9">
        <v>9.1</v>
      </c>
      <c r="L1321" s="9">
        <v>6</v>
      </c>
    </row>
    <row r="1322" spans="1:12" x14ac:dyDescent="0.3">
      <c r="A1322" s="9">
        <v>9.6999999999999993</v>
      </c>
      <c r="B1322" s="9">
        <v>0.66</v>
      </c>
      <c r="C1322" s="9">
        <v>0.34</v>
      </c>
      <c r="D1322" s="9">
        <v>2.6</v>
      </c>
      <c r="E1322" s="9">
        <v>9.4E-2</v>
      </c>
      <c r="F1322" s="9">
        <v>12</v>
      </c>
      <c r="G1322" s="9">
        <v>88</v>
      </c>
      <c r="H1322" s="9">
        <v>0.99795999999999996</v>
      </c>
      <c r="I1322" s="9">
        <v>3.26</v>
      </c>
      <c r="J1322" s="9">
        <v>0.66</v>
      </c>
      <c r="K1322" s="9">
        <v>10.1</v>
      </c>
      <c r="L1322" s="9">
        <v>5</v>
      </c>
    </row>
    <row r="1323" spans="1:12" x14ac:dyDescent="0.3">
      <c r="A1323" s="9">
        <v>5</v>
      </c>
      <c r="B1323" s="9">
        <v>0.74</v>
      </c>
      <c r="C1323" s="9">
        <v>0</v>
      </c>
      <c r="D1323" s="9">
        <v>1.2</v>
      </c>
      <c r="E1323" s="9">
        <v>4.1000000000000002E-2</v>
      </c>
      <c r="F1323" s="9">
        <v>16</v>
      </c>
      <c r="G1323" s="9">
        <v>46</v>
      </c>
      <c r="H1323" s="9">
        <v>0.99258000000000002</v>
      </c>
      <c r="I1323" s="9">
        <v>4.01</v>
      </c>
      <c r="J1323" s="9">
        <v>0.59</v>
      </c>
      <c r="K1323" s="9">
        <v>12.5</v>
      </c>
      <c r="L1323" s="9">
        <v>6</v>
      </c>
    </row>
    <row r="1324" spans="1:12" x14ac:dyDescent="0.3">
      <c r="A1324" s="9">
        <v>9.1</v>
      </c>
      <c r="B1324" s="9">
        <v>0.34</v>
      </c>
      <c r="C1324" s="9">
        <v>0.42</v>
      </c>
      <c r="D1324" s="9">
        <v>1.8</v>
      </c>
      <c r="E1324" s="9">
        <v>5.8000000000000003E-2</v>
      </c>
      <c r="F1324" s="9">
        <v>9</v>
      </c>
      <c r="G1324" s="9">
        <v>18</v>
      </c>
      <c r="H1324" s="9">
        <v>0.99392000000000003</v>
      </c>
      <c r="I1324" s="9">
        <v>3.18</v>
      </c>
      <c r="J1324" s="9">
        <v>0.55000000000000004</v>
      </c>
      <c r="K1324" s="9">
        <v>11.4</v>
      </c>
      <c r="L1324" s="9">
        <v>5</v>
      </c>
    </row>
    <row r="1325" spans="1:12" x14ac:dyDescent="0.3">
      <c r="A1325" s="9">
        <v>9.1</v>
      </c>
      <c r="B1325" s="9">
        <v>0.36</v>
      </c>
      <c r="C1325" s="9">
        <v>0.39</v>
      </c>
      <c r="D1325" s="9">
        <v>1.8</v>
      </c>
      <c r="E1325" s="9">
        <v>0.06</v>
      </c>
      <c r="F1325" s="9">
        <v>21</v>
      </c>
      <c r="G1325" s="9">
        <v>55</v>
      </c>
      <c r="H1325" s="9">
        <v>0.99495</v>
      </c>
      <c r="I1325" s="9">
        <v>3.18</v>
      </c>
      <c r="J1325" s="9">
        <v>0.82</v>
      </c>
      <c r="K1325" s="9">
        <v>11</v>
      </c>
      <c r="L1325" s="9">
        <v>7</v>
      </c>
    </row>
    <row r="1326" spans="1:12" x14ac:dyDescent="0.3">
      <c r="A1326" s="9">
        <v>6.7</v>
      </c>
      <c r="B1326" s="9">
        <v>0.46</v>
      </c>
      <c r="C1326" s="9">
        <v>0.24</v>
      </c>
      <c r="D1326" s="9">
        <v>1.7</v>
      </c>
      <c r="E1326" s="9">
        <v>7.6999999999999999E-2</v>
      </c>
      <c r="F1326" s="9">
        <v>18</v>
      </c>
      <c r="G1326" s="9">
        <v>34</v>
      </c>
      <c r="H1326" s="9">
        <v>0.99480000000000002</v>
      </c>
      <c r="I1326" s="9">
        <v>3.39</v>
      </c>
      <c r="J1326" s="9">
        <v>0.6</v>
      </c>
      <c r="K1326" s="9">
        <v>10.6</v>
      </c>
      <c r="L1326" s="9">
        <v>6</v>
      </c>
    </row>
    <row r="1327" spans="1:12" x14ac:dyDescent="0.3">
      <c r="A1327" s="9">
        <v>6.7</v>
      </c>
      <c r="B1327" s="9">
        <v>0.46</v>
      </c>
      <c r="C1327" s="9">
        <v>0.24</v>
      </c>
      <c r="D1327" s="9">
        <v>1.7</v>
      </c>
      <c r="E1327" s="9">
        <v>7.6999999999999999E-2</v>
      </c>
      <c r="F1327" s="9">
        <v>18</v>
      </c>
      <c r="G1327" s="9">
        <v>34</v>
      </c>
      <c r="H1327" s="9">
        <v>0.99480000000000002</v>
      </c>
      <c r="I1327" s="9">
        <v>3.39</v>
      </c>
      <c r="J1327" s="9">
        <v>0.6</v>
      </c>
      <c r="K1327" s="9">
        <v>10.6</v>
      </c>
      <c r="L1327" s="9">
        <v>6</v>
      </c>
    </row>
    <row r="1328" spans="1:12" x14ac:dyDescent="0.3">
      <c r="A1328" s="9">
        <v>6.7</v>
      </c>
      <c r="B1328" s="9">
        <v>0.46</v>
      </c>
      <c r="C1328" s="9">
        <v>0.24</v>
      </c>
      <c r="D1328" s="9">
        <v>1.7</v>
      </c>
      <c r="E1328" s="9">
        <v>7.6999999999999999E-2</v>
      </c>
      <c r="F1328" s="9">
        <v>18</v>
      </c>
      <c r="G1328" s="9">
        <v>34</v>
      </c>
      <c r="H1328" s="9">
        <v>0.99480000000000002</v>
      </c>
      <c r="I1328" s="9">
        <v>3.39</v>
      </c>
      <c r="J1328" s="9">
        <v>0.6</v>
      </c>
      <c r="K1328" s="9">
        <v>10.6</v>
      </c>
      <c r="L1328" s="9">
        <v>6</v>
      </c>
    </row>
    <row r="1329" spans="1:12" x14ac:dyDescent="0.3">
      <c r="A1329" s="9">
        <v>6.7</v>
      </c>
      <c r="B1329" s="9">
        <v>0.46</v>
      </c>
      <c r="C1329" s="9">
        <v>0.24</v>
      </c>
      <c r="D1329" s="9">
        <v>1.7</v>
      </c>
      <c r="E1329" s="9">
        <v>7.6999999999999999E-2</v>
      </c>
      <c r="F1329" s="9">
        <v>18</v>
      </c>
      <c r="G1329" s="9">
        <v>34</v>
      </c>
      <c r="H1329" s="9">
        <v>0.99480000000000002</v>
      </c>
      <c r="I1329" s="9">
        <v>3.39</v>
      </c>
      <c r="J1329" s="9">
        <v>0.6</v>
      </c>
      <c r="K1329" s="9">
        <v>10.6</v>
      </c>
      <c r="L1329" s="9">
        <v>6</v>
      </c>
    </row>
    <row r="1330" spans="1:12" x14ac:dyDescent="0.3">
      <c r="A1330" s="9">
        <v>6.5</v>
      </c>
      <c r="B1330" s="9">
        <v>0.52</v>
      </c>
      <c r="C1330" s="9">
        <v>0.11</v>
      </c>
      <c r="D1330" s="9">
        <v>1.8</v>
      </c>
      <c r="E1330" s="9">
        <v>7.2999999999999995E-2</v>
      </c>
      <c r="F1330" s="9">
        <v>13</v>
      </c>
      <c r="G1330" s="9">
        <v>38</v>
      </c>
      <c r="H1330" s="9">
        <v>0.99550000000000005</v>
      </c>
      <c r="I1330" s="9">
        <v>3.34</v>
      </c>
      <c r="J1330" s="9">
        <v>0.52</v>
      </c>
      <c r="K1330" s="9">
        <v>9.3000000000000007</v>
      </c>
      <c r="L1330" s="9">
        <v>5</v>
      </c>
    </row>
    <row r="1331" spans="1:12" x14ac:dyDescent="0.3">
      <c r="A1331" s="9">
        <v>7.4</v>
      </c>
      <c r="B1331" s="9">
        <v>0.6</v>
      </c>
      <c r="C1331" s="9">
        <v>0.26</v>
      </c>
      <c r="D1331" s="9">
        <v>2.1</v>
      </c>
      <c r="E1331" s="9">
        <v>8.3000000000000004E-2</v>
      </c>
      <c r="F1331" s="9">
        <v>17</v>
      </c>
      <c r="G1331" s="9">
        <v>91</v>
      </c>
      <c r="H1331" s="9">
        <v>0.99616000000000005</v>
      </c>
      <c r="I1331" s="9">
        <v>3.29</v>
      </c>
      <c r="J1331" s="9">
        <v>0.56000000000000005</v>
      </c>
      <c r="K1331" s="9">
        <v>9.8000000000000007</v>
      </c>
      <c r="L1331" s="9">
        <v>6</v>
      </c>
    </row>
    <row r="1332" spans="1:12" x14ac:dyDescent="0.3">
      <c r="A1332" s="9">
        <v>7.4</v>
      </c>
      <c r="B1332" s="9">
        <v>0.6</v>
      </c>
      <c r="C1332" s="9">
        <v>0.26</v>
      </c>
      <c r="D1332" s="9">
        <v>2.1</v>
      </c>
      <c r="E1332" s="9">
        <v>8.3000000000000004E-2</v>
      </c>
      <c r="F1332" s="9">
        <v>17</v>
      </c>
      <c r="G1332" s="9">
        <v>91</v>
      </c>
      <c r="H1332" s="9">
        <v>0.99616000000000005</v>
      </c>
      <c r="I1332" s="9">
        <v>3.29</v>
      </c>
      <c r="J1332" s="9">
        <v>0.56000000000000005</v>
      </c>
      <c r="K1332" s="9">
        <v>9.8000000000000007</v>
      </c>
      <c r="L1332" s="9">
        <v>6</v>
      </c>
    </row>
    <row r="1333" spans="1:12" x14ac:dyDescent="0.3">
      <c r="A1333" s="9">
        <v>7.8</v>
      </c>
      <c r="B1333" s="9">
        <v>0.87</v>
      </c>
      <c r="C1333" s="9">
        <v>0.26</v>
      </c>
      <c r="D1333" s="9">
        <v>3.8</v>
      </c>
      <c r="E1333" s="9">
        <v>0.107</v>
      </c>
      <c r="F1333" s="9">
        <v>31</v>
      </c>
      <c r="G1333" s="9">
        <v>67</v>
      </c>
      <c r="H1333" s="9">
        <v>0.99668000000000001</v>
      </c>
      <c r="I1333" s="9">
        <v>3.26</v>
      </c>
      <c r="J1333" s="9">
        <v>0.46</v>
      </c>
      <c r="K1333" s="9">
        <v>9.1999999999999993</v>
      </c>
      <c r="L1333" s="9">
        <v>5</v>
      </c>
    </row>
    <row r="1334" spans="1:12" x14ac:dyDescent="0.3">
      <c r="A1334" s="9">
        <v>8.4</v>
      </c>
      <c r="B1334" s="9">
        <v>0.39</v>
      </c>
      <c r="C1334" s="9">
        <v>0.1</v>
      </c>
      <c r="D1334" s="9">
        <v>1.7</v>
      </c>
      <c r="E1334" s="9">
        <v>7.4999999999999997E-2</v>
      </c>
      <c r="F1334" s="9">
        <v>6</v>
      </c>
      <c r="G1334" s="9">
        <v>25</v>
      </c>
      <c r="H1334" s="9">
        <v>0.99580999999999997</v>
      </c>
      <c r="I1334" s="9">
        <v>3.09</v>
      </c>
      <c r="J1334" s="9">
        <v>0.43</v>
      </c>
      <c r="K1334" s="9">
        <v>9.6999999999999993</v>
      </c>
      <c r="L1334" s="9">
        <v>6</v>
      </c>
    </row>
    <row r="1335" spans="1:12" x14ac:dyDescent="0.3">
      <c r="A1335" s="9">
        <v>9.1</v>
      </c>
      <c r="B1335" s="9">
        <v>0.77500000000000002</v>
      </c>
      <c r="C1335" s="9">
        <v>0.22</v>
      </c>
      <c r="D1335" s="9">
        <v>2.2000000000000002</v>
      </c>
      <c r="E1335" s="9">
        <v>7.9000000000000001E-2</v>
      </c>
      <c r="F1335" s="9">
        <v>12</v>
      </c>
      <c r="G1335" s="9">
        <v>48</v>
      </c>
      <c r="H1335" s="9">
        <v>0.99760000000000004</v>
      </c>
      <c r="I1335" s="9">
        <v>3.18</v>
      </c>
      <c r="J1335" s="9">
        <v>0.51</v>
      </c>
      <c r="K1335" s="9">
        <v>9.6</v>
      </c>
      <c r="L1335" s="9">
        <v>5</v>
      </c>
    </row>
    <row r="1336" spans="1:12" x14ac:dyDescent="0.3">
      <c r="A1336" s="9">
        <v>7.2</v>
      </c>
      <c r="B1336" s="9">
        <v>0.83499999999999996</v>
      </c>
      <c r="C1336" s="9">
        <v>0</v>
      </c>
      <c r="D1336" s="9">
        <v>2</v>
      </c>
      <c r="E1336" s="9">
        <v>0.16600000000000001</v>
      </c>
      <c r="F1336" s="9">
        <v>4</v>
      </c>
      <c r="G1336" s="9">
        <v>11</v>
      </c>
      <c r="H1336" s="9">
        <v>0.99607999999999997</v>
      </c>
      <c r="I1336" s="9">
        <v>3.39</v>
      </c>
      <c r="J1336" s="9">
        <v>0.52</v>
      </c>
      <c r="K1336" s="9">
        <v>10</v>
      </c>
      <c r="L1336" s="9">
        <v>5</v>
      </c>
    </row>
    <row r="1337" spans="1:12" x14ac:dyDescent="0.3">
      <c r="A1337" s="9">
        <v>6.6</v>
      </c>
      <c r="B1337" s="9">
        <v>0.57999999999999996</v>
      </c>
      <c r="C1337" s="9">
        <v>0.02</v>
      </c>
      <c r="D1337" s="9">
        <v>2.4</v>
      </c>
      <c r="E1337" s="9">
        <v>6.9000000000000006E-2</v>
      </c>
      <c r="F1337" s="9">
        <v>19</v>
      </c>
      <c r="G1337" s="9">
        <v>40</v>
      </c>
      <c r="H1337" s="9">
        <v>0.99387000000000003</v>
      </c>
      <c r="I1337" s="9">
        <v>3.38</v>
      </c>
      <c r="J1337" s="9">
        <v>0.66</v>
      </c>
      <c r="K1337" s="9">
        <v>12.6</v>
      </c>
      <c r="L1337" s="9">
        <v>6</v>
      </c>
    </row>
    <row r="1338" spans="1:12" x14ac:dyDescent="0.3">
      <c r="A1338" s="9">
        <v>6</v>
      </c>
      <c r="B1338" s="9">
        <v>0.5</v>
      </c>
      <c r="C1338" s="9">
        <v>0</v>
      </c>
      <c r="D1338" s="9">
        <v>1.4</v>
      </c>
      <c r="E1338" s="9">
        <v>5.7000000000000002E-2</v>
      </c>
      <c r="F1338" s="9">
        <v>15</v>
      </c>
      <c r="G1338" s="9">
        <v>26</v>
      </c>
      <c r="H1338" s="9">
        <v>0.99448000000000003</v>
      </c>
      <c r="I1338" s="9">
        <v>3.36</v>
      </c>
      <c r="J1338" s="9">
        <v>0.45</v>
      </c>
      <c r="K1338" s="9">
        <v>9.5</v>
      </c>
      <c r="L1338" s="9">
        <v>5</v>
      </c>
    </row>
    <row r="1339" spans="1:12" x14ac:dyDescent="0.3">
      <c r="A1339" s="9">
        <v>6</v>
      </c>
      <c r="B1339" s="9">
        <v>0.5</v>
      </c>
      <c r="C1339" s="9">
        <v>0</v>
      </c>
      <c r="D1339" s="9">
        <v>1.4</v>
      </c>
      <c r="E1339" s="9">
        <v>5.7000000000000002E-2</v>
      </c>
      <c r="F1339" s="9">
        <v>15</v>
      </c>
      <c r="G1339" s="9">
        <v>26</v>
      </c>
      <c r="H1339" s="9">
        <v>0.99448000000000003</v>
      </c>
      <c r="I1339" s="9">
        <v>3.36</v>
      </c>
      <c r="J1339" s="9">
        <v>0.45</v>
      </c>
      <c r="K1339" s="9">
        <v>9.5</v>
      </c>
      <c r="L1339" s="9">
        <v>5</v>
      </c>
    </row>
    <row r="1340" spans="1:12" x14ac:dyDescent="0.3">
      <c r="A1340" s="9">
        <v>6</v>
      </c>
      <c r="B1340" s="9">
        <v>0.5</v>
      </c>
      <c r="C1340" s="9">
        <v>0</v>
      </c>
      <c r="D1340" s="9">
        <v>1.4</v>
      </c>
      <c r="E1340" s="9">
        <v>5.7000000000000002E-2</v>
      </c>
      <c r="F1340" s="9">
        <v>15</v>
      </c>
      <c r="G1340" s="9">
        <v>26</v>
      </c>
      <c r="H1340" s="9">
        <v>0.99448000000000003</v>
      </c>
      <c r="I1340" s="9">
        <v>3.36</v>
      </c>
      <c r="J1340" s="9">
        <v>0.45</v>
      </c>
      <c r="K1340" s="9">
        <v>9.5</v>
      </c>
      <c r="L1340" s="9">
        <v>5</v>
      </c>
    </row>
    <row r="1341" spans="1:12" x14ac:dyDescent="0.3">
      <c r="A1341" s="9">
        <v>7.5</v>
      </c>
      <c r="B1341" s="9">
        <v>0.51</v>
      </c>
      <c r="C1341" s="9">
        <v>0.02</v>
      </c>
      <c r="D1341" s="9">
        <v>1.7</v>
      </c>
      <c r="E1341" s="9">
        <v>8.4000000000000005E-2</v>
      </c>
      <c r="F1341" s="9">
        <v>13</v>
      </c>
      <c r="G1341" s="9">
        <v>31</v>
      </c>
      <c r="H1341" s="9">
        <v>0.99538000000000004</v>
      </c>
      <c r="I1341" s="9">
        <v>3.36</v>
      </c>
      <c r="J1341" s="9">
        <v>0.54</v>
      </c>
      <c r="K1341" s="9">
        <v>10.5</v>
      </c>
      <c r="L1341" s="9">
        <v>6</v>
      </c>
    </row>
    <row r="1342" spans="1:12" x14ac:dyDescent="0.3">
      <c r="A1342" s="9">
        <v>7.5</v>
      </c>
      <c r="B1342" s="9">
        <v>0.51</v>
      </c>
      <c r="C1342" s="9">
        <v>0.02</v>
      </c>
      <c r="D1342" s="9">
        <v>1.7</v>
      </c>
      <c r="E1342" s="9">
        <v>8.4000000000000005E-2</v>
      </c>
      <c r="F1342" s="9">
        <v>13</v>
      </c>
      <c r="G1342" s="9">
        <v>31</v>
      </c>
      <c r="H1342" s="9">
        <v>0.99538000000000004</v>
      </c>
      <c r="I1342" s="9">
        <v>3.36</v>
      </c>
      <c r="J1342" s="9">
        <v>0.54</v>
      </c>
      <c r="K1342" s="9">
        <v>10.5</v>
      </c>
      <c r="L1342" s="9">
        <v>6</v>
      </c>
    </row>
    <row r="1343" spans="1:12" x14ac:dyDescent="0.3">
      <c r="A1343" s="9">
        <v>7.5</v>
      </c>
      <c r="B1343" s="9">
        <v>0.51</v>
      </c>
      <c r="C1343" s="9">
        <v>0.02</v>
      </c>
      <c r="D1343" s="9">
        <v>1.7</v>
      </c>
      <c r="E1343" s="9">
        <v>8.4000000000000005E-2</v>
      </c>
      <c r="F1343" s="9">
        <v>13</v>
      </c>
      <c r="G1343" s="9">
        <v>31</v>
      </c>
      <c r="H1343" s="9">
        <v>0.99538000000000004</v>
      </c>
      <c r="I1343" s="9">
        <v>3.36</v>
      </c>
      <c r="J1343" s="9">
        <v>0.54</v>
      </c>
      <c r="K1343" s="9">
        <v>10.5</v>
      </c>
      <c r="L1343" s="9">
        <v>6</v>
      </c>
    </row>
    <row r="1344" spans="1:12" x14ac:dyDescent="0.3">
      <c r="A1344" s="9">
        <v>7.6</v>
      </c>
      <c r="B1344" s="9">
        <v>0.54</v>
      </c>
      <c r="C1344" s="9">
        <v>0.02</v>
      </c>
      <c r="D1344" s="9">
        <v>1.7</v>
      </c>
      <c r="E1344" s="9">
        <v>8.5000000000000006E-2</v>
      </c>
      <c r="F1344" s="9">
        <v>17</v>
      </c>
      <c r="G1344" s="9">
        <v>31</v>
      </c>
      <c r="H1344" s="9">
        <v>0.99589000000000005</v>
      </c>
      <c r="I1344" s="9">
        <v>3.37</v>
      </c>
      <c r="J1344" s="9">
        <v>0.51</v>
      </c>
      <c r="K1344" s="9">
        <v>10.4</v>
      </c>
      <c r="L1344" s="9">
        <v>6</v>
      </c>
    </row>
    <row r="1345" spans="1:12" x14ac:dyDescent="0.3">
      <c r="A1345" s="9">
        <v>7.5</v>
      </c>
      <c r="B1345" s="9">
        <v>0.51</v>
      </c>
      <c r="C1345" s="9">
        <v>0.02</v>
      </c>
      <c r="D1345" s="9">
        <v>1.7</v>
      </c>
      <c r="E1345" s="9">
        <v>8.4000000000000005E-2</v>
      </c>
      <c r="F1345" s="9">
        <v>13</v>
      </c>
      <c r="G1345" s="9">
        <v>31</v>
      </c>
      <c r="H1345" s="9">
        <v>0.99538000000000004</v>
      </c>
      <c r="I1345" s="9">
        <v>3.36</v>
      </c>
      <c r="J1345" s="9">
        <v>0.54</v>
      </c>
      <c r="K1345" s="9">
        <v>10.5</v>
      </c>
      <c r="L1345" s="9">
        <v>6</v>
      </c>
    </row>
    <row r="1346" spans="1:12" x14ac:dyDescent="0.3">
      <c r="A1346" s="9">
        <v>11.5</v>
      </c>
      <c r="B1346" s="9">
        <v>0.42</v>
      </c>
      <c r="C1346" s="9">
        <v>0.48</v>
      </c>
      <c r="D1346" s="9">
        <v>2.6</v>
      </c>
      <c r="E1346" s="9">
        <v>7.6999999999999999E-2</v>
      </c>
      <c r="F1346" s="9">
        <v>8</v>
      </c>
      <c r="G1346" s="9">
        <v>20</v>
      </c>
      <c r="H1346" s="9">
        <v>0.99851999999999996</v>
      </c>
      <c r="I1346" s="9">
        <v>3.09</v>
      </c>
      <c r="J1346" s="9">
        <v>0.53</v>
      </c>
      <c r="K1346" s="9">
        <v>11</v>
      </c>
      <c r="L1346" s="9">
        <v>5</v>
      </c>
    </row>
    <row r="1347" spans="1:12" x14ac:dyDescent="0.3">
      <c r="A1347" s="9">
        <v>8.1999999999999993</v>
      </c>
      <c r="B1347" s="9">
        <v>0.44</v>
      </c>
      <c r="C1347" s="9">
        <v>0.24</v>
      </c>
      <c r="D1347" s="9">
        <v>2.2999999999999998</v>
      </c>
      <c r="E1347" s="9">
        <v>6.3E-2</v>
      </c>
      <c r="F1347" s="9">
        <v>10</v>
      </c>
      <c r="G1347" s="9">
        <v>28</v>
      </c>
      <c r="H1347" s="9">
        <v>0.99612999999999996</v>
      </c>
      <c r="I1347" s="9">
        <v>3.25</v>
      </c>
      <c r="J1347" s="9">
        <v>0.53</v>
      </c>
      <c r="K1347" s="9">
        <v>10.199999999999999</v>
      </c>
      <c r="L1347" s="9">
        <v>6</v>
      </c>
    </row>
    <row r="1348" spans="1:12" x14ac:dyDescent="0.3">
      <c r="A1348" s="9">
        <v>6.1</v>
      </c>
      <c r="B1348" s="9">
        <v>0.59</v>
      </c>
      <c r="C1348" s="9">
        <v>0.01</v>
      </c>
      <c r="D1348" s="9">
        <v>2.1</v>
      </c>
      <c r="E1348" s="9">
        <v>5.6000000000000001E-2</v>
      </c>
      <c r="F1348" s="9">
        <v>5</v>
      </c>
      <c r="G1348" s="9">
        <v>13</v>
      </c>
      <c r="H1348" s="9">
        <v>0.99472000000000005</v>
      </c>
      <c r="I1348" s="9">
        <v>3.52</v>
      </c>
      <c r="J1348" s="9">
        <v>0.56000000000000005</v>
      </c>
      <c r="K1348" s="9">
        <v>11.4</v>
      </c>
      <c r="L1348" s="9">
        <v>5</v>
      </c>
    </row>
    <row r="1349" spans="1:12" x14ac:dyDescent="0.3">
      <c r="A1349" s="9">
        <v>7.2</v>
      </c>
      <c r="B1349" s="9">
        <v>0.65500000000000003</v>
      </c>
      <c r="C1349" s="9">
        <v>0.03</v>
      </c>
      <c r="D1349" s="9">
        <v>1.8</v>
      </c>
      <c r="E1349" s="9">
        <v>7.8E-2</v>
      </c>
      <c r="F1349" s="9">
        <v>7</v>
      </c>
      <c r="G1349" s="9">
        <v>12</v>
      </c>
      <c r="H1349" s="9">
        <v>0.99587000000000003</v>
      </c>
      <c r="I1349" s="9">
        <v>3.34</v>
      </c>
      <c r="J1349" s="9">
        <v>0.39</v>
      </c>
      <c r="K1349" s="9">
        <v>9.5</v>
      </c>
      <c r="L1349" s="9">
        <v>5</v>
      </c>
    </row>
    <row r="1350" spans="1:12" x14ac:dyDescent="0.3">
      <c r="A1350" s="9">
        <v>7.2</v>
      </c>
      <c r="B1350" s="9">
        <v>0.65500000000000003</v>
      </c>
      <c r="C1350" s="9">
        <v>0.03</v>
      </c>
      <c r="D1350" s="9">
        <v>1.8</v>
      </c>
      <c r="E1350" s="9">
        <v>7.8E-2</v>
      </c>
      <c r="F1350" s="9">
        <v>7</v>
      </c>
      <c r="G1350" s="9">
        <v>12</v>
      </c>
      <c r="H1350" s="9">
        <v>0.99587000000000003</v>
      </c>
      <c r="I1350" s="9">
        <v>3.34</v>
      </c>
      <c r="J1350" s="9">
        <v>0.39</v>
      </c>
      <c r="K1350" s="9">
        <v>9.5</v>
      </c>
      <c r="L1350" s="9">
        <v>5</v>
      </c>
    </row>
    <row r="1351" spans="1:12" x14ac:dyDescent="0.3">
      <c r="A1351" s="9">
        <v>6.9</v>
      </c>
      <c r="B1351" s="9">
        <v>0.56999999999999995</v>
      </c>
      <c r="C1351" s="9">
        <v>0</v>
      </c>
      <c r="D1351" s="9">
        <v>2.8</v>
      </c>
      <c r="E1351" s="9">
        <v>8.1000000000000003E-2</v>
      </c>
      <c r="F1351" s="9">
        <v>21</v>
      </c>
      <c r="G1351" s="9">
        <v>41</v>
      </c>
      <c r="H1351" s="9">
        <v>0.99517999999999995</v>
      </c>
      <c r="I1351" s="9">
        <v>3.41</v>
      </c>
      <c r="J1351" s="9">
        <v>0.52</v>
      </c>
      <c r="K1351" s="9">
        <v>10.8</v>
      </c>
      <c r="L1351" s="9">
        <v>5</v>
      </c>
    </row>
    <row r="1352" spans="1:12" x14ac:dyDescent="0.3">
      <c r="A1352" s="9">
        <v>9</v>
      </c>
      <c r="B1352" s="9">
        <v>0.6</v>
      </c>
      <c r="C1352" s="9">
        <v>0.28999999999999998</v>
      </c>
      <c r="D1352" s="9">
        <v>2</v>
      </c>
      <c r="E1352" s="9">
        <v>6.9000000000000006E-2</v>
      </c>
      <c r="F1352" s="9">
        <v>32</v>
      </c>
      <c r="G1352" s="9">
        <v>73</v>
      </c>
      <c r="H1352" s="9">
        <v>0.99653999999999998</v>
      </c>
      <c r="I1352" s="9">
        <v>3.34</v>
      </c>
      <c r="J1352" s="9">
        <v>0.56999999999999995</v>
      </c>
      <c r="K1352" s="9">
        <v>10</v>
      </c>
      <c r="L1352" s="9">
        <v>5</v>
      </c>
    </row>
    <row r="1353" spans="1:12" x14ac:dyDescent="0.3">
      <c r="A1353" s="9">
        <v>7.2</v>
      </c>
      <c r="B1353" s="9">
        <v>0.62</v>
      </c>
      <c r="C1353" s="9">
        <v>0.01</v>
      </c>
      <c r="D1353" s="9">
        <v>2.2999999999999998</v>
      </c>
      <c r="E1353" s="9">
        <v>6.5000000000000002E-2</v>
      </c>
      <c r="F1353" s="9">
        <v>8</v>
      </c>
      <c r="G1353" s="9">
        <v>46</v>
      </c>
      <c r="H1353" s="9">
        <v>0.99331999999999998</v>
      </c>
      <c r="I1353" s="9">
        <v>3.32</v>
      </c>
      <c r="J1353" s="9">
        <v>0.51</v>
      </c>
      <c r="K1353" s="9">
        <v>11.8</v>
      </c>
      <c r="L1353" s="9">
        <v>6</v>
      </c>
    </row>
    <row r="1354" spans="1:12" x14ac:dyDescent="0.3">
      <c r="A1354" s="9">
        <v>7.6</v>
      </c>
      <c r="B1354" s="9">
        <v>0.64500000000000002</v>
      </c>
      <c r="C1354" s="9">
        <v>0.03</v>
      </c>
      <c r="D1354" s="9">
        <v>1.9</v>
      </c>
      <c r="E1354" s="9">
        <v>8.5999999999999993E-2</v>
      </c>
      <c r="F1354" s="9">
        <v>14</v>
      </c>
      <c r="G1354" s="9">
        <v>57</v>
      </c>
      <c r="H1354" s="9">
        <v>0.99690000000000001</v>
      </c>
      <c r="I1354" s="9">
        <v>3.37</v>
      </c>
      <c r="J1354" s="9">
        <v>0.46</v>
      </c>
      <c r="K1354" s="9">
        <v>10.3</v>
      </c>
      <c r="L1354" s="9">
        <v>5</v>
      </c>
    </row>
    <row r="1355" spans="1:12" x14ac:dyDescent="0.3">
      <c r="A1355" s="9">
        <v>7.6</v>
      </c>
      <c r="B1355" s="9">
        <v>0.64500000000000002</v>
      </c>
      <c r="C1355" s="9">
        <v>0.03</v>
      </c>
      <c r="D1355" s="9">
        <v>1.9</v>
      </c>
      <c r="E1355" s="9">
        <v>8.5999999999999993E-2</v>
      </c>
      <c r="F1355" s="9">
        <v>14</v>
      </c>
      <c r="G1355" s="9">
        <v>57</v>
      </c>
      <c r="H1355" s="9">
        <v>0.99690000000000001</v>
      </c>
      <c r="I1355" s="9">
        <v>3.37</v>
      </c>
      <c r="J1355" s="9">
        <v>0.46</v>
      </c>
      <c r="K1355" s="9">
        <v>10.3</v>
      </c>
      <c r="L1355" s="9">
        <v>5</v>
      </c>
    </row>
    <row r="1356" spans="1:12" x14ac:dyDescent="0.3">
      <c r="A1356" s="9">
        <v>7.2</v>
      </c>
      <c r="B1356" s="9">
        <v>0.57999999999999996</v>
      </c>
      <c r="C1356" s="9">
        <v>0.03</v>
      </c>
      <c r="D1356" s="9">
        <v>2.2999999999999998</v>
      </c>
      <c r="E1356" s="9">
        <v>7.6999999999999999E-2</v>
      </c>
      <c r="F1356" s="9">
        <v>7</v>
      </c>
      <c r="G1356" s="9">
        <v>28</v>
      </c>
      <c r="H1356" s="9">
        <v>0.99568000000000001</v>
      </c>
      <c r="I1356" s="9">
        <v>3.35</v>
      </c>
      <c r="J1356" s="9">
        <v>0.52</v>
      </c>
      <c r="K1356" s="9">
        <v>10</v>
      </c>
      <c r="L1356" s="9">
        <v>5</v>
      </c>
    </row>
    <row r="1357" spans="1:12" x14ac:dyDescent="0.3">
      <c r="A1357" s="9">
        <v>6.1</v>
      </c>
      <c r="B1357" s="9">
        <v>0.32</v>
      </c>
      <c r="C1357" s="9">
        <v>0.25</v>
      </c>
      <c r="D1357" s="9">
        <v>1.8</v>
      </c>
      <c r="E1357" s="9">
        <v>8.5999999999999993E-2</v>
      </c>
      <c r="F1357" s="9">
        <v>5</v>
      </c>
      <c r="G1357" s="9">
        <v>32</v>
      </c>
      <c r="H1357" s="9">
        <v>0.99463999999999997</v>
      </c>
      <c r="I1357" s="9">
        <v>3.36</v>
      </c>
      <c r="J1357" s="9">
        <v>0.44</v>
      </c>
      <c r="K1357" s="9">
        <v>10.1</v>
      </c>
      <c r="L1357" s="9">
        <v>5</v>
      </c>
    </row>
    <row r="1358" spans="1:12" x14ac:dyDescent="0.3">
      <c r="A1358" s="9">
        <v>6.1</v>
      </c>
      <c r="B1358" s="9">
        <v>0.34</v>
      </c>
      <c r="C1358" s="9">
        <v>0.25</v>
      </c>
      <c r="D1358" s="9">
        <v>1.8</v>
      </c>
      <c r="E1358" s="9">
        <v>8.4000000000000005E-2</v>
      </c>
      <c r="F1358" s="9">
        <v>4</v>
      </c>
      <c r="G1358" s="9">
        <v>28</v>
      </c>
      <c r="H1358" s="9">
        <v>0.99463999999999997</v>
      </c>
      <c r="I1358" s="9">
        <v>3.36</v>
      </c>
      <c r="J1358" s="9">
        <v>0.44</v>
      </c>
      <c r="K1358" s="9">
        <v>10.1</v>
      </c>
      <c r="L1358" s="9">
        <v>5</v>
      </c>
    </row>
    <row r="1359" spans="1:12" x14ac:dyDescent="0.3">
      <c r="A1359" s="9">
        <v>7.3</v>
      </c>
      <c r="B1359" s="9">
        <v>0.43</v>
      </c>
      <c r="C1359" s="9">
        <v>0.24</v>
      </c>
      <c r="D1359" s="9">
        <v>2.5</v>
      </c>
      <c r="E1359" s="9">
        <v>7.8E-2</v>
      </c>
      <c r="F1359" s="9">
        <v>27</v>
      </c>
      <c r="G1359" s="9">
        <v>67</v>
      </c>
      <c r="H1359" s="9">
        <v>0.99648000000000003</v>
      </c>
      <c r="I1359" s="9">
        <v>3.6</v>
      </c>
      <c r="J1359" s="9">
        <v>0.59</v>
      </c>
      <c r="K1359" s="9">
        <v>11.1</v>
      </c>
      <c r="L1359" s="9">
        <v>6</v>
      </c>
    </row>
    <row r="1360" spans="1:12" x14ac:dyDescent="0.3">
      <c r="A1360" s="9">
        <v>7.4</v>
      </c>
      <c r="B1360" s="9">
        <v>0.64</v>
      </c>
      <c r="C1360" s="9">
        <v>0.17</v>
      </c>
      <c r="D1360" s="9">
        <v>5.4</v>
      </c>
      <c r="E1360" s="9">
        <v>0.16800000000000001</v>
      </c>
      <c r="F1360" s="9">
        <v>52</v>
      </c>
      <c r="G1360" s="9">
        <v>98</v>
      </c>
      <c r="H1360" s="9">
        <v>0.99736000000000002</v>
      </c>
      <c r="I1360" s="9">
        <v>3.28</v>
      </c>
      <c r="J1360" s="9">
        <v>0.5</v>
      </c>
      <c r="K1360" s="9">
        <v>9.5</v>
      </c>
      <c r="L1360" s="9">
        <v>5</v>
      </c>
    </row>
    <row r="1361" spans="1:12" x14ac:dyDescent="0.3">
      <c r="A1361" s="9">
        <v>11.6</v>
      </c>
      <c r="B1361" s="9">
        <v>0.47499999999999998</v>
      </c>
      <c r="C1361" s="9">
        <v>0.4</v>
      </c>
      <c r="D1361" s="9">
        <v>1.4</v>
      </c>
      <c r="E1361" s="9">
        <v>9.0999999999999998E-2</v>
      </c>
      <c r="F1361" s="9">
        <v>6</v>
      </c>
      <c r="G1361" s="9">
        <v>28</v>
      </c>
      <c r="H1361" s="9">
        <v>0.99704000000000004</v>
      </c>
      <c r="I1361" s="9">
        <v>3.07</v>
      </c>
      <c r="J1361" s="9">
        <v>0.65</v>
      </c>
      <c r="K1361" s="9">
        <v>10.033333333333299</v>
      </c>
      <c r="L1361" s="9">
        <v>6</v>
      </c>
    </row>
    <row r="1362" spans="1:12" x14ac:dyDescent="0.3">
      <c r="A1362" s="9">
        <v>9.1999999999999993</v>
      </c>
      <c r="B1362" s="9">
        <v>0.54</v>
      </c>
      <c r="C1362" s="9">
        <v>0.31</v>
      </c>
      <c r="D1362" s="9">
        <v>2.2999999999999998</v>
      </c>
      <c r="E1362" s="9">
        <v>0.112</v>
      </c>
      <c r="F1362" s="9">
        <v>11</v>
      </c>
      <c r="G1362" s="9">
        <v>38</v>
      </c>
      <c r="H1362" s="9">
        <v>0.99699000000000004</v>
      </c>
      <c r="I1362" s="9">
        <v>3.24</v>
      </c>
      <c r="J1362" s="9">
        <v>0.56000000000000005</v>
      </c>
      <c r="K1362" s="9">
        <v>10.9</v>
      </c>
      <c r="L1362" s="9">
        <v>5</v>
      </c>
    </row>
    <row r="1363" spans="1:12" x14ac:dyDescent="0.3">
      <c r="A1363" s="9">
        <v>8.3000000000000007</v>
      </c>
      <c r="B1363" s="9">
        <v>0.85</v>
      </c>
      <c r="C1363" s="9">
        <v>0.14000000000000001</v>
      </c>
      <c r="D1363" s="9">
        <v>2.5</v>
      </c>
      <c r="E1363" s="9">
        <v>9.2999999999999999E-2</v>
      </c>
      <c r="F1363" s="9">
        <v>13</v>
      </c>
      <c r="G1363" s="9">
        <v>54</v>
      </c>
      <c r="H1363" s="9">
        <v>0.99724000000000002</v>
      </c>
      <c r="I1363" s="9">
        <v>3.36</v>
      </c>
      <c r="J1363" s="9">
        <v>0.54</v>
      </c>
      <c r="K1363" s="9">
        <v>10.1</v>
      </c>
      <c r="L1363" s="9">
        <v>5</v>
      </c>
    </row>
    <row r="1364" spans="1:12" x14ac:dyDescent="0.3">
      <c r="A1364" s="9">
        <v>11.6</v>
      </c>
      <c r="B1364" s="9">
        <v>0.47499999999999998</v>
      </c>
      <c r="C1364" s="9">
        <v>0.4</v>
      </c>
      <c r="D1364" s="9">
        <v>1.4</v>
      </c>
      <c r="E1364" s="9">
        <v>9.0999999999999998E-2</v>
      </c>
      <c r="F1364" s="9">
        <v>6</v>
      </c>
      <c r="G1364" s="9">
        <v>28</v>
      </c>
      <c r="H1364" s="9">
        <v>0.99704000000000004</v>
      </c>
      <c r="I1364" s="9">
        <v>3.07</v>
      </c>
      <c r="J1364" s="9">
        <v>0.65</v>
      </c>
      <c r="K1364" s="9">
        <v>10.033333333333299</v>
      </c>
      <c r="L1364" s="9">
        <v>6</v>
      </c>
    </row>
    <row r="1365" spans="1:12" x14ac:dyDescent="0.3">
      <c r="A1365" s="9">
        <v>8</v>
      </c>
      <c r="B1365" s="9">
        <v>0.83</v>
      </c>
      <c r="C1365" s="9">
        <v>0.27</v>
      </c>
      <c r="D1365" s="9">
        <v>2</v>
      </c>
      <c r="E1365" s="9">
        <v>0.08</v>
      </c>
      <c r="F1365" s="9">
        <v>11</v>
      </c>
      <c r="G1365" s="9">
        <v>63</v>
      </c>
      <c r="H1365" s="9">
        <v>0.99651999999999996</v>
      </c>
      <c r="I1365" s="9">
        <v>3.29</v>
      </c>
      <c r="J1365" s="9">
        <v>0.48</v>
      </c>
      <c r="K1365" s="9">
        <v>9.8000000000000007</v>
      </c>
      <c r="L1365" s="9">
        <v>4</v>
      </c>
    </row>
    <row r="1366" spans="1:12" x14ac:dyDescent="0.3">
      <c r="A1366" s="9">
        <v>7.2</v>
      </c>
      <c r="B1366" s="9">
        <v>0.60499999999999998</v>
      </c>
      <c r="C1366" s="9">
        <v>0.02</v>
      </c>
      <c r="D1366" s="9">
        <v>1.9</v>
      </c>
      <c r="E1366" s="9">
        <v>9.6000000000000002E-2</v>
      </c>
      <c r="F1366" s="9">
        <v>10</v>
      </c>
      <c r="G1366" s="9">
        <v>31</v>
      </c>
      <c r="H1366" s="9">
        <v>0.995</v>
      </c>
      <c r="I1366" s="9">
        <v>3.46</v>
      </c>
      <c r="J1366" s="9">
        <v>0.53</v>
      </c>
      <c r="K1366" s="9">
        <v>11.8</v>
      </c>
      <c r="L1366" s="9">
        <v>6</v>
      </c>
    </row>
    <row r="1367" spans="1:12" x14ac:dyDescent="0.3">
      <c r="A1367" s="9">
        <v>7.8</v>
      </c>
      <c r="B1367" s="9">
        <v>0.5</v>
      </c>
      <c r="C1367" s="9">
        <v>0.09</v>
      </c>
      <c r="D1367" s="9">
        <v>2.2000000000000002</v>
      </c>
      <c r="E1367" s="9">
        <v>0.115</v>
      </c>
      <c r="F1367" s="9">
        <v>10</v>
      </c>
      <c r="G1367" s="9">
        <v>42</v>
      </c>
      <c r="H1367" s="9">
        <v>0.99709999999999999</v>
      </c>
      <c r="I1367" s="9">
        <v>3.18</v>
      </c>
      <c r="J1367" s="9">
        <v>0.62</v>
      </c>
      <c r="K1367" s="9">
        <v>9.5</v>
      </c>
      <c r="L1367" s="9">
        <v>5</v>
      </c>
    </row>
    <row r="1368" spans="1:12" x14ac:dyDescent="0.3">
      <c r="A1368" s="9">
        <v>7.3</v>
      </c>
      <c r="B1368" s="9">
        <v>0.74</v>
      </c>
      <c r="C1368" s="9">
        <v>0.08</v>
      </c>
      <c r="D1368" s="9">
        <v>1.7</v>
      </c>
      <c r="E1368" s="9">
        <v>9.4E-2</v>
      </c>
      <c r="F1368" s="9">
        <v>10</v>
      </c>
      <c r="G1368" s="9">
        <v>45</v>
      </c>
      <c r="H1368" s="9">
        <v>0.99575999999999998</v>
      </c>
      <c r="I1368" s="9">
        <v>3.24</v>
      </c>
      <c r="J1368" s="9">
        <v>0.5</v>
      </c>
      <c r="K1368" s="9">
        <v>9.8000000000000007</v>
      </c>
      <c r="L1368" s="9">
        <v>5</v>
      </c>
    </row>
    <row r="1369" spans="1:12" x14ac:dyDescent="0.3">
      <c r="A1369" s="9">
        <v>6.9</v>
      </c>
      <c r="B1369" s="9">
        <v>0.54</v>
      </c>
      <c r="C1369" s="9">
        <v>0.3</v>
      </c>
      <c r="D1369" s="9">
        <v>2.2000000000000002</v>
      </c>
      <c r="E1369" s="9">
        <v>8.7999999999999995E-2</v>
      </c>
      <c r="F1369" s="9">
        <v>9</v>
      </c>
      <c r="G1369" s="9">
        <v>105</v>
      </c>
      <c r="H1369" s="9">
        <v>0.99724999999999997</v>
      </c>
      <c r="I1369" s="9">
        <v>3.25</v>
      </c>
      <c r="J1369" s="9">
        <v>1.18</v>
      </c>
      <c r="K1369" s="9">
        <v>10.5</v>
      </c>
      <c r="L1369" s="9">
        <v>6</v>
      </c>
    </row>
    <row r="1370" spans="1:12" x14ac:dyDescent="0.3">
      <c r="A1370" s="9">
        <v>8</v>
      </c>
      <c r="B1370" s="9">
        <v>0.77</v>
      </c>
      <c r="C1370" s="9">
        <v>0.32</v>
      </c>
      <c r="D1370" s="9">
        <v>2.1</v>
      </c>
      <c r="E1370" s="9">
        <v>7.9000000000000001E-2</v>
      </c>
      <c r="F1370" s="9">
        <v>16</v>
      </c>
      <c r="G1370" s="9">
        <v>74</v>
      </c>
      <c r="H1370" s="9">
        <v>0.99656</v>
      </c>
      <c r="I1370" s="9">
        <v>3.27</v>
      </c>
      <c r="J1370" s="9">
        <v>0.5</v>
      </c>
      <c r="K1370" s="9">
        <v>9.8000000000000007</v>
      </c>
      <c r="L1370" s="9">
        <v>6</v>
      </c>
    </row>
    <row r="1371" spans="1:12" x14ac:dyDescent="0.3">
      <c r="A1371" s="9">
        <v>6.6</v>
      </c>
      <c r="B1371" s="9">
        <v>0.61</v>
      </c>
      <c r="C1371" s="9">
        <v>0</v>
      </c>
      <c r="D1371" s="9">
        <v>1.6</v>
      </c>
      <c r="E1371" s="9">
        <v>6.9000000000000006E-2</v>
      </c>
      <c r="F1371" s="9">
        <v>4</v>
      </c>
      <c r="G1371" s="9">
        <v>8</v>
      </c>
      <c r="H1371" s="9">
        <v>0.99395999999999995</v>
      </c>
      <c r="I1371" s="9">
        <v>3.33</v>
      </c>
      <c r="J1371" s="9">
        <v>0.37</v>
      </c>
      <c r="K1371" s="9">
        <v>10.4</v>
      </c>
      <c r="L1371" s="9">
        <v>4</v>
      </c>
    </row>
    <row r="1372" spans="1:12" x14ac:dyDescent="0.3">
      <c r="A1372" s="9">
        <v>8.6999999999999993</v>
      </c>
      <c r="B1372" s="9">
        <v>0.78</v>
      </c>
      <c r="C1372" s="9">
        <v>0.51</v>
      </c>
      <c r="D1372" s="9">
        <v>1.7</v>
      </c>
      <c r="E1372" s="9">
        <v>0.41499999999999998</v>
      </c>
      <c r="F1372" s="9">
        <v>12</v>
      </c>
      <c r="G1372" s="9">
        <v>66</v>
      </c>
      <c r="H1372" s="9">
        <v>0.99622999999999995</v>
      </c>
      <c r="I1372" s="9">
        <v>3</v>
      </c>
      <c r="J1372" s="9">
        <v>1.17</v>
      </c>
      <c r="K1372" s="9">
        <v>9.1999999999999993</v>
      </c>
      <c r="L1372" s="9">
        <v>5</v>
      </c>
    </row>
    <row r="1373" spans="1:12" x14ac:dyDescent="0.3">
      <c r="A1373" s="9">
        <v>7.5</v>
      </c>
      <c r="B1373" s="9">
        <v>0.57999999999999996</v>
      </c>
      <c r="C1373" s="9">
        <v>0.56000000000000005</v>
      </c>
      <c r="D1373" s="9">
        <v>3.1</v>
      </c>
      <c r="E1373" s="9">
        <v>0.153</v>
      </c>
      <c r="F1373" s="9">
        <v>5</v>
      </c>
      <c r="G1373" s="9">
        <v>14</v>
      </c>
      <c r="H1373" s="9">
        <v>0.99475999999999998</v>
      </c>
      <c r="I1373" s="9">
        <v>3.21</v>
      </c>
      <c r="J1373" s="9">
        <v>1.03</v>
      </c>
      <c r="K1373" s="9">
        <v>11.6</v>
      </c>
      <c r="L1373" s="9">
        <v>6</v>
      </c>
    </row>
    <row r="1374" spans="1:12" x14ac:dyDescent="0.3">
      <c r="A1374" s="9">
        <v>8.6999999999999993</v>
      </c>
      <c r="B1374" s="9">
        <v>0.78</v>
      </c>
      <c r="C1374" s="9">
        <v>0.51</v>
      </c>
      <c r="D1374" s="9">
        <v>1.7</v>
      </c>
      <c r="E1374" s="9">
        <v>0.41499999999999998</v>
      </c>
      <c r="F1374" s="9">
        <v>12</v>
      </c>
      <c r="G1374" s="9">
        <v>66</v>
      </c>
      <c r="H1374" s="9">
        <v>0.99622999999999995</v>
      </c>
      <c r="I1374" s="9">
        <v>3</v>
      </c>
      <c r="J1374" s="9">
        <v>1.17</v>
      </c>
      <c r="K1374" s="9">
        <v>9.1999999999999993</v>
      </c>
      <c r="L1374" s="9">
        <v>5</v>
      </c>
    </row>
    <row r="1375" spans="1:12" x14ac:dyDescent="0.3">
      <c r="A1375" s="9">
        <v>7.7</v>
      </c>
      <c r="B1375" s="9">
        <v>0.75</v>
      </c>
      <c r="C1375" s="9">
        <v>0.27</v>
      </c>
      <c r="D1375" s="9">
        <v>3.8</v>
      </c>
      <c r="E1375" s="9">
        <v>0.11</v>
      </c>
      <c r="F1375" s="9">
        <v>34</v>
      </c>
      <c r="G1375" s="9">
        <v>89</v>
      </c>
      <c r="H1375" s="9">
        <v>0.99663999999999997</v>
      </c>
      <c r="I1375" s="9">
        <v>3.24</v>
      </c>
      <c r="J1375" s="9">
        <v>0.45</v>
      </c>
      <c r="K1375" s="9">
        <v>9.3000000000000007</v>
      </c>
      <c r="L1375" s="9">
        <v>5</v>
      </c>
    </row>
    <row r="1376" spans="1:12" x14ac:dyDescent="0.3">
      <c r="A1376" s="9">
        <v>6.8</v>
      </c>
      <c r="B1376" s="9">
        <v>0.81499999999999995</v>
      </c>
      <c r="C1376" s="9">
        <v>0</v>
      </c>
      <c r="D1376" s="9">
        <v>1.2</v>
      </c>
      <c r="E1376" s="9">
        <v>0.26700000000000002</v>
      </c>
      <c r="F1376" s="9">
        <v>16</v>
      </c>
      <c r="G1376" s="9">
        <v>29</v>
      </c>
      <c r="H1376" s="9">
        <v>0.99470999999999998</v>
      </c>
      <c r="I1376" s="9">
        <v>3.32</v>
      </c>
      <c r="J1376" s="9">
        <v>0.51</v>
      </c>
      <c r="K1376" s="9">
        <v>9.8000000000000007</v>
      </c>
      <c r="L1376" s="9">
        <v>3</v>
      </c>
    </row>
    <row r="1377" spans="1:12" x14ac:dyDescent="0.3">
      <c r="A1377" s="9">
        <v>7.2</v>
      </c>
      <c r="B1377" s="9">
        <v>0.56000000000000005</v>
      </c>
      <c r="C1377" s="9">
        <v>0.26</v>
      </c>
      <c r="D1377" s="9">
        <v>2</v>
      </c>
      <c r="E1377" s="9">
        <v>8.3000000000000004E-2</v>
      </c>
      <c r="F1377" s="9">
        <v>13</v>
      </c>
      <c r="G1377" s="9">
        <v>100</v>
      </c>
      <c r="H1377" s="9">
        <v>0.99585999999999997</v>
      </c>
      <c r="I1377" s="9">
        <v>3.26</v>
      </c>
      <c r="J1377" s="9">
        <v>0.52</v>
      </c>
      <c r="K1377" s="9">
        <v>9.9</v>
      </c>
      <c r="L1377" s="9">
        <v>5</v>
      </c>
    </row>
    <row r="1378" spans="1:12" x14ac:dyDescent="0.3">
      <c r="A1378" s="9">
        <v>8.1999999999999993</v>
      </c>
      <c r="B1378" s="9">
        <v>0.88500000000000001</v>
      </c>
      <c r="C1378" s="9">
        <v>0.2</v>
      </c>
      <c r="D1378" s="9">
        <v>1.4</v>
      </c>
      <c r="E1378" s="9">
        <v>8.5999999999999993E-2</v>
      </c>
      <c r="F1378" s="9">
        <v>7</v>
      </c>
      <c r="G1378" s="9">
        <v>31</v>
      </c>
      <c r="H1378" s="9">
        <v>0.99460000000000004</v>
      </c>
      <c r="I1378" s="9">
        <v>3.11</v>
      </c>
      <c r="J1378" s="9">
        <v>0.46</v>
      </c>
      <c r="K1378" s="9">
        <v>10</v>
      </c>
      <c r="L1378" s="9">
        <v>5</v>
      </c>
    </row>
    <row r="1379" spans="1:12" x14ac:dyDescent="0.3">
      <c r="A1379" s="9">
        <v>5.2</v>
      </c>
      <c r="B1379" s="9">
        <v>0.49</v>
      </c>
      <c r="C1379" s="9">
        <v>0.26</v>
      </c>
      <c r="D1379" s="9">
        <v>2.2999999999999998</v>
      </c>
      <c r="E1379" s="9">
        <v>0.09</v>
      </c>
      <c r="F1379" s="9">
        <v>23</v>
      </c>
      <c r="G1379" s="9">
        <v>74</v>
      </c>
      <c r="H1379" s="9">
        <v>0.99529999999999996</v>
      </c>
      <c r="I1379" s="9">
        <v>3.71</v>
      </c>
      <c r="J1379" s="9">
        <v>0.62</v>
      </c>
      <c r="K1379" s="9">
        <v>12.2</v>
      </c>
      <c r="L1379" s="9">
        <v>6</v>
      </c>
    </row>
    <row r="1380" spans="1:12" x14ac:dyDescent="0.3">
      <c r="A1380" s="9">
        <v>7.2</v>
      </c>
      <c r="B1380" s="9">
        <v>0.45</v>
      </c>
      <c r="C1380" s="9">
        <v>0.15</v>
      </c>
      <c r="D1380" s="9">
        <v>2</v>
      </c>
      <c r="E1380" s="9">
        <v>7.8E-2</v>
      </c>
      <c r="F1380" s="9">
        <v>10</v>
      </c>
      <c r="G1380" s="9">
        <v>28</v>
      </c>
      <c r="H1380" s="9">
        <v>0.99609000000000003</v>
      </c>
      <c r="I1380" s="9">
        <v>3.29</v>
      </c>
      <c r="J1380" s="9">
        <v>0.51</v>
      </c>
      <c r="K1380" s="9">
        <v>9.9</v>
      </c>
      <c r="L1380" s="9">
        <v>6</v>
      </c>
    </row>
    <row r="1381" spans="1:12" x14ac:dyDescent="0.3">
      <c r="A1381" s="9">
        <v>7.5</v>
      </c>
      <c r="B1381" s="9">
        <v>0.56999999999999995</v>
      </c>
      <c r="C1381" s="9">
        <v>0.02</v>
      </c>
      <c r="D1381" s="9">
        <v>2.6</v>
      </c>
      <c r="E1381" s="9">
        <v>7.6999999999999999E-2</v>
      </c>
      <c r="F1381" s="9">
        <v>11</v>
      </c>
      <c r="G1381" s="9">
        <v>35</v>
      </c>
      <c r="H1381" s="9">
        <v>0.99556999999999995</v>
      </c>
      <c r="I1381" s="9">
        <v>3.36</v>
      </c>
      <c r="J1381" s="9">
        <v>0.62</v>
      </c>
      <c r="K1381" s="9">
        <v>10.8</v>
      </c>
      <c r="L1381" s="9">
        <v>6</v>
      </c>
    </row>
    <row r="1382" spans="1:12" x14ac:dyDescent="0.3">
      <c r="A1382" s="9">
        <v>7.5</v>
      </c>
      <c r="B1382" s="9">
        <v>0.56999999999999995</v>
      </c>
      <c r="C1382" s="9">
        <v>0.02</v>
      </c>
      <c r="D1382" s="9">
        <v>2.6</v>
      </c>
      <c r="E1382" s="9">
        <v>7.6999999999999999E-2</v>
      </c>
      <c r="F1382" s="9">
        <v>11</v>
      </c>
      <c r="G1382" s="9">
        <v>35</v>
      </c>
      <c r="H1382" s="9">
        <v>0.99556999999999995</v>
      </c>
      <c r="I1382" s="9">
        <v>3.36</v>
      </c>
      <c r="J1382" s="9">
        <v>0.62</v>
      </c>
      <c r="K1382" s="9">
        <v>10.8</v>
      </c>
      <c r="L1382" s="9">
        <v>6</v>
      </c>
    </row>
    <row r="1383" spans="1:12" x14ac:dyDescent="0.3">
      <c r="A1383" s="9">
        <v>6.8</v>
      </c>
      <c r="B1383" s="9">
        <v>0.83</v>
      </c>
      <c r="C1383" s="9">
        <v>0.09</v>
      </c>
      <c r="D1383" s="9">
        <v>1.8</v>
      </c>
      <c r="E1383" s="9">
        <v>7.3999999999999996E-2</v>
      </c>
      <c r="F1383" s="9">
        <v>4</v>
      </c>
      <c r="G1383" s="9">
        <v>25</v>
      </c>
      <c r="H1383" s="9">
        <v>0.99534</v>
      </c>
      <c r="I1383" s="9">
        <v>3.38</v>
      </c>
      <c r="J1383" s="9">
        <v>0.45</v>
      </c>
      <c r="K1383" s="9">
        <v>9.6</v>
      </c>
      <c r="L1383" s="9">
        <v>5</v>
      </c>
    </row>
    <row r="1384" spans="1:12" x14ac:dyDescent="0.3">
      <c r="A1384" s="9">
        <v>8</v>
      </c>
      <c r="B1384" s="9">
        <v>0.6</v>
      </c>
      <c r="C1384" s="9">
        <v>0.22</v>
      </c>
      <c r="D1384" s="9">
        <v>2.1</v>
      </c>
      <c r="E1384" s="9">
        <v>0.08</v>
      </c>
      <c r="F1384" s="9">
        <v>25</v>
      </c>
      <c r="G1384" s="9">
        <v>105</v>
      </c>
      <c r="H1384" s="9">
        <v>0.99612999999999996</v>
      </c>
      <c r="I1384" s="9">
        <v>3.3</v>
      </c>
      <c r="J1384" s="9">
        <v>0.49</v>
      </c>
      <c r="K1384" s="9">
        <v>9.9</v>
      </c>
      <c r="L1384" s="9">
        <v>5</v>
      </c>
    </row>
    <row r="1385" spans="1:12" x14ac:dyDescent="0.3">
      <c r="A1385" s="9">
        <v>8</v>
      </c>
      <c r="B1385" s="9">
        <v>0.6</v>
      </c>
      <c r="C1385" s="9">
        <v>0.22</v>
      </c>
      <c r="D1385" s="9">
        <v>2.1</v>
      </c>
      <c r="E1385" s="9">
        <v>0.08</v>
      </c>
      <c r="F1385" s="9">
        <v>25</v>
      </c>
      <c r="G1385" s="9">
        <v>105</v>
      </c>
      <c r="H1385" s="9">
        <v>0.99612999999999996</v>
      </c>
      <c r="I1385" s="9">
        <v>3.3</v>
      </c>
      <c r="J1385" s="9">
        <v>0.49</v>
      </c>
      <c r="K1385" s="9">
        <v>9.9</v>
      </c>
      <c r="L1385" s="9">
        <v>5</v>
      </c>
    </row>
    <row r="1386" spans="1:12" x14ac:dyDescent="0.3">
      <c r="A1386" s="9">
        <v>7.1</v>
      </c>
      <c r="B1386" s="9">
        <v>0.755</v>
      </c>
      <c r="C1386" s="9">
        <v>0.15</v>
      </c>
      <c r="D1386" s="9">
        <v>1.8</v>
      </c>
      <c r="E1386" s="9">
        <v>0.107</v>
      </c>
      <c r="F1386" s="9">
        <v>20</v>
      </c>
      <c r="G1386" s="9">
        <v>84</v>
      </c>
      <c r="H1386" s="9">
        <v>0.99592999999999998</v>
      </c>
      <c r="I1386" s="9">
        <v>3.19</v>
      </c>
      <c r="J1386" s="9">
        <v>0.5</v>
      </c>
      <c r="K1386" s="9">
        <v>9.5</v>
      </c>
      <c r="L1386" s="9">
        <v>5</v>
      </c>
    </row>
    <row r="1387" spans="1:12" x14ac:dyDescent="0.3">
      <c r="A1387" s="9">
        <v>8</v>
      </c>
      <c r="B1387" s="9">
        <v>0.81</v>
      </c>
      <c r="C1387" s="9">
        <v>0.25</v>
      </c>
      <c r="D1387" s="9">
        <v>3.4</v>
      </c>
      <c r="E1387" s="9">
        <v>7.5999999999999998E-2</v>
      </c>
      <c r="F1387" s="9">
        <v>34</v>
      </c>
      <c r="G1387" s="9">
        <v>85</v>
      </c>
      <c r="H1387" s="9">
        <v>0.99668000000000001</v>
      </c>
      <c r="I1387" s="9">
        <v>3.19</v>
      </c>
      <c r="J1387" s="9">
        <v>0.42</v>
      </c>
      <c r="K1387" s="9">
        <v>9.1999999999999993</v>
      </c>
      <c r="L1387" s="9">
        <v>5</v>
      </c>
    </row>
    <row r="1388" spans="1:12" x14ac:dyDescent="0.3">
      <c r="A1388" s="9">
        <v>7.4</v>
      </c>
      <c r="B1388" s="9">
        <v>0.64</v>
      </c>
      <c r="C1388" s="9">
        <v>7.0000000000000007E-2</v>
      </c>
      <c r="D1388" s="9">
        <v>1.8</v>
      </c>
      <c r="E1388" s="9">
        <v>0.1</v>
      </c>
      <c r="F1388" s="9">
        <v>8</v>
      </c>
      <c r="G1388" s="9">
        <v>23</v>
      </c>
      <c r="H1388" s="9">
        <v>0.99609999999999999</v>
      </c>
      <c r="I1388" s="9">
        <v>3.3</v>
      </c>
      <c r="J1388" s="9">
        <v>0.57999999999999996</v>
      </c>
      <c r="K1388" s="9">
        <v>9.6</v>
      </c>
      <c r="L1388" s="9">
        <v>5</v>
      </c>
    </row>
    <row r="1389" spans="1:12" x14ac:dyDescent="0.3">
      <c r="A1389" s="9">
        <v>7.4</v>
      </c>
      <c r="B1389" s="9">
        <v>0.64</v>
      </c>
      <c r="C1389" s="9">
        <v>7.0000000000000007E-2</v>
      </c>
      <c r="D1389" s="9">
        <v>1.8</v>
      </c>
      <c r="E1389" s="9">
        <v>0.1</v>
      </c>
      <c r="F1389" s="9">
        <v>8</v>
      </c>
      <c r="G1389" s="9">
        <v>23</v>
      </c>
      <c r="H1389" s="9">
        <v>0.99609999999999999</v>
      </c>
      <c r="I1389" s="9">
        <v>3.3</v>
      </c>
      <c r="J1389" s="9">
        <v>0.57999999999999996</v>
      </c>
      <c r="K1389" s="9">
        <v>9.6</v>
      </c>
      <c r="L1389" s="9">
        <v>5</v>
      </c>
    </row>
    <row r="1390" spans="1:12" x14ac:dyDescent="0.3">
      <c r="A1390" s="9">
        <v>6.6</v>
      </c>
      <c r="B1390" s="9">
        <v>0.64</v>
      </c>
      <c r="C1390" s="9">
        <v>0.31</v>
      </c>
      <c r="D1390" s="9">
        <v>6.1</v>
      </c>
      <c r="E1390" s="9">
        <v>8.3000000000000004E-2</v>
      </c>
      <c r="F1390" s="9">
        <v>7</v>
      </c>
      <c r="G1390" s="9">
        <v>49</v>
      </c>
      <c r="H1390" s="9">
        <v>0.99717999999999996</v>
      </c>
      <c r="I1390" s="9">
        <v>3.35</v>
      </c>
      <c r="J1390" s="9">
        <v>0.68</v>
      </c>
      <c r="K1390" s="9">
        <v>10.3</v>
      </c>
      <c r="L1390" s="9">
        <v>5</v>
      </c>
    </row>
    <row r="1391" spans="1:12" x14ac:dyDescent="0.3">
      <c r="A1391" s="9">
        <v>6.7</v>
      </c>
      <c r="B1391" s="9">
        <v>0.48</v>
      </c>
      <c r="C1391" s="9">
        <v>0.02</v>
      </c>
      <c r="D1391" s="9">
        <v>2.2000000000000002</v>
      </c>
      <c r="E1391" s="9">
        <v>0.08</v>
      </c>
      <c r="F1391" s="9">
        <v>36</v>
      </c>
      <c r="G1391" s="9">
        <v>111</v>
      </c>
      <c r="H1391" s="9">
        <v>0.99524000000000001</v>
      </c>
      <c r="I1391" s="9">
        <v>3.1</v>
      </c>
      <c r="J1391" s="9">
        <v>0.53</v>
      </c>
      <c r="K1391" s="9">
        <v>9.6999999999999993</v>
      </c>
      <c r="L1391" s="9">
        <v>5</v>
      </c>
    </row>
    <row r="1392" spans="1:12" x14ac:dyDescent="0.3">
      <c r="A1392" s="9">
        <v>6</v>
      </c>
      <c r="B1392" s="9">
        <v>0.49</v>
      </c>
      <c r="C1392" s="9">
        <v>0</v>
      </c>
      <c r="D1392" s="9">
        <v>2.2999999999999998</v>
      </c>
      <c r="E1392" s="9">
        <v>6.8000000000000005E-2</v>
      </c>
      <c r="F1392" s="9">
        <v>15</v>
      </c>
      <c r="G1392" s="9">
        <v>33</v>
      </c>
      <c r="H1392" s="9">
        <v>0.99292000000000002</v>
      </c>
      <c r="I1392" s="9">
        <v>3.58</v>
      </c>
      <c r="J1392" s="9">
        <v>0.59</v>
      </c>
      <c r="K1392" s="9">
        <v>12.5</v>
      </c>
      <c r="L1392" s="9">
        <v>6</v>
      </c>
    </row>
    <row r="1393" spans="1:12" x14ac:dyDescent="0.3">
      <c r="A1393" s="9">
        <v>8</v>
      </c>
      <c r="B1393" s="9">
        <v>0.64</v>
      </c>
      <c r="C1393" s="9">
        <v>0.22</v>
      </c>
      <c r="D1393" s="9">
        <v>2.4</v>
      </c>
      <c r="E1393" s="9">
        <v>9.4E-2</v>
      </c>
      <c r="F1393" s="9">
        <v>5</v>
      </c>
      <c r="G1393" s="9">
        <v>33</v>
      </c>
      <c r="H1393" s="9">
        <v>0.99612000000000001</v>
      </c>
      <c r="I1393" s="9">
        <v>3.37</v>
      </c>
      <c r="J1393" s="9">
        <v>0.57999999999999996</v>
      </c>
      <c r="K1393" s="9">
        <v>11</v>
      </c>
      <c r="L1393" s="9">
        <v>5</v>
      </c>
    </row>
    <row r="1394" spans="1:12" x14ac:dyDescent="0.3">
      <c r="A1394" s="9">
        <v>7.1</v>
      </c>
      <c r="B1394" s="9">
        <v>0.62</v>
      </c>
      <c r="C1394" s="9">
        <v>0.06</v>
      </c>
      <c r="D1394" s="9">
        <v>1.3</v>
      </c>
      <c r="E1394" s="9">
        <v>7.0000000000000007E-2</v>
      </c>
      <c r="F1394" s="9">
        <v>5</v>
      </c>
      <c r="G1394" s="9">
        <v>12</v>
      </c>
      <c r="H1394" s="9">
        <v>0.99419999999999997</v>
      </c>
      <c r="I1394" s="9">
        <v>3.17</v>
      </c>
      <c r="J1394" s="9">
        <v>0.48</v>
      </c>
      <c r="K1394" s="9">
        <v>9.8000000000000007</v>
      </c>
      <c r="L1394" s="9">
        <v>5</v>
      </c>
    </row>
    <row r="1395" spans="1:12" x14ac:dyDescent="0.3">
      <c r="A1395" s="9">
        <v>8</v>
      </c>
      <c r="B1395" s="9">
        <v>0.52</v>
      </c>
      <c r="C1395" s="9">
        <v>0.25</v>
      </c>
      <c r="D1395" s="9">
        <v>2</v>
      </c>
      <c r="E1395" s="9">
        <v>7.8E-2</v>
      </c>
      <c r="F1395" s="9">
        <v>19</v>
      </c>
      <c r="G1395" s="9">
        <v>59</v>
      </c>
      <c r="H1395" s="9">
        <v>0.99612000000000001</v>
      </c>
      <c r="I1395" s="9">
        <v>3.3</v>
      </c>
      <c r="J1395" s="9">
        <v>0.48</v>
      </c>
      <c r="K1395" s="9">
        <v>10.199999999999999</v>
      </c>
      <c r="L1395" s="9">
        <v>5</v>
      </c>
    </row>
    <row r="1396" spans="1:12" x14ac:dyDescent="0.3">
      <c r="A1396" s="9">
        <v>6.4</v>
      </c>
      <c r="B1396" s="9">
        <v>0.56999999999999995</v>
      </c>
      <c r="C1396" s="9">
        <v>0.14000000000000001</v>
      </c>
      <c r="D1396" s="9">
        <v>3.9</v>
      </c>
      <c r="E1396" s="9">
        <v>7.0000000000000007E-2</v>
      </c>
      <c r="F1396" s="9">
        <v>27</v>
      </c>
      <c r="G1396" s="9">
        <v>73</v>
      </c>
      <c r="H1396" s="9">
        <v>0.99668999999999996</v>
      </c>
      <c r="I1396" s="9">
        <v>3.32</v>
      </c>
      <c r="J1396" s="9">
        <v>0.48</v>
      </c>
      <c r="K1396" s="9">
        <v>9.1999999999999993</v>
      </c>
      <c r="L1396" s="9">
        <v>5</v>
      </c>
    </row>
    <row r="1397" spans="1:12" x14ac:dyDescent="0.3">
      <c r="A1397" s="9">
        <v>8.6</v>
      </c>
      <c r="B1397" s="9">
        <v>0.68500000000000005</v>
      </c>
      <c r="C1397" s="9">
        <v>0.1</v>
      </c>
      <c r="D1397" s="9">
        <v>1.6</v>
      </c>
      <c r="E1397" s="9">
        <v>9.1999999999999998E-2</v>
      </c>
      <c r="F1397" s="9">
        <v>3</v>
      </c>
      <c r="G1397" s="9">
        <v>12</v>
      </c>
      <c r="H1397" s="9">
        <v>0.99744999999999995</v>
      </c>
      <c r="I1397" s="9">
        <v>3.31</v>
      </c>
      <c r="J1397" s="9">
        <v>0.65</v>
      </c>
      <c r="K1397" s="9">
        <v>9.5500000000000007</v>
      </c>
      <c r="L1397" s="9">
        <v>6</v>
      </c>
    </row>
    <row r="1398" spans="1:12" x14ac:dyDescent="0.3">
      <c r="A1398" s="9">
        <v>8.6999999999999993</v>
      </c>
      <c r="B1398" s="9">
        <v>0.67500000000000004</v>
      </c>
      <c r="C1398" s="9">
        <v>0.1</v>
      </c>
      <c r="D1398" s="9">
        <v>1.6</v>
      </c>
      <c r="E1398" s="9">
        <v>0.09</v>
      </c>
      <c r="F1398" s="9">
        <v>4</v>
      </c>
      <c r="G1398" s="9">
        <v>11</v>
      </c>
      <c r="H1398" s="9">
        <v>0.99744999999999995</v>
      </c>
      <c r="I1398" s="9">
        <v>3.31</v>
      </c>
      <c r="J1398" s="9">
        <v>0.65</v>
      </c>
      <c r="K1398" s="9">
        <v>9.5500000000000007</v>
      </c>
      <c r="L1398" s="9">
        <v>5</v>
      </c>
    </row>
    <row r="1399" spans="1:12" x14ac:dyDescent="0.3">
      <c r="A1399" s="9">
        <v>7.3</v>
      </c>
      <c r="B1399" s="9">
        <v>0.59</v>
      </c>
      <c r="C1399" s="9">
        <v>0.26</v>
      </c>
      <c r="D1399" s="9">
        <v>2</v>
      </c>
      <c r="E1399" s="9">
        <v>0.08</v>
      </c>
      <c r="F1399" s="9">
        <v>17</v>
      </c>
      <c r="G1399" s="9">
        <v>104</v>
      </c>
      <c r="H1399" s="9">
        <v>0.99583999999999995</v>
      </c>
      <c r="I1399" s="9">
        <v>3.28</v>
      </c>
      <c r="J1399" s="9">
        <v>0.52</v>
      </c>
      <c r="K1399" s="9">
        <v>9.9</v>
      </c>
      <c r="L1399" s="9">
        <v>5</v>
      </c>
    </row>
    <row r="1400" spans="1:12" x14ac:dyDescent="0.3">
      <c r="A1400" s="9">
        <v>7</v>
      </c>
      <c r="B1400" s="9">
        <v>0.6</v>
      </c>
      <c r="C1400" s="9">
        <v>0.12</v>
      </c>
      <c r="D1400" s="9">
        <v>2.2000000000000002</v>
      </c>
      <c r="E1400" s="9">
        <v>8.3000000000000004E-2</v>
      </c>
      <c r="F1400" s="9">
        <v>13</v>
      </c>
      <c r="G1400" s="9">
        <v>28</v>
      </c>
      <c r="H1400" s="9">
        <v>0.99660000000000004</v>
      </c>
      <c r="I1400" s="9">
        <v>3.52</v>
      </c>
      <c r="J1400" s="9">
        <v>0.62</v>
      </c>
      <c r="K1400" s="9">
        <v>10.199999999999999</v>
      </c>
      <c r="L1400" s="9">
        <v>7</v>
      </c>
    </row>
    <row r="1401" spans="1:12" x14ac:dyDescent="0.3">
      <c r="A1401" s="9">
        <v>7.2</v>
      </c>
      <c r="B1401" s="9">
        <v>0.67</v>
      </c>
      <c r="C1401" s="9">
        <v>0</v>
      </c>
      <c r="D1401" s="9">
        <v>2.2000000000000002</v>
      </c>
      <c r="E1401" s="9">
        <v>6.8000000000000005E-2</v>
      </c>
      <c r="F1401" s="9">
        <v>10</v>
      </c>
      <c r="G1401" s="9">
        <v>24</v>
      </c>
      <c r="H1401" s="9">
        <v>0.99560000000000004</v>
      </c>
      <c r="I1401" s="9">
        <v>3.42</v>
      </c>
      <c r="J1401" s="9">
        <v>0.72</v>
      </c>
      <c r="K1401" s="9">
        <v>11.1</v>
      </c>
      <c r="L1401" s="9">
        <v>6</v>
      </c>
    </row>
    <row r="1402" spans="1:12" x14ac:dyDescent="0.3">
      <c r="A1402" s="9">
        <v>7.9</v>
      </c>
      <c r="B1402" s="9">
        <v>0.69</v>
      </c>
      <c r="C1402" s="9">
        <v>0.21</v>
      </c>
      <c r="D1402" s="9">
        <v>2.1</v>
      </c>
      <c r="E1402" s="9">
        <v>0.08</v>
      </c>
      <c r="F1402" s="9">
        <v>33</v>
      </c>
      <c r="G1402" s="9">
        <v>141</v>
      </c>
      <c r="H1402" s="9">
        <v>0.99619999999999997</v>
      </c>
      <c r="I1402" s="9">
        <v>3.25</v>
      </c>
      <c r="J1402" s="9">
        <v>0.51</v>
      </c>
      <c r="K1402" s="9">
        <v>9.9</v>
      </c>
      <c r="L1402" s="9">
        <v>5</v>
      </c>
    </row>
    <row r="1403" spans="1:12" x14ac:dyDescent="0.3">
      <c r="A1403" s="9">
        <v>7.9</v>
      </c>
      <c r="B1403" s="9">
        <v>0.69</v>
      </c>
      <c r="C1403" s="9">
        <v>0.21</v>
      </c>
      <c r="D1403" s="9">
        <v>2.1</v>
      </c>
      <c r="E1403" s="9">
        <v>0.08</v>
      </c>
      <c r="F1403" s="9">
        <v>33</v>
      </c>
      <c r="G1403" s="9">
        <v>141</v>
      </c>
      <c r="H1403" s="9">
        <v>0.99619999999999997</v>
      </c>
      <c r="I1403" s="9">
        <v>3.25</v>
      </c>
      <c r="J1403" s="9">
        <v>0.51</v>
      </c>
      <c r="K1403" s="9">
        <v>9.9</v>
      </c>
      <c r="L1403" s="9">
        <v>5</v>
      </c>
    </row>
    <row r="1404" spans="1:12" x14ac:dyDescent="0.3">
      <c r="A1404" s="9">
        <v>7.6</v>
      </c>
      <c r="B1404" s="9">
        <v>0.3</v>
      </c>
      <c r="C1404" s="9">
        <v>0.42</v>
      </c>
      <c r="D1404" s="9">
        <v>2</v>
      </c>
      <c r="E1404" s="9">
        <v>5.1999999999999998E-2</v>
      </c>
      <c r="F1404" s="9">
        <v>6</v>
      </c>
      <c r="G1404" s="9">
        <v>24</v>
      </c>
      <c r="H1404" s="9">
        <v>0.99629999999999996</v>
      </c>
      <c r="I1404" s="9">
        <v>3.44</v>
      </c>
      <c r="J1404" s="9">
        <v>0.82</v>
      </c>
      <c r="K1404" s="9">
        <v>11.9</v>
      </c>
      <c r="L1404" s="9">
        <v>6</v>
      </c>
    </row>
    <row r="1405" spans="1:12" x14ac:dyDescent="0.3">
      <c r="A1405" s="9">
        <v>7.2</v>
      </c>
      <c r="B1405" s="9">
        <v>0.33</v>
      </c>
      <c r="C1405" s="9">
        <v>0.33</v>
      </c>
      <c r="D1405" s="9">
        <v>1.7</v>
      </c>
      <c r="E1405" s="9">
        <v>6.0999999999999999E-2</v>
      </c>
      <c r="F1405" s="9">
        <v>3</v>
      </c>
      <c r="G1405" s="9">
        <v>13</v>
      </c>
      <c r="H1405" s="9">
        <v>0.996</v>
      </c>
      <c r="I1405" s="9">
        <v>3.23</v>
      </c>
      <c r="J1405" s="9">
        <v>1.1000000000000001</v>
      </c>
      <c r="K1405" s="9">
        <v>10</v>
      </c>
      <c r="L1405" s="9">
        <v>8</v>
      </c>
    </row>
    <row r="1406" spans="1:12" x14ac:dyDescent="0.3">
      <c r="A1406" s="9">
        <v>8</v>
      </c>
      <c r="B1406" s="9">
        <v>0.5</v>
      </c>
      <c r="C1406" s="9">
        <v>0.39</v>
      </c>
      <c r="D1406" s="9">
        <v>2.6</v>
      </c>
      <c r="E1406" s="9">
        <v>8.2000000000000003E-2</v>
      </c>
      <c r="F1406" s="9">
        <v>12</v>
      </c>
      <c r="G1406" s="9">
        <v>46</v>
      </c>
      <c r="H1406" s="9">
        <v>0.99850000000000005</v>
      </c>
      <c r="I1406" s="9">
        <v>3.43</v>
      </c>
      <c r="J1406" s="9">
        <v>0.62</v>
      </c>
      <c r="K1406" s="9">
        <v>10.7</v>
      </c>
      <c r="L1406" s="9">
        <v>6</v>
      </c>
    </row>
    <row r="1407" spans="1:12" x14ac:dyDescent="0.3">
      <c r="A1407" s="9">
        <v>7.7</v>
      </c>
      <c r="B1407" s="9">
        <v>0.28000000000000003</v>
      </c>
      <c r="C1407" s="9">
        <v>0.3</v>
      </c>
      <c r="D1407" s="9">
        <v>2</v>
      </c>
      <c r="E1407" s="9">
        <v>6.2E-2</v>
      </c>
      <c r="F1407" s="9">
        <v>18</v>
      </c>
      <c r="G1407" s="9">
        <v>34</v>
      </c>
      <c r="H1407" s="9">
        <v>0.99519999999999997</v>
      </c>
      <c r="I1407" s="9">
        <v>3.28</v>
      </c>
      <c r="J1407" s="9">
        <v>0.9</v>
      </c>
      <c r="K1407" s="9">
        <v>11.3</v>
      </c>
      <c r="L1407" s="9">
        <v>7</v>
      </c>
    </row>
    <row r="1408" spans="1:12" x14ac:dyDescent="0.3">
      <c r="A1408" s="9">
        <v>8.1999999999999993</v>
      </c>
      <c r="B1408" s="9">
        <v>0.24</v>
      </c>
      <c r="C1408" s="9">
        <v>0.34</v>
      </c>
      <c r="D1408" s="9">
        <v>5.0999999999999996</v>
      </c>
      <c r="E1408" s="9">
        <v>6.2E-2</v>
      </c>
      <c r="F1408" s="9">
        <v>8</v>
      </c>
      <c r="G1408" s="9">
        <v>22</v>
      </c>
      <c r="H1408" s="9">
        <v>0.99739999999999995</v>
      </c>
      <c r="I1408" s="9">
        <v>3.22</v>
      </c>
      <c r="J1408" s="9">
        <v>0.94</v>
      </c>
      <c r="K1408" s="9">
        <v>10.9</v>
      </c>
      <c r="L1408" s="9">
        <v>6</v>
      </c>
    </row>
    <row r="1409" spans="1:12" x14ac:dyDescent="0.3">
      <c r="A1409" s="9">
        <v>6</v>
      </c>
      <c r="B1409" s="9">
        <v>0.51</v>
      </c>
      <c r="C1409" s="9">
        <v>0</v>
      </c>
      <c r="D1409" s="9">
        <v>2.1</v>
      </c>
      <c r="E1409" s="9">
        <v>6.4000000000000001E-2</v>
      </c>
      <c r="F1409" s="9">
        <v>40</v>
      </c>
      <c r="G1409" s="9">
        <v>54</v>
      </c>
      <c r="H1409" s="9">
        <v>0.995</v>
      </c>
      <c r="I1409" s="9">
        <v>3.54</v>
      </c>
      <c r="J1409" s="9">
        <v>0.93</v>
      </c>
      <c r="K1409" s="9">
        <v>10.7</v>
      </c>
      <c r="L1409" s="9">
        <v>6</v>
      </c>
    </row>
    <row r="1410" spans="1:12" x14ac:dyDescent="0.3">
      <c r="A1410" s="9">
        <v>8.1</v>
      </c>
      <c r="B1410" s="9">
        <v>0.28999999999999998</v>
      </c>
      <c r="C1410" s="9">
        <v>0.36</v>
      </c>
      <c r="D1410" s="9">
        <v>2.2000000000000002</v>
      </c>
      <c r="E1410" s="9">
        <v>4.8000000000000001E-2</v>
      </c>
      <c r="F1410" s="9">
        <v>35</v>
      </c>
      <c r="G1410" s="9">
        <v>53</v>
      </c>
      <c r="H1410" s="9">
        <v>0.995</v>
      </c>
      <c r="I1410" s="9">
        <v>3.27</v>
      </c>
      <c r="J1410" s="9">
        <v>1.01</v>
      </c>
      <c r="K1410" s="9">
        <v>12.4</v>
      </c>
      <c r="L1410" s="9">
        <v>7</v>
      </c>
    </row>
    <row r="1411" spans="1:12" x14ac:dyDescent="0.3">
      <c r="A1411" s="9">
        <v>6</v>
      </c>
      <c r="B1411" s="9">
        <v>0.51</v>
      </c>
      <c r="C1411" s="9">
        <v>0</v>
      </c>
      <c r="D1411" s="9">
        <v>2.1</v>
      </c>
      <c r="E1411" s="9">
        <v>6.4000000000000001E-2</v>
      </c>
      <c r="F1411" s="9">
        <v>40</v>
      </c>
      <c r="G1411" s="9">
        <v>54</v>
      </c>
      <c r="H1411" s="9">
        <v>0.995</v>
      </c>
      <c r="I1411" s="9">
        <v>3.54</v>
      </c>
      <c r="J1411" s="9">
        <v>0.93</v>
      </c>
      <c r="K1411" s="9">
        <v>10.7</v>
      </c>
      <c r="L1411" s="9">
        <v>6</v>
      </c>
    </row>
    <row r="1412" spans="1:12" x14ac:dyDescent="0.3">
      <c r="A1412" s="9">
        <v>6.6</v>
      </c>
      <c r="B1412" s="9">
        <v>0.96</v>
      </c>
      <c r="C1412" s="9">
        <v>0</v>
      </c>
      <c r="D1412" s="9">
        <v>1.8</v>
      </c>
      <c r="E1412" s="9">
        <v>8.2000000000000003E-2</v>
      </c>
      <c r="F1412" s="9">
        <v>5</v>
      </c>
      <c r="G1412" s="9">
        <v>16</v>
      </c>
      <c r="H1412" s="9">
        <v>0.99360000000000004</v>
      </c>
      <c r="I1412" s="9">
        <v>3.5</v>
      </c>
      <c r="J1412" s="9">
        <v>0.44</v>
      </c>
      <c r="K1412" s="9">
        <v>11.9</v>
      </c>
      <c r="L1412" s="9">
        <v>6</v>
      </c>
    </row>
    <row r="1413" spans="1:12" x14ac:dyDescent="0.3">
      <c r="A1413" s="9">
        <v>6.4</v>
      </c>
      <c r="B1413" s="9">
        <v>0.47</v>
      </c>
      <c r="C1413" s="9">
        <v>0.4</v>
      </c>
      <c r="D1413" s="9">
        <v>2.4</v>
      </c>
      <c r="E1413" s="9">
        <v>7.0999999999999994E-2</v>
      </c>
      <c r="F1413" s="9">
        <v>8</v>
      </c>
      <c r="G1413" s="9">
        <v>19</v>
      </c>
      <c r="H1413" s="9">
        <v>0.99629999999999996</v>
      </c>
      <c r="I1413" s="9">
        <v>3.56</v>
      </c>
      <c r="J1413" s="9">
        <v>0.73</v>
      </c>
      <c r="K1413" s="9">
        <v>10.6</v>
      </c>
      <c r="L1413" s="9">
        <v>6</v>
      </c>
    </row>
    <row r="1414" spans="1:12" x14ac:dyDescent="0.3">
      <c r="A1414" s="9">
        <v>8.1999999999999993</v>
      </c>
      <c r="B1414" s="9">
        <v>0.24</v>
      </c>
      <c r="C1414" s="9">
        <v>0.34</v>
      </c>
      <c r="D1414" s="9">
        <v>5.0999999999999996</v>
      </c>
      <c r="E1414" s="9">
        <v>6.2E-2</v>
      </c>
      <c r="F1414" s="9">
        <v>8</v>
      </c>
      <c r="G1414" s="9">
        <v>22</v>
      </c>
      <c r="H1414" s="9">
        <v>0.99739999999999995</v>
      </c>
      <c r="I1414" s="9">
        <v>3.22</v>
      </c>
      <c r="J1414" s="9">
        <v>0.94</v>
      </c>
      <c r="K1414" s="9">
        <v>10.9</v>
      </c>
      <c r="L1414" s="9">
        <v>6</v>
      </c>
    </row>
    <row r="1415" spans="1:12" x14ac:dyDescent="0.3">
      <c r="A1415" s="9">
        <v>9.9</v>
      </c>
      <c r="B1415" s="9">
        <v>0.56999999999999995</v>
      </c>
      <c r="C1415" s="9">
        <v>0.25</v>
      </c>
      <c r="D1415" s="9">
        <v>2</v>
      </c>
      <c r="E1415" s="9">
        <v>0.104</v>
      </c>
      <c r="F1415" s="9">
        <v>12</v>
      </c>
      <c r="G1415" s="9">
        <v>89</v>
      </c>
      <c r="H1415" s="9">
        <v>0.99629999999999996</v>
      </c>
      <c r="I1415" s="9">
        <v>3.04</v>
      </c>
      <c r="J1415" s="9">
        <v>0.9</v>
      </c>
      <c r="K1415" s="9">
        <v>10.1</v>
      </c>
      <c r="L1415" s="9">
        <v>5</v>
      </c>
    </row>
    <row r="1416" spans="1:12" x14ac:dyDescent="0.3">
      <c r="A1416" s="9">
        <v>10</v>
      </c>
      <c r="B1416" s="9">
        <v>0.32</v>
      </c>
      <c r="C1416" s="9">
        <v>0.59</v>
      </c>
      <c r="D1416" s="9">
        <v>2.2000000000000002</v>
      </c>
      <c r="E1416" s="9">
        <v>7.6999999999999999E-2</v>
      </c>
      <c r="F1416" s="9">
        <v>3</v>
      </c>
      <c r="G1416" s="9">
        <v>15</v>
      </c>
      <c r="H1416" s="9">
        <v>0.99939999999999996</v>
      </c>
      <c r="I1416" s="9">
        <v>3.2</v>
      </c>
      <c r="J1416" s="9">
        <v>0.78</v>
      </c>
      <c r="K1416" s="9">
        <v>9.6</v>
      </c>
      <c r="L1416" s="9">
        <v>5</v>
      </c>
    </row>
    <row r="1417" spans="1:12" x14ac:dyDescent="0.3">
      <c r="A1417" s="9">
        <v>6.2</v>
      </c>
      <c r="B1417" s="9">
        <v>0.57999999999999996</v>
      </c>
      <c r="C1417" s="9">
        <v>0</v>
      </c>
      <c r="D1417" s="9">
        <v>1.6</v>
      </c>
      <c r="E1417" s="9">
        <v>6.5000000000000002E-2</v>
      </c>
      <c r="F1417" s="9">
        <v>8</v>
      </c>
      <c r="G1417" s="9">
        <v>18</v>
      </c>
      <c r="H1417" s="9">
        <v>0.99660000000000004</v>
      </c>
      <c r="I1417" s="9">
        <v>3.56</v>
      </c>
      <c r="J1417" s="9">
        <v>0.84</v>
      </c>
      <c r="K1417" s="9">
        <v>9.4</v>
      </c>
      <c r="L1417" s="9">
        <v>5</v>
      </c>
    </row>
    <row r="1418" spans="1:12" x14ac:dyDescent="0.3">
      <c r="A1418" s="9">
        <v>10</v>
      </c>
      <c r="B1418" s="9">
        <v>0.32</v>
      </c>
      <c r="C1418" s="9">
        <v>0.59</v>
      </c>
      <c r="D1418" s="9">
        <v>2.2000000000000002</v>
      </c>
      <c r="E1418" s="9">
        <v>7.6999999999999999E-2</v>
      </c>
      <c r="F1418" s="9">
        <v>3</v>
      </c>
      <c r="G1418" s="9">
        <v>15</v>
      </c>
      <c r="H1418" s="9">
        <v>0.99939999999999996</v>
      </c>
      <c r="I1418" s="9">
        <v>3.2</v>
      </c>
      <c r="J1418" s="9">
        <v>0.78</v>
      </c>
      <c r="K1418" s="9">
        <v>9.6</v>
      </c>
      <c r="L1418" s="9">
        <v>5</v>
      </c>
    </row>
    <row r="1419" spans="1:12" x14ac:dyDescent="0.3">
      <c r="A1419" s="9">
        <v>7.3</v>
      </c>
      <c r="B1419" s="9">
        <v>0.34</v>
      </c>
      <c r="C1419" s="9">
        <v>0.33</v>
      </c>
      <c r="D1419" s="9">
        <v>2.5</v>
      </c>
      <c r="E1419" s="9">
        <v>6.4000000000000001E-2</v>
      </c>
      <c r="F1419" s="9">
        <v>21</v>
      </c>
      <c r="G1419" s="9">
        <v>37</v>
      </c>
      <c r="H1419" s="9">
        <v>0.99519999999999997</v>
      </c>
      <c r="I1419" s="9">
        <v>3.35</v>
      </c>
      <c r="J1419" s="9">
        <v>0.77</v>
      </c>
      <c r="K1419" s="9">
        <v>12.1</v>
      </c>
      <c r="L1419" s="9">
        <v>7</v>
      </c>
    </row>
    <row r="1420" spans="1:12" x14ac:dyDescent="0.3">
      <c r="A1420" s="9">
        <v>7.8</v>
      </c>
      <c r="B1420" s="9">
        <v>0.53</v>
      </c>
      <c r="C1420" s="9">
        <v>0.01</v>
      </c>
      <c r="D1420" s="9">
        <v>1.6</v>
      </c>
      <c r="E1420" s="9">
        <v>7.6999999999999999E-2</v>
      </c>
      <c r="F1420" s="9">
        <v>3</v>
      </c>
      <c r="G1420" s="9">
        <v>19</v>
      </c>
      <c r="H1420" s="9">
        <v>0.995</v>
      </c>
      <c r="I1420" s="9">
        <v>3.16</v>
      </c>
      <c r="J1420" s="9">
        <v>0.46</v>
      </c>
      <c r="K1420" s="9">
        <v>9.8000000000000007</v>
      </c>
      <c r="L1420" s="9">
        <v>5</v>
      </c>
    </row>
    <row r="1421" spans="1:12" x14ac:dyDescent="0.3">
      <c r="A1421" s="9">
        <v>7.7</v>
      </c>
      <c r="B1421" s="9">
        <v>0.64</v>
      </c>
      <c r="C1421" s="9">
        <v>0.21</v>
      </c>
      <c r="D1421" s="9">
        <v>2.2000000000000002</v>
      </c>
      <c r="E1421" s="9">
        <v>7.6999999999999999E-2</v>
      </c>
      <c r="F1421" s="9">
        <v>32</v>
      </c>
      <c r="G1421" s="9">
        <v>133</v>
      </c>
      <c r="H1421" s="9">
        <v>0.99560000000000004</v>
      </c>
      <c r="I1421" s="9">
        <v>3.27</v>
      </c>
      <c r="J1421" s="9">
        <v>0.45</v>
      </c>
      <c r="K1421" s="9">
        <v>9.9</v>
      </c>
      <c r="L1421" s="9">
        <v>5</v>
      </c>
    </row>
    <row r="1422" spans="1:12" x14ac:dyDescent="0.3">
      <c r="A1422" s="9">
        <v>7.8</v>
      </c>
      <c r="B1422" s="9">
        <v>0.53</v>
      </c>
      <c r="C1422" s="9">
        <v>0.01</v>
      </c>
      <c r="D1422" s="9">
        <v>1.6</v>
      </c>
      <c r="E1422" s="9">
        <v>7.6999999999999999E-2</v>
      </c>
      <c r="F1422" s="9">
        <v>3</v>
      </c>
      <c r="G1422" s="9">
        <v>19</v>
      </c>
      <c r="H1422" s="9">
        <v>0.995</v>
      </c>
      <c r="I1422" s="9">
        <v>3.16</v>
      </c>
      <c r="J1422" s="9">
        <v>0.46</v>
      </c>
      <c r="K1422" s="9">
        <v>9.8000000000000007</v>
      </c>
      <c r="L1422" s="9">
        <v>5</v>
      </c>
    </row>
    <row r="1423" spans="1:12" x14ac:dyDescent="0.3">
      <c r="A1423" s="9">
        <v>7.5</v>
      </c>
      <c r="B1423" s="9">
        <v>0.4</v>
      </c>
      <c r="C1423" s="9">
        <v>0.18</v>
      </c>
      <c r="D1423" s="9">
        <v>1.6</v>
      </c>
      <c r="E1423" s="9">
        <v>7.9000000000000001E-2</v>
      </c>
      <c r="F1423" s="9">
        <v>24</v>
      </c>
      <c r="G1423" s="9">
        <v>58</v>
      </c>
      <c r="H1423" s="9">
        <v>0.99650000000000005</v>
      </c>
      <c r="I1423" s="9">
        <v>3.34</v>
      </c>
      <c r="J1423" s="9">
        <v>0.57999999999999996</v>
      </c>
      <c r="K1423" s="9">
        <v>9.4</v>
      </c>
      <c r="L1423" s="9">
        <v>5</v>
      </c>
    </row>
    <row r="1424" spans="1:12" x14ac:dyDescent="0.3">
      <c r="A1424" s="9">
        <v>7</v>
      </c>
      <c r="B1424" s="9">
        <v>0.54</v>
      </c>
      <c r="C1424" s="9">
        <v>0</v>
      </c>
      <c r="D1424" s="9">
        <v>2.1</v>
      </c>
      <c r="E1424" s="9">
        <v>7.9000000000000001E-2</v>
      </c>
      <c r="F1424" s="9">
        <v>39</v>
      </c>
      <c r="G1424" s="9">
        <v>55</v>
      </c>
      <c r="H1424" s="9">
        <v>0.99560000000000004</v>
      </c>
      <c r="I1424" s="9">
        <v>3.39</v>
      </c>
      <c r="J1424" s="9">
        <v>0.84</v>
      </c>
      <c r="K1424" s="9">
        <v>11.4</v>
      </c>
      <c r="L1424" s="9">
        <v>6</v>
      </c>
    </row>
    <row r="1425" spans="1:12" x14ac:dyDescent="0.3">
      <c r="A1425" s="9">
        <v>6.4</v>
      </c>
      <c r="B1425" s="9">
        <v>0.53</v>
      </c>
      <c r="C1425" s="9">
        <v>0.09</v>
      </c>
      <c r="D1425" s="9">
        <v>3.9</v>
      </c>
      <c r="E1425" s="9">
        <v>0.123</v>
      </c>
      <c r="F1425" s="9">
        <v>14</v>
      </c>
      <c r="G1425" s="9">
        <v>31</v>
      </c>
      <c r="H1425" s="9">
        <v>0.99680000000000002</v>
      </c>
      <c r="I1425" s="9">
        <v>3.5</v>
      </c>
      <c r="J1425" s="9">
        <v>0.67</v>
      </c>
      <c r="K1425" s="9">
        <v>11</v>
      </c>
      <c r="L1425" s="9">
        <v>4</v>
      </c>
    </row>
    <row r="1426" spans="1:12" x14ac:dyDescent="0.3">
      <c r="A1426" s="9">
        <v>8.3000000000000007</v>
      </c>
      <c r="B1426" s="9">
        <v>0.26</v>
      </c>
      <c r="C1426" s="9">
        <v>0.37</v>
      </c>
      <c r="D1426" s="9">
        <v>1.4</v>
      </c>
      <c r="E1426" s="9">
        <v>7.5999999999999998E-2</v>
      </c>
      <c r="F1426" s="9">
        <v>8</v>
      </c>
      <c r="G1426" s="9">
        <v>23</v>
      </c>
      <c r="H1426" s="9">
        <v>0.99739999999999995</v>
      </c>
      <c r="I1426" s="9">
        <v>3.26</v>
      </c>
      <c r="J1426" s="9">
        <v>0.7</v>
      </c>
      <c r="K1426" s="9">
        <v>9.6</v>
      </c>
      <c r="L1426" s="9">
        <v>6</v>
      </c>
    </row>
    <row r="1427" spans="1:12" x14ac:dyDescent="0.3">
      <c r="A1427" s="9">
        <v>8.3000000000000007</v>
      </c>
      <c r="B1427" s="9">
        <v>0.26</v>
      </c>
      <c r="C1427" s="9">
        <v>0.37</v>
      </c>
      <c r="D1427" s="9">
        <v>1.4</v>
      </c>
      <c r="E1427" s="9">
        <v>7.5999999999999998E-2</v>
      </c>
      <c r="F1427" s="9">
        <v>8</v>
      </c>
      <c r="G1427" s="9">
        <v>23</v>
      </c>
      <c r="H1427" s="9">
        <v>0.99739999999999995</v>
      </c>
      <c r="I1427" s="9">
        <v>3.26</v>
      </c>
      <c r="J1427" s="9">
        <v>0.7</v>
      </c>
      <c r="K1427" s="9">
        <v>9.6</v>
      </c>
      <c r="L1427" s="9">
        <v>6</v>
      </c>
    </row>
    <row r="1428" spans="1:12" x14ac:dyDescent="0.3">
      <c r="A1428" s="9">
        <v>7.7</v>
      </c>
      <c r="B1428" s="9">
        <v>0.23</v>
      </c>
      <c r="C1428" s="9">
        <v>0.37</v>
      </c>
      <c r="D1428" s="9">
        <v>1.8</v>
      </c>
      <c r="E1428" s="9">
        <v>4.5999999999999999E-2</v>
      </c>
      <c r="F1428" s="9">
        <v>23</v>
      </c>
      <c r="G1428" s="9">
        <v>60</v>
      </c>
      <c r="H1428" s="9">
        <v>0.99709999999999999</v>
      </c>
      <c r="I1428" s="9">
        <v>3.41</v>
      </c>
      <c r="J1428" s="9">
        <v>0.71</v>
      </c>
      <c r="K1428" s="9">
        <v>12.1</v>
      </c>
      <c r="L1428" s="9">
        <v>6</v>
      </c>
    </row>
    <row r="1429" spans="1:12" x14ac:dyDescent="0.3">
      <c r="A1429" s="9">
        <v>7.6</v>
      </c>
      <c r="B1429" s="9">
        <v>0.41</v>
      </c>
      <c r="C1429" s="9">
        <v>0.33</v>
      </c>
      <c r="D1429" s="9">
        <v>2.5</v>
      </c>
      <c r="E1429" s="9">
        <v>7.8E-2</v>
      </c>
      <c r="F1429" s="9">
        <v>6</v>
      </c>
      <c r="G1429" s="9">
        <v>23</v>
      </c>
      <c r="H1429" s="9">
        <v>0.99570000000000003</v>
      </c>
      <c r="I1429" s="9">
        <v>3.3</v>
      </c>
      <c r="J1429" s="9">
        <v>0.57999999999999996</v>
      </c>
      <c r="K1429" s="9">
        <v>11.2</v>
      </c>
      <c r="L1429" s="9">
        <v>5</v>
      </c>
    </row>
    <row r="1430" spans="1:12" x14ac:dyDescent="0.3">
      <c r="A1430" s="9">
        <v>7.8</v>
      </c>
      <c r="B1430" s="9">
        <v>0.64</v>
      </c>
      <c r="C1430" s="9">
        <v>0</v>
      </c>
      <c r="D1430" s="9">
        <v>1.9</v>
      </c>
      <c r="E1430" s="9">
        <v>7.1999999999999995E-2</v>
      </c>
      <c r="F1430" s="9">
        <v>27</v>
      </c>
      <c r="G1430" s="9">
        <v>55</v>
      </c>
      <c r="H1430" s="9">
        <v>0.99619999999999997</v>
      </c>
      <c r="I1430" s="9">
        <v>3.31</v>
      </c>
      <c r="J1430" s="9">
        <v>0.63</v>
      </c>
      <c r="K1430" s="9">
        <v>11</v>
      </c>
      <c r="L1430" s="9">
        <v>5</v>
      </c>
    </row>
    <row r="1431" spans="1:12" x14ac:dyDescent="0.3">
      <c r="A1431" s="9">
        <v>7.9</v>
      </c>
      <c r="B1431" s="9">
        <v>0.18</v>
      </c>
      <c r="C1431" s="9">
        <v>0.4</v>
      </c>
      <c r="D1431" s="9">
        <v>2.2000000000000002</v>
      </c>
      <c r="E1431" s="9">
        <v>4.9000000000000002E-2</v>
      </c>
      <c r="F1431" s="9">
        <v>38</v>
      </c>
      <c r="G1431" s="9">
        <v>67</v>
      </c>
      <c r="H1431" s="9">
        <v>0.996</v>
      </c>
      <c r="I1431" s="9">
        <v>3.33</v>
      </c>
      <c r="J1431" s="9">
        <v>0.93</v>
      </c>
      <c r="K1431" s="9">
        <v>11.3</v>
      </c>
      <c r="L1431" s="9">
        <v>5</v>
      </c>
    </row>
    <row r="1432" spans="1:12" x14ac:dyDescent="0.3">
      <c r="A1432" s="9">
        <v>7.4</v>
      </c>
      <c r="B1432" s="9">
        <v>0.41</v>
      </c>
      <c r="C1432" s="9">
        <v>0.24</v>
      </c>
      <c r="D1432" s="9">
        <v>1.8</v>
      </c>
      <c r="E1432" s="9">
        <v>6.6000000000000003E-2</v>
      </c>
      <c r="F1432" s="9">
        <v>18</v>
      </c>
      <c r="G1432" s="9">
        <v>47</v>
      </c>
      <c r="H1432" s="9">
        <v>0.99560000000000004</v>
      </c>
      <c r="I1432" s="9">
        <v>3.37</v>
      </c>
      <c r="J1432" s="9">
        <v>0.62</v>
      </c>
      <c r="K1432" s="9">
        <v>10.4</v>
      </c>
      <c r="L1432" s="9">
        <v>5</v>
      </c>
    </row>
    <row r="1433" spans="1:12" x14ac:dyDescent="0.3">
      <c r="A1433" s="9">
        <v>7.6</v>
      </c>
      <c r="B1433" s="9">
        <v>0.43</v>
      </c>
      <c r="C1433" s="9">
        <v>0.31</v>
      </c>
      <c r="D1433" s="9">
        <v>2.1</v>
      </c>
      <c r="E1433" s="9">
        <v>6.9000000000000006E-2</v>
      </c>
      <c r="F1433" s="9">
        <v>13</v>
      </c>
      <c r="G1433" s="9">
        <v>74</v>
      </c>
      <c r="H1433" s="9">
        <v>0.99580000000000002</v>
      </c>
      <c r="I1433" s="9">
        <v>3.26</v>
      </c>
      <c r="J1433" s="9">
        <v>0.54</v>
      </c>
      <c r="K1433" s="9">
        <v>9.9</v>
      </c>
      <c r="L1433" s="9">
        <v>6</v>
      </c>
    </row>
    <row r="1434" spans="1:12" x14ac:dyDescent="0.3">
      <c r="A1434" s="9">
        <v>5.9</v>
      </c>
      <c r="B1434" s="9">
        <v>0.44</v>
      </c>
      <c r="C1434" s="9">
        <v>0</v>
      </c>
      <c r="D1434" s="9">
        <v>1.6</v>
      </c>
      <c r="E1434" s="9">
        <v>4.2000000000000003E-2</v>
      </c>
      <c r="F1434" s="9">
        <v>3</v>
      </c>
      <c r="G1434" s="9">
        <v>11</v>
      </c>
      <c r="H1434" s="9">
        <v>0.99439999999999995</v>
      </c>
      <c r="I1434" s="9">
        <v>3.48</v>
      </c>
      <c r="J1434" s="9">
        <v>0.85</v>
      </c>
      <c r="K1434" s="9">
        <v>11.7</v>
      </c>
      <c r="L1434" s="9">
        <v>6</v>
      </c>
    </row>
    <row r="1435" spans="1:12" x14ac:dyDescent="0.3">
      <c r="A1435" s="9">
        <v>6.1</v>
      </c>
      <c r="B1435" s="9">
        <v>0.4</v>
      </c>
      <c r="C1435" s="9">
        <v>0.16</v>
      </c>
      <c r="D1435" s="9">
        <v>1.8</v>
      </c>
      <c r="E1435" s="9">
        <v>6.9000000000000006E-2</v>
      </c>
      <c r="F1435" s="9">
        <v>11</v>
      </c>
      <c r="G1435" s="9">
        <v>25</v>
      </c>
      <c r="H1435" s="9">
        <v>0.99550000000000005</v>
      </c>
      <c r="I1435" s="9">
        <v>3.42</v>
      </c>
      <c r="J1435" s="9">
        <v>0.74</v>
      </c>
      <c r="K1435" s="9">
        <v>10.1</v>
      </c>
      <c r="L1435" s="9">
        <v>7</v>
      </c>
    </row>
    <row r="1436" spans="1:12" x14ac:dyDescent="0.3">
      <c r="A1436" s="9">
        <v>10.199999999999999</v>
      </c>
      <c r="B1436" s="9">
        <v>0.54</v>
      </c>
      <c r="C1436" s="9">
        <v>0.37</v>
      </c>
      <c r="D1436" s="9">
        <v>15.4</v>
      </c>
      <c r="E1436" s="9">
        <v>0.214</v>
      </c>
      <c r="F1436" s="9">
        <v>55</v>
      </c>
      <c r="G1436" s="9">
        <v>95</v>
      </c>
      <c r="H1436" s="9">
        <v>1.00369</v>
      </c>
      <c r="I1436" s="9">
        <v>3.18</v>
      </c>
      <c r="J1436" s="9">
        <v>0.77</v>
      </c>
      <c r="K1436" s="9">
        <v>9</v>
      </c>
      <c r="L1436" s="9">
        <v>6</v>
      </c>
    </row>
    <row r="1437" spans="1:12" x14ac:dyDescent="0.3">
      <c r="A1437" s="9">
        <v>10.199999999999999</v>
      </c>
      <c r="B1437" s="9">
        <v>0.54</v>
      </c>
      <c r="C1437" s="9">
        <v>0.37</v>
      </c>
      <c r="D1437" s="9">
        <v>15.4</v>
      </c>
      <c r="E1437" s="9">
        <v>0.214</v>
      </c>
      <c r="F1437" s="9">
        <v>55</v>
      </c>
      <c r="G1437" s="9">
        <v>95</v>
      </c>
      <c r="H1437" s="9">
        <v>1.00369</v>
      </c>
      <c r="I1437" s="9">
        <v>3.18</v>
      </c>
      <c r="J1437" s="9">
        <v>0.77</v>
      </c>
      <c r="K1437" s="9">
        <v>9</v>
      </c>
      <c r="L1437" s="9">
        <v>6</v>
      </c>
    </row>
    <row r="1438" spans="1:12" x14ac:dyDescent="0.3">
      <c r="A1438" s="9">
        <v>10</v>
      </c>
      <c r="B1438" s="9">
        <v>0.38</v>
      </c>
      <c r="C1438" s="9">
        <v>0.38</v>
      </c>
      <c r="D1438" s="9">
        <v>1.6</v>
      </c>
      <c r="E1438" s="9">
        <v>0.16900000000000001</v>
      </c>
      <c r="F1438" s="9">
        <v>27</v>
      </c>
      <c r="G1438" s="9">
        <v>90</v>
      </c>
      <c r="H1438" s="9">
        <v>0.99914000000000003</v>
      </c>
      <c r="I1438" s="9">
        <v>3.15</v>
      </c>
      <c r="J1438" s="9">
        <v>0.65</v>
      </c>
      <c r="K1438" s="9">
        <v>8.5</v>
      </c>
      <c r="L1438" s="9">
        <v>5</v>
      </c>
    </row>
    <row r="1439" spans="1:12" x14ac:dyDescent="0.3">
      <c r="A1439" s="9">
        <v>6.8</v>
      </c>
      <c r="B1439" s="9">
        <v>0.91500000000000004</v>
      </c>
      <c r="C1439" s="9">
        <v>0.28999999999999998</v>
      </c>
      <c r="D1439" s="9">
        <v>4.8</v>
      </c>
      <c r="E1439" s="9">
        <v>7.0000000000000007E-2</v>
      </c>
      <c r="F1439" s="9">
        <v>15</v>
      </c>
      <c r="G1439" s="9">
        <v>39</v>
      </c>
      <c r="H1439" s="9">
        <v>0.99577000000000004</v>
      </c>
      <c r="I1439" s="9">
        <v>3.53</v>
      </c>
      <c r="J1439" s="9">
        <v>0.54</v>
      </c>
      <c r="K1439" s="9">
        <v>11.1</v>
      </c>
      <c r="L1439" s="9">
        <v>5</v>
      </c>
    </row>
    <row r="1440" spans="1:12" x14ac:dyDescent="0.3">
      <c r="A1440" s="9">
        <v>7</v>
      </c>
      <c r="B1440" s="9">
        <v>0.59</v>
      </c>
      <c r="C1440" s="9">
        <v>0</v>
      </c>
      <c r="D1440" s="9">
        <v>1.7</v>
      </c>
      <c r="E1440" s="9">
        <v>5.1999999999999998E-2</v>
      </c>
      <c r="F1440" s="9">
        <v>3</v>
      </c>
      <c r="G1440" s="9">
        <v>8</v>
      </c>
      <c r="H1440" s="9">
        <v>0.996</v>
      </c>
      <c r="I1440" s="9">
        <v>3.41</v>
      </c>
      <c r="J1440" s="9">
        <v>0.47</v>
      </c>
      <c r="K1440" s="9">
        <v>10.3</v>
      </c>
      <c r="L1440" s="9">
        <v>5</v>
      </c>
    </row>
    <row r="1441" spans="1:12" x14ac:dyDescent="0.3">
      <c r="A1441" s="9">
        <v>7.3</v>
      </c>
      <c r="B1441" s="9">
        <v>0.67</v>
      </c>
      <c r="C1441" s="9">
        <v>0.02</v>
      </c>
      <c r="D1441" s="9">
        <v>2.2000000000000002</v>
      </c>
      <c r="E1441" s="9">
        <v>7.1999999999999995E-2</v>
      </c>
      <c r="F1441" s="9">
        <v>31</v>
      </c>
      <c r="G1441" s="9">
        <v>92</v>
      </c>
      <c r="H1441" s="9">
        <v>0.99565999999999999</v>
      </c>
      <c r="I1441" s="9">
        <v>3.32</v>
      </c>
      <c r="J1441" s="9">
        <v>0.68</v>
      </c>
      <c r="K1441" s="9">
        <v>11.0666666666667</v>
      </c>
      <c r="L1441" s="9">
        <v>6</v>
      </c>
    </row>
    <row r="1442" spans="1:12" x14ac:dyDescent="0.3">
      <c r="A1442" s="9">
        <v>7.2</v>
      </c>
      <c r="B1442" s="9">
        <v>0.37</v>
      </c>
      <c r="C1442" s="9">
        <v>0.32</v>
      </c>
      <c r="D1442" s="9">
        <v>2</v>
      </c>
      <c r="E1442" s="9">
        <v>6.2E-2</v>
      </c>
      <c r="F1442" s="9">
        <v>15</v>
      </c>
      <c r="G1442" s="9">
        <v>28</v>
      </c>
      <c r="H1442" s="9">
        <v>0.99470000000000003</v>
      </c>
      <c r="I1442" s="9">
        <v>3.23</v>
      </c>
      <c r="J1442" s="9">
        <v>0.73</v>
      </c>
      <c r="K1442" s="9">
        <v>11.3</v>
      </c>
      <c r="L1442" s="9">
        <v>7</v>
      </c>
    </row>
    <row r="1443" spans="1:12" x14ac:dyDescent="0.3">
      <c r="A1443" s="9">
        <v>7.4</v>
      </c>
      <c r="B1443" s="9">
        <v>0.78500000000000003</v>
      </c>
      <c r="C1443" s="9">
        <v>0.19</v>
      </c>
      <c r="D1443" s="9">
        <v>5.2</v>
      </c>
      <c r="E1443" s="9">
        <v>9.4E-2</v>
      </c>
      <c r="F1443" s="9">
        <v>19</v>
      </c>
      <c r="G1443" s="9">
        <v>98</v>
      </c>
      <c r="H1443" s="9">
        <v>0.99712999999999996</v>
      </c>
      <c r="I1443" s="9">
        <v>3.16</v>
      </c>
      <c r="J1443" s="9">
        <v>0.52</v>
      </c>
      <c r="K1443" s="9">
        <v>9.56666666666667</v>
      </c>
      <c r="L1443" s="9">
        <v>6</v>
      </c>
    </row>
    <row r="1444" spans="1:12" x14ac:dyDescent="0.3">
      <c r="A1444" s="9">
        <v>6.9</v>
      </c>
      <c r="B1444" s="9">
        <v>0.63</v>
      </c>
      <c r="C1444" s="9">
        <v>0.02</v>
      </c>
      <c r="D1444" s="9">
        <v>1.9</v>
      </c>
      <c r="E1444" s="9">
        <v>7.8E-2</v>
      </c>
      <c r="F1444" s="9">
        <v>18</v>
      </c>
      <c r="G1444" s="9">
        <v>30</v>
      </c>
      <c r="H1444" s="9">
        <v>0.99712000000000001</v>
      </c>
      <c r="I1444" s="9">
        <v>3.4</v>
      </c>
      <c r="J1444" s="9">
        <v>0.75</v>
      </c>
      <c r="K1444" s="9">
        <v>9.8000000000000007</v>
      </c>
      <c r="L1444" s="9">
        <v>5</v>
      </c>
    </row>
    <row r="1445" spans="1:12" x14ac:dyDescent="0.3">
      <c r="A1445" s="9">
        <v>6.9</v>
      </c>
      <c r="B1445" s="9">
        <v>0.57999999999999996</v>
      </c>
      <c r="C1445" s="9">
        <v>0.2</v>
      </c>
      <c r="D1445" s="9">
        <v>1.75</v>
      </c>
      <c r="E1445" s="9">
        <v>5.8000000000000003E-2</v>
      </c>
      <c r="F1445" s="9">
        <v>8</v>
      </c>
      <c r="G1445" s="9">
        <v>22</v>
      </c>
      <c r="H1445" s="9">
        <v>0.99321999999999999</v>
      </c>
      <c r="I1445" s="9">
        <v>3.38</v>
      </c>
      <c r="J1445" s="9">
        <v>0.49</v>
      </c>
      <c r="K1445" s="9">
        <v>11.7</v>
      </c>
      <c r="L1445" s="9">
        <v>5</v>
      </c>
    </row>
    <row r="1446" spans="1:12" x14ac:dyDescent="0.3">
      <c r="A1446" s="9">
        <v>7.3</v>
      </c>
      <c r="B1446" s="9">
        <v>0.67</v>
      </c>
      <c r="C1446" s="9">
        <v>0.02</v>
      </c>
      <c r="D1446" s="9">
        <v>2.2000000000000002</v>
      </c>
      <c r="E1446" s="9">
        <v>7.1999999999999995E-2</v>
      </c>
      <c r="F1446" s="9">
        <v>31</v>
      </c>
      <c r="G1446" s="9">
        <v>92</v>
      </c>
      <c r="H1446" s="9">
        <v>0.99565999999999999</v>
      </c>
      <c r="I1446" s="9">
        <v>3.32</v>
      </c>
      <c r="J1446" s="9">
        <v>0.68</v>
      </c>
      <c r="K1446" s="9">
        <v>11.1</v>
      </c>
      <c r="L1446" s="9">
        <v>6</v>
      </c>
    </row>
    <row r="1447" spans="1:12" x14ac:dyDescent="0.3">
      <c r="A1447" s="9">
        <v>7.4</v>
      </c>
      <c r="B1447" s="9">
        <v>0.78500000000000003</v>
      </c>
      <c r="C1447" s="9">
        <v>0.19</v>
      </c>
      <c r="D1447" s="9">
        <v>5.2</v>
      </c>
      <c r="E1447" s="9">
        <v>9.4E-2</v>
      </c>
      <c r="F1447" s="9">
        <v>19</v>
      </c>
      <c r="G1447" s="9">
        <v>98</v>
      </c>
      <c r="H1447" s="9">
        <v>0.99712999999999996</v>
      </c>
      <c r="I1447" s="9">
        <v>3.16</v>
      </c>
      <c r="J1447" s="9">
        <v>0.52</v>
      </c>
      <c r="K1447" s="9">
        <v>9.6</v>
      </c>
      <c r="L1447" s="9">
        <v>6</v>
      </c>
    </row>
    <row r="1448" spans="1:12" x14ac:dyDescent="0.3">
      <c r="A1448" s="9">
        <v>6.9</v>
      </c>
      <c r="B1448" s="9">
        <v>0.63</v>
      </c>
      <c r="C1448" s="9">
        <v>0.02</v>
      </c>
      <c r="D1448" s="9">
        <v>1.9</v>
      </c>
      <c r="E1448" s="9">
        <v>7.8E-2</v>
      </c>
      <c r="F1448" s="9">
        <v>18</v>
      </c>
      <c r="G1448" s="9">
        <v>30</v>
      </c>
      <c r="H1448" s="9">
        <v>0.99712000000000001</v>
      </c>
      <c r="I1448" s="9">
        <v>3.4</v>
      </c>
      <c r="J1448" s="9">
        <v>0.75</v>
      </c>
      <c r="K1448" s="9">
        <v>9.8000000000000007</v>
      </c>
      <c r="L1448" s="9">
        <v>5</v>
      </c>
    </row>
    <row r="1449" spans="1:12" x14ac:dyDescent="0.3">
      <c r="A1449" s="9">
        <v>6.8</v>
      </c>
      <c r="B1449" s="9">
        <v>0.67</v>
      </c>
      <c r="C1449" s="9">
        <v>0</v>
      </c>
      <c r="D1449" s="9">
        <v>1.9</v>
      </c>
      <c r="E1449" s="9">
        <v>0.08</v>
      </c>
      <c r="F1449" s="9">
        <v>22</v>
      </c>
      <c r="G1449" s="9">
        <v>39</v>
      </c>
      <c r="H1449" s="9">
        <v>0.99700999999999995</v>
      </c>
      <c r="I1449" s="9">
        <v>3.4</v>
      </c>
      <c r="J1449" s="9">
        <v>0.74</v>
      </c>
      <c r="K1449" s="9">
        <v>9.6999999999999993</v>
      </c>
      <c r="L1449" s="9">
        <v>5</v>
      </c>
    </row>
    <row r="1450" spans="1:12" x14ac:dyDescent="0.3">
      <c r="A1450" s="9">
        <v>6.9</v>
      </c>
      <c r="B1450" s="9">
        <v>0.57999999999999996</v>
      </c>
      <c r="C1450" s="9">
        <v>0.01</v>
      </c>
      <c r="D1450" s="9">
        <v>1.9</v>
      </c>
      <c r="E1450" s="9">
        <v>0.08</v>
      </c>
      <c r="F1450" s="9">
        <v>40</v>
      </c>
      <c r="G1450" s="9">
        <v>54</v>
      </c>
      <c r="H1450" s="9">
        <v>0.99682999999999999</v>
      </c>
      <c r="I1450" s="9">
        <v>3.4</v>
      </c>
      <c r="J1450" s="9">
        <v>0.73</v>
      </c>
      <c r="K1450" s="9">
        <v>9.6999999999999993</v>
      </c>
      <c r="L1450" s="9">
        <v>5</v>
      </c>
    </row>
    <row r="1451" spans="1:12" x14ac:dyDescent="0.3">
      <c r="A1451" s="9">
        <v>7.2</v>
      </c>
      <c r="B1451" s="9">
        <v>0.38</v>
      </c>
      <c r="C1451" s="9">
        <v>0.31</v>
      </c>
      <c r="D1451" s="9">
        <v>2</v>
      </c>
      <c r="E1451" s="9">
        <v>5.6000000000000001E-2</v>
      </c>
      <c r="F1451" s="9">
        <v>15</v>
      </c>
      <c r="G1451" s="9">
        <v>29</v>
      </c>
      <c r="H1451" s="9">
        <v>0.99472000000000005</v>
      </c>
      <c r="I1451" s="9">
        <v>3.23</v>
      </c>
      <c r="J1451" s="9">
        <v>0.76</v>
      </c>
      <c r="K1451" s="9">
        <v>11.3</v>
      </c>
      <c r="L1451" s="9">
        <v>8</v>
      </c>
    </row>
    <row r="1452" spans="1:12" x14ac:dyDescent="0.3">
      <c r="A1452" s="9">
        <v>7.2</v>
      </c>
      <c r="B1452" s="9">
        <v>0.37</v>
      </c>
      <c r="C1452" s="9">
        <v>0.32</v>
      </c>
      <c r="D1452" s="9">
        <v>2</v>
      </c>
      <c r="E1452" s="9">
        <v>6.2E-2</v>
      </c>
      <c r="F1452" s="9">
        <v>15</v>
      </c>
      <c r="G1452" s="9">
        <v>28</v>
      </c>
      <c r="H1452" s="9">
        <v>0.99470000000000003</v>
      </c>
      <c r="I1452" s="9">
        <v>3.23</v>
      </c>
      <c r="J1452" s="9">
        <v>0.73</v>
      </c>
      <c r="K1452" s="9">
        <v>11.3</v>
      </c>
      <c r="L1452" s="9">
        <v>7</v>
      </c>
    </row>
    <row r="1453" spans="1:12" x14ac:dyDescent="0.3">
      <c r="A1453" s="9">
        <v>7.8</v>
      </c>
      <c r="B1453" s="9">
        <v>0.32</v>
      </c>
      <c r="C1453" s="9">
        <v>0.44</v>
      </c>
      <c r="D1453" s="9">
        <v>2.7</v>
      </c>
      <c r="E1453" s="9">
        <v>0.104</v>
      </c>
      <c r="F1453" s="9">
        <v>8</v>
      </c>
      <c r="G1453" s="9">
        <v>17</v>
      </c>
      <c r="H1453" s="9">
        <v>0.99731999999999998</v>
      </c>
      <c r="I1453" s="9">
        <v>3.33</v>
      </c>
      <c r="J1453" s="9">
        <v>0.78</v>
      </c>
      <c r="K1453" s="9">
        <v>11</v>
      </c>
      <c r="L1453" s="9">
        <v>7</v>
      </c>
    </row>
    <row r="1454" spans="1:12" x14ac:dyDescent="0.3">
      <c r="A1454" s="9">
        <v>6.6</v>
      </c>
      <c r="B1454" s="9">
        <v>0.57999999999999996</v>
      </c>
      <c r="C1454" s="9">
        <v>0.02</v>
      </c>
      <c r="D1454" s="9">
        <v>2</v>
      </c>
      <c r="E1454" s="9">
        <v>6.2E-2</v>
      </c>
      <c r="F1454" s="9">
        <v>37</v>
      </c>
      <c r="G1454" s="9">
        <v>53</v>
      </c>
      <c r="H1454" s="9">
        <v>0.99373999999999996</v>
      </c>
      <c r="I1454" s="9">
        <v>3.35</v>
      </c>
      <c r="J1454" s="9">
        <v>0.76</v>
      </c>
      <c r="K1454" s="9">
        <v>11.6</v>
      </c>
      <c r="L1454" s="9">
        <v>7</v>
      </c>
    </row>
    <row r="1455" spans="1:12" x14ac:dyDescent="0.3">
      <c r="A1455" s="9">
        <v>7.6</v>
      </c>
      <c r="B1455" s="9">
        <v>0.49</v>
      </c>
      <c r="C1455" s="9">
        <v>0.33</v>
      </c>
      <c r="D1455" s="9">
        <v>1.9</v>
      </c>
      <c r="E1455" s="9">
        <v>7.3999999999999996E-2</v>
      </c>
      <c r="F1455" s="9">
        <v>27</v>
      </c>
      <c r="G1455" s="9">
        <v>85</v>
      </c>
      <c r="H1455" s="9">
        <v>0.99705999999999995</v>
      </c>
      <c r="I1455" s="9">
        <v>3.41</v>
      </c>
      <c r="J1455" s="9">
        <v>0.57999999999999996</v>
      </c>
      <c r="K1455" s="9">
        <v>9</v>
      </c>
      <c r="L1455" s="9">
        <v>5</v>
      </c>
    </row>
    <row r="1456" spans="1:12" x14ac:dyDescent="0.3">
      <c r="A1456" s="9">
        <v>11.7</v>
      </c>
      <c r="B1456" s="9">
        <v>0.45</v>
      </c>
      <c r="C1456" s="9">
        <v>0.63</v>
      </c>
      <c r="D1456" s="9">
        <v>2.2000000000000002</v>
      </c>
      <c r="E1456" s="9">
        <v>7.2999999999999995E-2</v>
      </c>
      <c r="F1456" s="9">
        <v>7</v>
      </c>
      <c r="G1456" s="9">
        <v>23</v>
      </c>
      <c r="H1456" s="9">
        <v>0.99973999999999996</v>
      </c>
      <c r="I1456" s="9">
        <v>3.21</v>
      </c>
      <c r="J1456" s="9">
        <v>0.69</v>
      </c>
      <c r="K1456" s="9">
        <v>10.9</v>
      </c>
      <c r="L1456" s="9">
        <v>6</v>
      </c>
    </row>
    <row r="1457" spans="1:12" x14ac:dyDescent="0.3">
      <c r="A1457" s="9">
        <v>6.5</v>
      </c>
      <c r="B1457" s="9">
        <v>0.9</v>
      </c>
      <c r="C1457" s="9">
        <v>0</v>
      </c>
      <c r="D1457" s="9">
        <v>1.6</v>
      </c>
      <c r="E1457" s="9">
        <v>5.1999999999999998E-2</v>
      </c>
      <c r="F1457" s="9">
        <v>9</v>
      </c>
      <c r="G1457" s="9">
        <v>17</v>
      </c>
      <c r="H1457" s="9">
        <v>0.99467000000000005</v>
      </c>
      <c r="I1457" s="9">
        <v>3.5</v>
      </c>
      <c r="J1457" s="9">
        <v>0.63</v>
      </c>
      <c r="K1457" s="9">
        <v>10.9</v>
      </c>
      <c r="L1457" s="9">
        <v>6</v>
      </c>
    </row>
    <row r="1458" spans="1:12" x14ac:dyDescent="0.3">
      <c r="A1458" s="9">
        <v>6</v>
      </c>
      <c r="B1458" s="9">
        <v>0.54</v>
      </c>
      <c r="C1458" s="9">
        <v>0.06</v>
      </c>
      <c r="D1458" s="9">
        <v>1.8</v>
      </c>
      <c r="E1458" s="9">
        <v>0.05</v>
      </c>
      <c r="F1458" s="9">
        <v>38</v>
      </c>
      <c r="G1458" s="9">
        <v>89</v>
      </c>
      <c r="H1458" s="9">
        <v>0.99236000000000002</v>
      </c>
      <c r="I1458" s="9">
        <v>3.3</v>
      </c>
      <c r="J1458" s="9">
        <v>0.5</v>
      </c>
      <c r="K1458" s="9">
        <v>10.55</v>
      </c>
      <c r="L1458" s="9">
        <v>6</v>
      </c>
    </row>
    <row r="1459" spans="1:12" x14ac:dyDescent="0.3">
      <c r="A1459" s="9">
        <v>7.6</v>
      </c>
      <c r="B1459" s="9">
        <v>0.49</v>
      </c>
      <c r="C1459" s="9">
        <v>0.33</v>
      </c>
      <c r="D1459" s="9">
        <v>1.9</v>
      </c>
      <c r="E1459" s="9">
        <v>7.3999999999999996E-2</v>
      </c>
      <c r="F1459" s="9">
        <v>27</v>
      </c>
      <c r="G1459" s="9">
        <v>85</v>
      </c>
      <c r="H1459" s="9">
        <v>0.99705999999999995</v>
      </c>
      <c r="I1459" s="9">
        <v>3.41</v>
      </c>
      <c r="J1459" s="9">
        <v>0.57999999999999996</v>
      </c>
      <c r="K1459" s="9">
        <v>9</v>
      </c>
      <c r="L1459" s="9">
        <v>5</v>
      </c>
    </row>
    <row r="1460" spans="1:12" x14ac:dyDescent="0.3">
      <c r="A1460" s="9">
        <v>8.4</v>
      </c>
      <c r="B1460" s="9">
        <v>0.28999999999999998</v>
      </c>
      <c r="C1460" s="9">
        <v>0.4</v>
      </c>
      <c r="D1460" s="9">
        <v>1.7</v>
      </c>
      <c r="E1460" s="9">
        <v>6.7000000000000004E-2</v>
      </c>
      <c r="F1460" s="9">
        <v>8</v>
      </c>
      <c r="G1460" s="9">
        <v>20</v>
      </c>
      <c r="H1460" s="9">
        <v>0.99602999999999997</v>
      </c>
      <c r="I1460" s="9">
        <v>3.39</v>
      </c>
      <c r="J1460" s="9">
        <v>0.6</v>
      </c>
      <c r="K1460" s="9">
        <v>10.5</v>
      </c>
      <c r="L1460" s="9">
        <v>5</v>
      </c>
    </row>
    <row r="1461" spans="1:12" x14ac:dyDescent="0.3">
      <c r="A1461" s="9">
        <v>7.9</v>
      </c>
      <c r="B1461" s="9">
        <v>0.2</v>
      </c>
      <c r="C1461" s="9">
        <v>0.35</v>
      </c>
      <c r="D1461" s="9">
        <v>1.7</v>
      </c>
      <c r="E1461" s="9">
        <v>5.3999999999999999E-2</v>
      </c>
      <c r="F1461" s="9">
        <v>7</v>
      </c>
      <c r="G1461" s="9">
        <v>15</v>
      </c>
      <c r="H1461" s="9">
        <v>0.99458000000000002</v>
      </c>
      <c r="I1461" s="9">
        <v>3.32</v>
      </c>
      <c r="J1461" s="9">
        <v>0.8</v>
      </c>
      <c r="K1461" s="9">
        <v>11.9</v>
      </c>
      <c r="L1461" s="9">
        <v>7</v>
      </c>
    </row>
    <row r="1462" spans="1:12" x14ac:dyDescent="0.3">
      <c r="A1462" s="9">
        <v>6.4</v>
      </c>
      <c r="B1462" s="9">
        <v>0.42</v>
      </c>
      <c r="C1462" s="9">
        <v>0.09</v>
      </c>
      <c r="D1462" s="9">
        <v>2.2999999999999998</v>
      </c>
      <c r="E1462" s="9">
        <v>5.3999999999999999E-2</v>
      </c>
      <c r="F1462" s="9">
        <v>34</v>
      </c>
      <c r="G1462" s="9">
        <v>64</v>
      </c>
      <c r="H1462" s="9">
        <v>0.99724000000000002</v>
      </c>
      <c r="I1462" s="9">
        <v>3.41</v>
      </c>
      <c r="J1462" s="9">
        <v>0.68</v>
      </c>
      <c r="K1462" s="9">
        <v>10.4</v>
      </c>
      <c r="L1462" s="9">
        <v>6</v>
      </c>
    </row>
    <row r="1463" spans="1:12" x14ac:dyDescent="0.3">
      <c r="A1463" s="9">
        <v>6.2</v>
      </c>
      <c r="B1463" s="9">
        <v>0.78500000000000003</v>
      </c>
      <c r="C1463" s="9">
        <v>0</v>
      </c>
      <c r="D1463" s="9">
        <v>2.1</v>
      </c>
      <c r="E1463" s="9">
        <v>0.06</v>
      </c>
      <c r="F1463" s="9">
        <v>6</v>
      </c>
      <c r="G1463" s="9">
        <v>13</v>
      </c>
      <c r="H1463" s="9">
        <v>0.99663999999999997</v>
      </c>
      <c r="I1463" s="9">
        <v>3.59</v>
      </c>
      <c r="J1463" s="9">
        <v>0.61</v>
      </c>
      <c r="K1463" s="9">
        <v>10</v>
      </c>
      <c r="L1463" s="9">
        <v>4</v>
      </c>
    </row>
    <row r="1464" spans="1:12" x14ac:dyDescent="0.3">
      <c r="A1464" s="9">
        <v>6.8</v>
      </c>
      <c r="B1464" s="9">
        <v>0.64</v>
      </c>
      <c r="C1464" s="9">
        <v>0.03</v>
      </c>
      <c r="D1464" s="9">
        <v>2.2999999999999998</v>
      </c>
      <c r="E1464" s="9">
        <v>7.4999999999999997E-2</v>
      </c>
      <c r="F1464" s="9">
        <v>14</v>
      </c>
      <c r="G1464" s="9">
        <v>31</v>
      </c>
      <c r="H1464" s="9">
        <v>0.99544999999999995</v>
      </c>
      <c r="I1464" s="9">
        <v>3.36</v>
      </c>
      <c r="J1464" s="9">
        <v>0.57999999999999996</v>
      </c>
      <c r="K1464" s="9">
        <v>10.4</v>
      </c>
      <c r="L1464" s="9">
        <v>6</v>
      </c>
    </row>
    <row r="1465" spans="1:12" x14ac:dyDescent="0.3">
      <c r="A1465" s="9">
        <v>6.9</v>
      </c>
      <c r="B1465" s="9">
        <v>0.63</v>
      </c>
      <c r="C1465" s="9">
        <v>0.01</v>
      </c>
      <c r="D1465" s="9">
        <v>2.4</v>
      </c>
      <c r="E1465" s="9">
        <v>7.5999999999999998E-2</v>
      </c>
      <c r="F1465" s="9">
        <v>14</v>
      </c>
      <c r="G1465" s="9">
        <v>39</v>
      </c>
      <c r="H1465" s="9">
        <v>0.99521999999999999</v>
      </c>
      <c r="I1465" s="9">
        <v>3.34</v>
      </c>
      <c r="J1465" s="9">
        <v>0.53</v>
      </c>
      <c r="K1465" s="9">
        <v>10.8</v>
      </c>
      <c r="L1465" s="9">
        <v>6</v>
      </c>
    </row>
    <row r="1466" spans="1:12" x14ac:dyDescent="0.3">
      <c r="A1466" s="9">
        <v>6.8</v>
      </c>
      <c r="B1466" s="9">
        <v>0.59</v>
      </c>
      <c r="C1466" s="9">
        <v>0.1</v>
      </c>
      <c r="D1466" s="9">
        <v>1.7</v>
      </c>
      <c r="E1466" s="9">
        <v>6.3E-2</v>
      </c>
      <c r="F1466" s="9">
        <v>34</v>
      </c>
      <c r="G1466" s="9">
        <v>53</v>
      </c>
      <c r="H1466" s="9">
        <v>0.99580000000000002</v>
      </c>
      <c r="I1466" s="9">
        <v>3.41</v>
      </c>
      <c r="J1466" s="9">
        <v>0.67</v>
      </c>
      <c r="K1466" s="9">
        <v>9.6999999999999993</v>
      </c>
      <c r="L1466" s="9">
        <v>5</v>
      </c>
    </row>
    <row r="1467" spans="1:12" x14ac:dyDescent="0.3">
      <c r="A1467" s="9">
        <v>6.8</v>
      </c>
      <c r="B1467" s="9">
        <v>0.59</v>
      </c>
      <c r="C1467" s="9">
        <v>0.1</v>
      </c>
      <c r="D1467" s="9">
        <v>1.7</v>
      </c>
      <c r="E1467" s="9">
        <v>6.3E-2</v>
      </c>
      <c r="F1467" s="9">
        <v>34</v>
      </c>
      <c r="G1467" s="9">
        <v>53</v>
      </c>
      <c r="H1467" s="9">
        <v>0.99580000000000002</v>
      </c>
      <c r="I1467" s="9">
        <v>3.41</v>
      </c>
      <c r="J1467" s="9">
        <v>0.67</v>
      </c>
      <c r="K1467" s="9">
        <v>9.6999999999999993</v>
      </c>
      <c r="L1467" s="9">
        <v>5</v>
      </c>
    </row>
    <row r="1468" spans="1:12" x14ac:dyDescent="0.3">
      <c r="A1468" s="9">
        <v>7.3</v>
      </c>
      <c r="B1468" s="9">
        <v>0.48</v>
      </c>
      <c r="C1468" s="9">
        <v>0.32</v>
      </c>
      <c r="D1468" s="9">
        <v>2.1</v>
      </c>
      <c r="E1468" s="9">
        <v>6.2E-2</v>
      </c>
      <c r="F1468" s="9">
        <v>31</v>
      </c>
      <c r="G1468" s="9">
        <v>54</v>
      </c>
      <c r="H1468" s="9">
        <v>0.99728000000000006</v>
      </c>
      <c r="I1468" s="9">
        <v>3.3</v>
      </c>
      <c r="J1468" s="9">
        <v>0.65</v>
      </c>
      <c r="K1468" s="9">
        <v>10</v>
      </c>
      <c r="L1468" s="9">
        <v>7</v>
      </c>
    </row>
    <row r="1469" spans="1:12" x14ac:dyDescent="0.3">
      <c r="A1469" s="9">
        <v>6.7</v>
      </c>
      <c r="B1469" s="9">
        <v>1.04</v>
      </c>
      <c r="C1469" s="9">
        <v>0.08</v>
      </c>
      <c r="D1469" s="9">
        <v>2.2999999999999998</v>
      </c>
      <c r="E1469" s="9">
        <v>6.7000000000000004E-2</v>
      </c>
      <c r="F1469" s="9">
        <v>19</v>
      </c>
      <c r="G1469" s="9">
        <v>32</v>
      </c>
      <c r="H1469" s="9">
        <v>0.99648000000000003</v>
      </c>
      <c r="I1469" s="9">
        <v>3.52</v>
      </c>
      <c r="J1469" s="9">
        <v>0.56999999999999995</v>
      </c>
      <c r="K1469" s="9">
        <v>11</v>
      </c>
      <c r="L1469" s="9">
        <v>4</v>
      </c>
    </row>
    <row r="1470" spans="1:12" x14ac:dyDescent="0.3">
      <c r="A1470" s="9">
        <v>7.3</v>
      </c>
      <c r="B1470" s="9">
        <v>0.48</v>
      </c>
      <c r="C1470" s="9">
        <v>0.32</v>
      </c>
      <c r="D1470" s="9">
        <v>2.1</v>
      </c>
      <c r="E1470" s="9">
        <v>6.2E-2</v>
      </c>
      <c r="F1470" s="9">
        <v>31</v>
      </c>
      <c r="G1470" s="9">
        <v>54</v>
      </c>
      <c r="H1470" s="9">
        <v>0.99728000000000006</v>
      </c>
      <c r="I1470" s="9">
        <v>3.3</v>
      </c>
      <c r="J1470" s="9">
        <v>0.65</v>
      </c>
      <c r="K1470" s="9">
        <v>10</v>
      </c>
      <c r="L1470" s="9">
        <v>7</v>
      </c>
    </row>
    <row r="1471" spans="1:12" x14ac:dyDescent="0.3">
      <c r="A1471" s="9">
        <v>7.3</v>
      </c>
      <c r="B1471" s="9">
        <v>0.98</v>
      </c>
      <c r="C1471" s="9">
        <v>0.05</v>
      </c>
      <c r="D1471" s="9">
        <v>2.1</v>
      </c>
      <c r="E1471" s="9">
        <v>6.0999999999999999E-2</v>
      </c>
      <c r="F1471" s="9">
        <v>20</v>
      </c>
      <c r="G1471" s="9">
        <v>49</v>
      </c>
      <c r="H1471" s="9">
        <v>0.99704999999999999</v>
      </c>
      <c r="I1471" s="9">
        <v>3.31</v>
      </c>
      <c r="J1471" s="9">
        <v>0.55000000000000004</v>
      </c>
      <c r="K1471" s="9">
        <v>9.6999999999999993</v>
      </c>
      <c r="L1471" s="9">
        <v>3</v>
      </c>
    </row>
    <row r="1472" spans="1:12" x14ac:dyDescent="0.3">
      <c r="A1472" s="9">
        <v>10</v>
      </c>
      <c r="B1472" s="9">
        <v>0.69</v>
      </c>
      <c r="C1472" s="9">
        <v>0.11</v>
      </c>
      <c r="D1472" s="9">
        <v>1.4</v>
      </c>
      <c r="E1472" s="9">
        <v>8.4000000000000005E-2</v>
      </c>
      <c r="F1472" s="9">
        <v>8</v>
      </c>
      <c r="G1472" s="9">
        <v>24</v>
      </c>
      <c r="H1472" s="9">
        <v>0.99578</v>
      </c>
      <c r="I1472" s="9">
        <v>2.88</v>
      </c>
      <c r="J1472" s="9">
        <v>0.47</v>
      </c>
      <c r="K1472" s="9">
        <v>9.6999999999999993</v>
      </c>
      <c r="L1472" s="9">
        <v>5</v>
      </c>
    </row>
    <row r="1473" spans="1:12" x14ac:dyDescent="0.3">
      <c r="A1473" s="9">
        <v>6.7</v>
      </c>
      <c r="B1473" s="9">
        <v>0.7</v>
      </c>
      <c r="C1473" s="9">
        <v>0.08</v>
      </c>
      <c r="D1473" s="9">
        <v>3.75</v>
      </c>
      <c r="E1473" s="9">
        <v>6.7000000000000004E-2</v>
      </c>
      <c r="F1473" s="9">
        <v>8</v>
      </c>
      <c r="G1473" s="9">
        <v>16</v>
      </c>
      <c r="H1473" s="9">
        <v>0.99334</v>
      </c>
      <c r="I1473" s="9">
        <v>3.43</v>
      </c>
      <c r="J1473" s="9">
        <v>0.52</v>
      </c>
      <c r="K1473" s="9">
        <v>12.6</v>
      </c>
      <c r="L1473" s="9">
        <v>5</v>
      </c>
    </row>
    <row r="1474" spans="1:12" x14ac:dyDescent="0.3">
      <c r="A1474" s="9">
        <v>7.6</v>
      </c>
      <c r="B1474" s="9">
        <v>0.35</v>
      </c>
      <c r="C1474" s="9">
        <v>0.6</v>
      </c>
      <c r="D1474" s="9">
        <v>2.6</v>
      </c>
      <c r="E1474" s="9">
        <v>7.2999999999999995E-2</v>
      </c>
      <c r="F1474" s="9">
        <v>23</v>
      </c>
      <c r="G1474" s="9">
        <v>44</v>
      </c>
      <c r="H1474" s="9">
        <v>0.99656</v>
      </c>
      <c r="I1474" s="9">
        <v>3.38</v>
      </c>
      <c r="J1474" s="9">
        <v>0.79</v>
      </c>
      <c r="K1474" s="9">
        <v>11.1</v>
      </c>
      <c r="L1474" s="9">
        <v>6</v>
      </c>
    </row>
    <row r="1475" spans="1:12" x14ac:dyDescent="0.3">
      <c r="A1475" s="9">
        <v>6.1</v>
      </c>
      <c r="B1475" s="9">
        <v>0.6</v>
      </c>
      <c r="C1475" s="9">
        <v>0.08</v>
      </c>
      <c r="D1475" s="9">
        <v>1.8</v>
      </c>
      <c r="E1475" s="9">
        <v>7.0999999999999994E-2</v>
      </c>
      <c r="F1475" s="9">
        <v>14</v>
      </c>
      <c r="G1475" s="9">
        <v>45</v>
      </c>
      <c r="H1475" s="9">
        <v>0.99336000000000002</v>
      </c>
      <c r="I1475" s="9">
        <v>3.38</v>
      </c>
      <c r="J1475" s="9">
        <v>0.54</v>
      </c>
      <c r="K1475" s="9">
        <v>11</v>
      </c>
      <c r="L1475" s="9">
        <v>5</v>
      </c>
    </row>
    <row r="1476" spans="1:12" x14ac:dyDescent="0.3">
      <c r="A1476" s="9">
        <v>9.9</v>
      </c>
      <c r="B1476" s="9">
        <v>0.5</v>
      </c>
      <c r="C1476" s="9">
        <v>0.5</v>
      </c>
      <c r="D1476" s="9">
        <v>13.8</v>
      </c>
      <c r="E1476" s="9">
        <v>0.20499999999999999</v>
      </c>
      <c r="F1476" s="9">
        <v>48</v>
      </c>
      <c r="G1476" s="9">
        <v>82</v>
      </c>
      <c r="H1476" s="9">
        <v>1.0024200000000001</v>
      </c>
      <c r="I1476" s="9">
        <v>3.16</v>
      </c>
      <c r="J1476" s="9">
        <v>0.75</v>
      </c>
      <c r="K1476" s="9">
        <v>8.8000000000000007</v>
      </c>
      <c r="L1476" s="9">
        <v>5</v>
      </c>
    </row>
    <row r="1477" spans="1:12" x14ac:dyDescent="0.3">
      <c r="A1477" s="9">
        <v>5.3</v>
      </c>
      <c r="B1477" s="9">
        <v>0.47</v>
      </c>
      <c r="C1477" s="9">
        <v>0.11</v>
      </c>
      <c r="D1477" s="9">
        <v>2.2000000000000002</v>
      </c>
      <c r="E1477" s="9">
        <v>4.8000000000000001E-2</v>
      </c>
      <c r="F1477" s="9">
        <v>16</v>
      </c>
      <c r="G1477" s="9">
        <v>89</v>
      </c>
      <c r="H1477" s="9">
        <v>0.99182000000000003</v>
      </c>
      <c r="I1477" s="9">
        <v>3.54</v>
      </c>
      <c r="J1477" s="9">
        <v>0.88</v>
      </c>
      <c r="K1477" s="9">
        <v>13.5666666666667</v>
      </c>
      <c r="L1477" s="9">
        <v>7</v>
      </c>
    </row>
    <row r="1478" spans="1:12" x14ac:dyDescent="0.3">
      <c r="A1478" s="9">
        <v>9.9</v>
      </c>
      <c r="B1478" s="9">
        <v>0.5</v>
      </c>
      <c r="C1478" s="9">
        <v>0.5</v>
      </c>
      <c r="D1478" s="9">
        <v>13.8</v>
      </c>
      <c r="E1478" s="9">
        <v>0.20499999999999999</v>
      </c>
      <c r="F1478" s="9">
        <v>48</v>
      </c>
      <c r="G1478" s="9">
        <v>82</v>
      </c>
      <c r="H1478" s="9">
        <v>1.0024200000000001</v>
      </c>
      <c r="I1478" s="9">
        <v>3.16</v>
      </c>
      <c r="J1478" s="9">
        <v>0.75</v>
      </c>
      <c r="K1478" s="9">
        <v>8.8000000000000007</v>
      </c>
      <c r="L1478" s="9">
        <v>5</v>
      </c>
    </row>
    <row r="1479" spans="1:12" x14ac:dyDescent="0.3">
      <c r="A1479" s="9">
        <v>5.3</v>
      </c>
      <c r="B1479" s="9">
        <v>0.47</v>
      </c>
      <c r="C1479" s="9">
        <v>0.11</v>
      </c>
      <c r="D1479" s="9">
        <v>2.2000000000000002</v>
      </c>
      <c r="E1479" s="9">
        <v>4.8000000000000001E-2</v>
      </c>
      <c r="F1479" s="9">
        <v>16</v>
      </c>
      <c r="G1479" s="9">
        <v>89</v>
      </c>
      <c r="H1479" s="9">
        <v>0.99182000000000003</v>
      </c>
      <c r="I1479" s="9">
        <v>3.54</v>
      </c>
      <c r="J1479" s="9">
        <v>0.88</v>
      </c>
      <c r="K1479" s="9">
        <v>13.6</v>
      </c>
      <c r="L1479" s="9">
        <v>7</v>
      </c>
    </row>
    <row r="1480" spans="1:12" x14ac:dyDescent="0.3">
      <c r="A1480" s="9">
        <v>7.1</v>
      </c>
      <c r="B1480" s="9">
        <v>0.875</v>
      </c>
      <c r="C1480" s="9">
        <v>0.05</v>
      </c>
      <c r="D1480" s="9">
        <v>5.7</v>
      </c>
      <c r="E1480" s="9">
        <v>8.2000000000000003E-2</v>
      </c>
      <c r="F1480" s="9">
        <v>3</v>
      </c>
      <c r="G1480" s="9">
        <v>14</v>
      </c>
      <c r="H1480" s="9">
        <v>0.99807999999999997</v>
      </c>
      <c r="I1480" s="9">
        <v>3.4</v>
      </c>
      <c r="J1480" s="9">
        <v>0.52</v>
      </c>
      <c r="K1480" s="9">
        <v>10.199999999999999</v>
      </c>
      <c r="L1480" s="9">
        <v>3</v>
      </c>
    </row>
    <row r="1481" spans="1:12" x14ac:dyDescent="0.3">
      <c r="A1481" s="9">
        <v>8.1999999999999993</v>
      </c>
      <c r="B1481" s="9">
        <v>0.28000000000000003</v>
      </c>
      <c r="C1481" s="9">
        <v>0.6</v>
      </c>
      <c r="D1481" s="9">
        <v>3</v>
      </c>
      <c r="E1481" s="9">
        <v>0.104</v>
      </c>
      <c r="F1481" s="9">
        <v>10</v>
      </c>
      <c r="G1481" s="9">
        <v>22</v>
      </c>
      <c r="H1481" s="9">
        <v>0.99827999999999995</v>
      </c>
      <c r="I1481" s="9">
        <v>3.39</v>
      </c>
      <c r="J1481" s="9">
        <v>0.68</v>
      </c>
      <c r="K1481" s="9">
        <v>10.6</v>
      </c>
      <c r="L1481" s="9">
        <v>5</v>
      </c>
    </row>
    <row r="1482" spans="1:12" x14ac:dyDescent="0.3">
      <c r="A1482" s="9">
        <v>5.6</v>
      </c>
      <c r="B1482" s="9">
        <v>0.62</v>
      </c>
      <c r="C1482" s="9">
        <v>0.03</v>
      </c>
      <c r="D1482" s="9">
        <v>1.5</v>
      </c>
      <c r="E1482" s="9">
        <v>0.08</v>
      </c>
      <c r="F1482" s="9">
        <v>6</v>
      </c>
      <c r="G1482" s="9">
        <v>13</v>
      </c>
      <c r="H1482" s="9">
        <v>0.99497999999999998</v>
      </c>
      <c r="I1482" s="9">
        <v>3.66</v>
      </c>
      <c r="J1482" s="9">
        <v>0.62</v>
      </c>
      <c r="K1482" s="9">
        <v>10.1</v>
      </c>
      <c r="L1482" s="9">
        <v>4</v>
      </c>
    </row>
    <row r="1483" spans="1:12" x14ac:dyDescent="0.3">
      <c r="A1483" s="9">
        <v>8.1999999999999993</v>
      </c>
      <c r="B1483" s="9">
        <v>0.28000000000000003</v>
      </c>
      <c r="C1483" s="9">
        <v>0.6</v>
      </c>
      <c r="D1483" s="9">
        <v>3</v>
      </c>
      <c r="E1483" s="9">
        <v>0.104</v>
      </c>
      <c r="F1483" s="9">
        <v>10</v>
      </c>
      <c r="G1483" s="9">
        <v>22</v>
      </c>
      <c r="H1483" s="9">
        <v>0.99827999999999995</v>
      </c>
      <c r="I1483" s="9">
        <v>3.39</v>
      </c>
      <c r="J1483" s="9">
        <v>0.68</v>
      </c>
      <c r="K1483" s="9">
        <v>10.6</v>
      </c>
      <c r="L1483" s="9">
        <v>5</v>
      </c>
    </row>
    <row r="1484" spans="1:12" x14ac:dyDescent="0.3">
      <c r="A1484" s="9">
        <v>7.2</v>
      </c>
      <c r="B1484" s="9">
        <v>0.57999999999999996</v>
      </c>
      <c r="C1484" s="9">
        <v>0.54</v>
      </c>
      <c r="D1484" s="9">
        <v>2.1</v>
      </c>
      <c r="E1484" s="9">
        <v>0.114</v>
      </c>
      <c r="F1484" s="9">
        <v>3</v>
      </c>
      <c r="G1484" s="9">
        <v>9</v>
      </c>
      <c r="H1484" s="9">
        <v>0.99719000000000002</v>
      </c>
      <c r="I1484" s="9">
        <v>3.33</v>
      </c>
      <c r="J1484" s="9">
        <v>0.56999999999999995</v>
      </c>
      <c r="K1484" s="9">
        <v>10.3</v>
      </c>
      <c r="L1484" s="9">
        <v>4</v>
      </c>
    </row>
    <row r="1485" spans="1:12" x14ac:dyDescent="0.3">
      <c r="A1485" s="9">
        <v>8.1</v>
      </c>
      <c r="B1485" s="9">
        <v>0.33</v>
      </c>
      <c r="C1485" s="9">
        <v>0.44</v>
      </c>
      <c r="D1485" s="9">
        <v>1.5</v>
      </c>
      <c r="E1485" s="9">
        <v>4.2000000000000003E-2</v>
      </c>
      <c r="F1485" s="9">
        <v>6</v>
      </c>
      <c r="G1485" s="9">
        <v>12</v>
      </c>
      <c r="H1485" s="9">
        <v>0.99541999999999997</v>
      </c>
      <c r="I1485" s="9">
        <v>3.35</v>
      </c>
      <c r="J1485" s="9">
        <v>0.61</v>
      </c>
      <c r="K1485" s="9">
        <v>10.7</v>
      </c>
      <c r="L1485" s="9">
        <v>5</v>
      </c>
    </row>
    <row r="1486" spans="1:12" x14ac:dyDescent="0.3">
      <c r="A1486" s="9">
        <v>6.8</v>
      </c>
      <c r="B1486" s="9">
        <v>0.91</v>
      </c>
      <c r="C1486" s="9">
        <v>0.06</v>
      </c>
      <c r="D1486" s="9">
        <v>2</v>
      </c>
      <c r="E1486" s="9">
        <v>0.06</v>
      </c>
      <c r="F1486" s="9">
        <v>4</v>
      </c>
      <c r="G1486" s="9">
        <v>11</v>
      </c>
      <c r="H1486" s="9">
        <v>0.99592000000000003</v>
      </c>
      <c r="I1486" s="9">
        <v>3.53</v>
      </c>
      <c r="J1486" s="9">
        <v>0.64</v>
      </c>
      <c r="K1486" s="9">
        <v>10.9</v>
      </c>
      <c r="L1486" s="9">
        <v>4</v>
      </c>
    </row>
    <row r="1487" spans="1:12" x14ac:dyDescent="0.3">
      <c r="A1487" s="9">
        <v>7</v>
      </c>
      <c r="B1487" s="9">
        <v>0.65500000000000003</v>
      </c>
      <c r="C1487" s="9">
        <v>0.16</v>
      </c>
      <c r="D1487" s="9">
        <v>2.1</v>
      </c>
      <c r="E1487" s="9">
        <v>7.3999999999999996E-2</v>
      </c>
      <c r="F1487" s="9">
        <v>8</v>
      </c>
      <c r="G1487" s="9">
        <v>25</v>
      </c>
      <c r="H1487" s="9">
        <v>0.99605999999999995</v>
      </c>
      <c r="I1487" s="9">
        <v>3.37</v>
      </c>
      <c r="J1487" s="9">
        <v>0.55000000000000004</v>
      </c>
      <c r="K1487" s="9">
        <v>9.6999999999999993</v>
      </c>
      <c r="L1487" s="9">
        <v>5</v>
      </c>
    </row>
    <row r="1488" spans="1:12" x14ac:dyDescent="0.3">
      <c r="A1488" s="9">
        <v>6.8</v>
      </c>
      <c r="B1488" s="9">
        <v>0.68</v>
      </c>
      <c r="C1488" s="9">
        <v>0.21</v>
      </c>
      <c r="D1488" s="9">
        <v>2.1</v>
      </c>
      <c r="E1488" s="9">
        <v>7.0000000000000007E-2</v>
      </c>
      <c r="F1488" s="9">
        <v>9</v>
      </c>
      <c r="G1488" s="9">
        <v>23</v>
      </c>
      <c r="H1488" s="9">
        <v>0.99546000000000001</v>
      </c>
      <c r="I1488" s="9">
        <v>3.38</v>
      </c>
      <c r="J1488" s="9">
        <v>0.6</v>
      </c>
      <c r="K1488" s="9">
        <v>10.3</v>
      </c>
      <c r="L1488" s="9">
        <v>5</v>
      </c>
    </row>
    <row r="1489" spans="1:12" x14ac:dyDescent="0.3">
      <c r="A1489" s="9">
        <v>6</v>
      </c>
      <c r="B1489" s="9">
        <v>0.64</v>
      </c>
      <c r="C1489" s="9">
        <v>0.05</v>
      </c>
      <c r="D1489" s="9">
        <v>1.9</v>
      </c>
      <c r="E1489" s="9">
        <v>6.6000000000000003E-2</v>
      </c>
      <c r="F1489" s="9">
        <v>9</v>
      </c>
      <c r="G1489" s="9">
        <v>17</v>
      </c>
      <c r="H1489" s="9">
        <v>0.99495999999999996</v>
      </c>
      <c r="I1489" s="9">
        <v>3.52</v>
      </c>
      <c r="J1489" s="9">
        <v>0.78</v>
      </c>
      <c r="K1489" s="9">
        <v>10.6</v>
      </c>
      <c r="L1489" s="9">
        <v>5</v>
      </c>
    </row>
    <row r="1490" spans="1:12" x14ac:dyDescent="0.3">
      <c r="A1490" s="9">
        <v>5.6</v>
      </c>
      <c r="B1490" s="9">
        <v>0.54</v>
      </c>
      <c r="C1490" s="9">
        <v>0.04</v>
      </c>
      <c r="D1490" s="9">
        <v>1.7</v>
      </c>
      <c r="E1490" s="9">
        <v>4.9000000000000002E-2</v>
      </c>
      <c r="F1490" s="9">
        <v>5</v>
      </c>
      <c r="G1490" s="9">
        <v>13</v>
      </c>
      <c r="H1490" s="9">
        <v>0.99419999999999997</v>
      </c>
      <c r="I1490" s="9">
        <v>3.72</v>
      </c>
      <c r="J1490" s="9">
        <v>0.57999999999999996</v>
      </c>
      <c r="K1490" s="9">
        <v>11.4</v>
      </c>
      <c r="L1490" s="9">
        <v>5</v>
      </c>
    </row>
    <row r="1491" spans="1:12" x14ac:dyDescent="0.3">
      <c r="A1491" s="9">
        <v>6.2</v>
      </c>
      <c r="B1491" s="9">
        <v>0.56999999999999995</v>
      </c>
      <c r="C1491" s="9">
        <v>0.1</v>
      </c>
      <c r="D1491" s="9">
        <v>2.1</v>
      </c>
      <c r="E1491" s="9">
        <v>4.8000000000000001E-2</v>
      </c>
      <c r="F1491" s="9">
        <v>4</v>
      </c>
      <c r="G1491" s="9">
        <v>11</v>
      </c>
      <c r="H1491" s="9">
        <v>0.99448000000000003</v>
      </c>
      <c r="I1491" s="9">
        <v>3.44</v>
      </c>
      <c r="J1491" s="9">
        <v>0.76</v>
      </c>
      <c r="K1491" s="9">
        <v>10.8</v>
      </c>
      <c r="L1491" s="9">
        <v>6</v>
      </c>
    </row>
    <row r="1492" spans="1:12" x14ac:dyDescent="0.3">
      <c r="A1492" s="9">
        <v>7.1</v>
      </c>
      <c r="B1492" s="9">
        <v>0.22</v>
      </c>
      <c r="C1492" s="9">
        <v>0.49</v>
      </c>
      <c r="D1492" s="9">
        <v>1.8</v>
      </c>
      <c r="E1492" s="9">
        <v>3.9E-2</v>
      </c>
      <c r="F1492" s="9">
        <v>8</v>
      </c>
      <c r="G1492" s="9">
        <v>18</v>
      </c>
      <c r="H1492" s="9">
        <v>0.99343999999999999</v>
      </c>
      <c r="I1492" s="9">
        <v>3.39</v>
      </c>
      <c r="J1492" s="9">
        <v>0.56000000000000005</v>
      </c>
      <c r="K1492" s="9">
        <v>12.4</v>
      </c>
      <c r="L1492" s="9">
        <v>6</v>
      </c>
    </row>
    <row r="1493" spans="1:12" x14ac:dyDescent="0.3">
      <c r="A1493" s="9">
        <v>5.6</v>
      </c>
      <c r="B1493" s="9">
        <v>0.54</v>
      </c>
      <c r="C1493" s="9">
        <v>0.04</v>
      </c>
      <c r="D1493" s="9">
        <v>1.7</v>
      </c>
      <c r="E1493" s="9">
        <v>4.9000000000000002E-2</v>
      </c>
      <c r="F1493" s="9">
        <v>5</v>
      </c>
      <c r="G1493" s="9">
        <v>13</v>
      </c>
      <c r="H1493" s="9">
        <v>0.99419999999999997</v>
      </c>
      <c r="I1493" s="9">
        <v>3.72</v>
      </c>
      <c r="J1493" s="9">
        <v>0.57999999999999996</v>
      </c>
      <c r="K1493" s="9">
        <v>11.4</v>
      </c>
      <c r="L1493" s="9">
        <v>5</v>
      </c>
    </row>
    <row r="1494" spans="1:12" x14ac:dyDescent="0.3">
      <c r="A1494" s="9">
        <v>6.2</v>
      </c>
      <c r="B1494" s="9">
        <v>0.65</v>
      </c>
      <c r="C1494" s="9">
        <v>0.06</v>
      </c>
      <c r="D1494" s="9">
        <v>1.6</v>
      </c>
      <c r="E1494" s="9">
        <v>0.05</v>
      </c>
      <c r="F1494" s="9">
        <v>6</v>
      </c>
      <c r="G1494" s="9">
        <v>18</v>
      </c>
      <c r="H1494" s="9">
        <v>0.99348000000000003</v>
      </c>
      <c r="I1494" s="9">
        <v>3.57</v>
      </c>
      <c r="J1494" s="9">
        <v>0.54</v>
      </c>
      <c r="K1494" s="9">
        <v>11.95</v>
      </c>
      <c r="L1494" s="9">
        <v>5</v>
      </c>
    </row>
    <row r="1495" spans="1:12" x14ac:dyDescent="0.3">
      <c r="A1495" s="9">
        <v>7.7</v>
      </c>
      <c r="B1495" s="9">
        <v>0.54</v>
      </c>
      <c r="C1495" s="9">
        <v>0.26</v>
      </c>
      <c r="D1495" s="9">
        <v>1.9</v>
      </c>
      <c r="E1495" s="9">
        <v>8.8999999999999996E-2</v>
      </c>
      <c r="F1495" s="9">
        <v>23</v>
      </c>
      <c r="G1495" s="9">
        <v>147</v>
      </c>
      <c r="H1495" s="9">
        <v>0.99636000000000002</v>
      </c>
      <c r="I1495" s="9">
        <v>3.26</v>
      </c>
      <c r="J1495" s="9">
        <v>0.59</v>
      </c>
      <c r="K1495" s="9">
        <v>9.6999999999999993</v>
      </c>
      <c r="L1495" s="9">
        <v>5</v>
      </c>
    </row>
    <row r="1496" spans="1:12" x14ac:dyDescent="0.3">
      <c r="A1496" s="9">
        <v>6.4</v>
      </c>
      <c r="B1496" s="9">
        <v>0.31</v>
      </c>
      <c r="C1496" s="9">
        <v>0.09</v>
      </c>
      <c r="D1496" s="9">
        <v>1.4</v>
      </c>
      <c r="E1496" s="9">
        <v>6.6000000000000003E-2</v>
      </c>
      <c r="F1496" s="9">
        <v>15</v>
      </c>
      <c r="G1496" s="9">
        <v>28</v>
      </c>
      <c r="H1496" s="9">
        <v>0.99458999999999997</v>
      </c>
      <c r="I1496" s="9">
        <v>3.42</v>
      </c>
      <c r="J1496" s="9">
        <v>0.7</v>
      </c>
      <c r="K1496" s="9">
        <v>10</v>
      </c>
      <c r="L1496" s="9">
        <v>7</v>
      </c>
    </row>
    <row r="1497" spans="1:12" x14ac:dyDescent="0.3">
      <c r="A1497" s="9">
        <v>7</v>
      </c>
      <c r="B1497" s="9">
        <v>0.43</v>
      </c>
      <c r="C1497" s="9">
        <v>0.02</v>
      </c>
      <c r="D1497" s="9">
        <v>1.9</v>
      </c>
      <c r="E1497" s="9">
        <v>0.08</v>
      </c>
      <c r="F1497" s="9">
        <v>15</v>
      </c>
      <c r="G1497" s="9">
        <v>28</v>
      </c>
      <c r="H1497" s="9">
        <v>0.99492000000000003</v>
      </c>
      <c r="I1497" s="9">
        <v>3.35</v>
      </c>
      <c r="J1497" s="9">
        <v>0.81</v>
      </c>
      <c r="K1497" s="9">
        <v>10.6</v>
      </c>
      <c r="L1497" s="9">
        <v>6</v>
      </c>
    </row>
    <row r="1498" spans="1:12" x14ac:dyDescent="0.3">
      <c r="A1498" s="9">
        <v>7.7</v>
      </c>
      <c r="B1498" s="9">
        <v>0.54</v>
      </c>
      <c r="C1498" s="9">
        <v>0.26</v>
      </c>
      <c r="D1498" s="9">
        <v>1.9</v>
      </c>
      <c r="E1498" s="9">
        <v>8.8999999999999996E-2</v>
      </c>
      <c r="F1498" s="9">
        <v>23</v>
      </c>
      <c r="G1498" s="9">
        <v>147</v>
      </c>
      <c r="H1498" s="9">
        <v>0.99636000000000002</v>
      </c>
      <c r="I1498" s="9">
        <v>3.26</v>
      </c>
      <c r="J1498" s="9">
        <v>0.59</v>
      </c>
      <c r="K1498" s="9">
        <v>9.6999999999999993</v>
      </c>
      <c r="L1498" s="9">
        <v>5</v>
      </c>
    </row>
    <row r="1499" spans="1:12" x14ac:dyDescent="0.3">
      <c r="A1499" s="9">
        <v>6.9</v>
      </c>
      <c r="B1499" s="9">
        <v>0.74</v>
      </c>
      <c r="C1499" s="9">
        <v>0.03</v>
      </c>
      <c r="D1499" s="9">
        <v>2.2999999999999998</v>
      </c>
      <c r="E1499" s="9">
        <v>5.3999999999999999E-2</v>
      </c>
      <c r="F1499" s="9">
        <v>7</v>
      </c>
      <c r="G1499" s="9">
        <v>16</v>
      </c>
      <c r="H1499" s="9">
        <v>0.99507999999999996</v>
      </c>
      <c r="I1499" s="9">
        <v>3.45</v>
      </c>
      <c r="J1499" s="9">
        <v>0.63</v>
      </c>
      <c r="K1499" s="9">
        <v>11.5</v>
      </c>
      <c r="L1499" s="9">
        <v>6</v>
      </c>
    </row>
    <row r="1500" spans="1:12" x14ac:dyDescent="0.3">
      <c r="A1500" s="9">
        <v>6.6</v>
      </c>
      <c r="B1500" s="9">
        <v>0.89500000000000002</v>
      </c>
      <c r="C1500" s="9">
        <v>0.04</v>
      </c>
      <c r="D1500" s="9">
        <v>2.2999999999999998</v>
      </c>
      <c r="E1500" s="9">
        <v>6.8000000000000005E-2</v>
      </c>
      <c r="F1500" s="9">
        <v>7</v>
      </c>
      <c r="G1500" s="9">
        <v>13</v>
      </c>
      <c r="H1500" s="9">
        <v>0.99582000000000004</v>
      </c>
      <c r="I1500" s="9">
        <v>3.53</v>
      </c>
      <c r="J1500" s="9">
        <v>0.57999999999999996</v>
      </c>
      <c r="K1500" s="9">
        <v>10.8</v>
      </c>
      <c r="L1500" s="9">
        <v>6</v>
      </c>
    </row>
    <row r="1501" spans="1:12" x14ac:dyDescent="0.3">
      <c r="A1501" s="9">
        <v>6.9</v>
      </c>
      <c r="B1501" s="9">
        <v>0.74</v>
      </c>
      <c r="C1501" s="9">
        <v>0.03</v>
      </c>
      <c r="D1501" s="9">
        <v>2.2999999999999998</v>
      </c>
      <c r="E1501" s="9">
        <v>5.3999999999999999E-2</v>
      </c>
      <c r="F1501" s="9">
        <v>7</v>
      </c>
      <c r="G1501" s="9">
        <v>16</v>
      </c>
      <c r="H1501" s="9">
        <v>0.99507999999999996</v>
      </c>
      <c r="I1501" s="9">
        <v>3.45</v>
      </c>
      <c r="J1501" s="9">
        <v>0.63</v>
      </c>
      <c r="K1501" s="9">
        <v>11.5</v>
      </c>
      <c r="L1501" s="9">
        <v>6</v>
      </c>
    </row>
    <row r="1502" spans="1:12" x14ac:dyDescent="0.3">
      <c r="A1502" s="9">
        <v>7.5</v>
      </c>
      <c r="B1502" s="9">
        <v>0.72499999999999998</v>
      </c>
      <c r="C1502" s="9">
        <v>0.04</v>
      </c>
      <c r="D1502" s="9">
        <v>1.5</v>
      </c>
      <c r="E1502" s="9">
        <v>7.5999999999999998E-2</v>
      </c>
      <c r="F1502" s="9">
        <v>8</v>
      </c>
      <c r="G1502" s="9">
        <v>15</v>
      </c>
      <c r="H1502" s="9">
        <v>0.99507999999999996</v>
      </c>
      <c r="I1502" s="9">
        <v>3.26</v>
      </c>
      <c r="J1502" s="9">
        <v>0.53</v>
      </c>
      <c r="K1502" s="9">
        <v>9.6</v>
      </c>
      <c r="L1502" s="9">
        <v>5</v>
      </c>
    </row>
    <row r="1503" spans="1:12" x14ac:dyDescent="0.3">
      <c r="A1503" s="9">
        <v>7.8</v>
      </c>
      <c r="B1503" s="9">
        <v>0.82</v>
      </c>
      <c r="C1503" s="9">
        <v>0.28999999999999998</v>
      </c>
      <c r="D1503" s="9">
        <v>4.3</v>
      </c>
      <c r="E1503" s="9">
        <v>8.3000000000000004E-2</v>
      </c>
      <c r="F1503" s="9">
        <v>21</v>
      </c>
      <c r="G1503" s="9">
        <v>64</v>
      </c>
      <c r="H1503" s="9">
        <v>0.99641999999999997</v>
      </c>
      <c r="I1503" s="9">
        <v>3.16</v>
      </c>
      <c r="J1503" s="9">
        <v>0.53</v>
      </c>
      <c r="K1503" s="9">
        <v>9.4</v>
      </c>
      <c r="L1503" s="9">
        <v>5</v>
      </c>
    </row>
    <row r="1504" spans="1:12" x14ac:dyDescent="0.3">
      <c r="A1504" s="9">
        <v>7.3</v>
      </c>
      <c r="B1504" s="9">
        <v>0.58499999999999996</v>
      </c>
      <c r="C1504" s="9">
        <v>0.18</v>
      </c>
      <c r="D1504" s="9">
        <v>2.4</v>
      </c>
      <c r="E1504" s="9">
        <v>7.8E-2</v>
      </c>
      <c r="F1504" s="9">
        <v>15</v>
      </c>
      <c r="G1504" s="9">
        <v>60</v>
      </c>
      <c r="H1504" s="9">
        <v>0.99638000000000004</v>
      </c>
      <c r="I1504" s="9">
        <v>3.31</v>
      </c>
      <c r="J1504" s="9">
        <v>0.54</v>
      </c>
      <c r="K1504" s="9">
        <v>9.8000000000000007</v>
      </c>
      <c r="L1504" s="9">
        <v>5</v>
      </c>
    </row>
    <row r="1505" spans="1:12" x14ac:dyDescent="0.3">
      <c r="A1505" s="9">
        <v>6.2</v>
      </c>
      <c r="B1505" s="9">
        <v>0.44</v>
      </c>
      <c r="C1505" s="9">
        <v>0.39</v>
      </c>
      <c r="D1505" s="9">
        <v>2.5</v>
      </c>
      <c r="E1505" s="9">
        <v>7.6999999999999999E-2</v>
      </c>
      <c r="F1505" s="9">
        <v>6</v>
      </c>
      <c r="G1505" s="9">
        <v>14</v>
      </c>
      <c r="H1505" s="9">
        <v>0.99555000000000005</v>
      </c>
      <c r="I1505" s="9">
        <v>3.51</v>
      </c>
      <c r="J1505" s="9">
        <v>0.69</v>
      </c>
      <c r="K1505" s="9">
        <v>11</v>
      </c>
      <c r="L1505" s="9">
        <v>6</v>
      </c>
    </row>
    <row r="1506" spans="1:12" x14ac:dyDescent="0.3">
      <c r="A1506" s="9">
        <v>7.5</v>
      </c>
      <c r="B1506" s="9">
        <v>0.38</v>
      </c>
      <c r="C1506" s="9">
        <v>0.56999999999999995</v>
      </c>
      <c r="D1506" s="9">
        <v>2.2999999999999998</v>
      </c>
      <c r="E1506" s="9">
        <v>0.106</v>
      </c>
      <c r="F1506" s="9">
        <v>5</v>
      </c>
      <c r="G1506" s="9">
        <v>12</v>
      </c>
      <c r="H1506" s="9">
        <v>0.99604999999999999</v>
      </c>
      <c r="I1506" s="9">
        <v>3.36</v>
      </c>
      <c r="J1506" s="9">
        <v>0.55000000000000004</v>
      </c>
      <c r="K1506" s="9">
        <v>11.4</v>
      </c>
      <c r="L1506" s="9">
        <v>6</v>
      </c>
    </row>
    <row r="1507" spans="1:12" x14ac:dyDescent="0.3">
      <c r="A1507" s="9">
        <v>6.7</v>
      </c>
      <c r="B1507" s="9">
        <v>0.76</v>
      </c>
      <c r="C1507" s="9">
        <v>0.02</v>
      </c>
      <c r="D1507" s="9">
        <v>1.8</v>
      </c>
      <c r="E1507" s="9">
        <v>7.8E-2</v>
      </c>
      <c r="F1507" s="9">
        <v>6</v>
      </c>
      <c r="G1507" s="9">
        <v>12</v>
      </c>
      <c r="H1507" s="9">
        <v>0.996</v>
      </c>
      <c r="I1507" s="9">
        <v>3.55</v>
      </c>
      <c r="J1507" s="9">
        <v>0.63</v>
      </c>
      <c r="K1507" s="9">
        <v>9.9499999999999993</v>
      </c>
      <c r="L1507" s="9">
        <v>3</v>
      </c>
    </row>
    <row r="1508" spans="1:12" x14ac:dyDescent="0.3">
      <c r="A1508" s="9">
        <v>6.8</v>
      </c>
      <c r="B1508" s="9">
        <v>0.81</v>
      </c>
      <c r="C1508" s="9">
        <v>0.05</v>
      </c>
      <c r="D1508" s="9">
        <v>2</v>
      </c>
      <c r="E1508" s="9">
        <v>7.0000000000000007E-2</v>
      </c>
      <c r="F1508" s="9">
        <v>6</v>
      </c>
      <c r="G1508" s="9">
        <v>14</v>
      </c>
      <c r="H1508" s="9">
        <v>0.99561999999999995</v>
      </c>
      <c r="I1508" s="9">
        <v>3.51</v>
      </c>
      <c r="J1508" s="9">
        <v>0.66</v>
      </c>
      <c r="K1508" s="9">
        <v>10.8</v>
      </c>
      <c r="L1508" s="9">
        <v>6</v>
      </c>
    </row>
    <row r="1509" spans="1:12" x14ac:dyDescent="0.3">
      <c r="A1509" s="9">
        <v>7.5</v>
      </c>
      <c r="B1509" s="9">
        <v>0.38</v>
      </c>
      <c r="C1509" s="9">
        <v>0.56999999999999995</v>
      </c>
      <c r="D1509" s="9">
        <v>2.2999999999999998</v>
      </c>
      <c r="E1509" s="9">
        <v>0.106</v>
      </c>
      <c r="F1509" s="9">
        <v>5</v>
      </c>
      <c r="G1509" s="9">
        <v>12</v>
      </c>
      <c r="H1509" s="9">
        <v>0.99604999999999999</v>
      </c>
      <c r="I1509" s="9">
        <v>3.36</v>
      </c>
      <c r="J1509" s="9">
        <v>0.55000000000000004</v>
      </c>
      <c r="K1509" s="9">
        <v>11.4</v>
      </c>
      <c r="L1509" s="9">
        <v>6</v>
      </c>
    </row>
    <row r="1510" spans="1:12" x14ac:dyDescent="0.3">
      <c r="A1510" s="9">
        <v>7.1</v>
      </c>
      <c r="B1510" s="9">
        <v>0.27</v>
      </c>
      <c r="C1510" s="9">
        <v>0.6</v>
      </c>
      <c r="D1510" s="9">
        <v>2.1</v>
      </c>
      <c r="E1510" s="9">
        <v>7.3999999999999996E-2</v>
      </c>
      <c r="F1510" s="9">
        <v>17</v>
      </c>
      <c r="G1510" s="9">
        <v>25</v>
      </c>
      <c r="H1510" s="9">
        <v>0.99814000000000003</v>
      </c>
      <c r="I1510" s="9">
        <v>3.38</v>
      </c>
      <c r="J1510" s="9">
        <v>0.72</v>
      </c>
      <c r="K1510" s="9">
        <v>10.6</v>
      </c>
      <c r="L1510" s="9">
        <v>6</v>
      </c>
    </row>
    <row r="1511" spans="1:12" x14ac:dyDescent="0.3">
      <c r="A1511" s="9">
        <v>7.9</v>
      </c>
      <c r="B1511" s="9">
        <v>0.18</v>
      </c>
      <c r="C1511" s="9">
        <v>0.4</v>
      </c>
      <c r="D1511" s="9">
        <v>1.8</v>
      </c>
      <c r="E1511" s="9">
        <v>6.2E-2</v>
      </c>
      <c r="F1511" s="9">
        <v>7</v>
      </c>
      <c r="G1511" s="9">
        <v>20</v>
      </c>
      <c r="H1511" s="9">
        <v>0.99409999999999998</v>
      </c>
      <c r="I1511" s="9">
        <v>3.28</v>
      </c>
      <c r="J1511" s="9">
        <v>0.7</v>
      </c>
      <c r="K1511" s="9">
        <v>11.1</v>
      </c>
      <c r="L1511" s="9">
        <v>5</v>
      </c>
    </row>
    <row r="1512" spans="1:12" x14ac:dyDescent="0.3">
      <c r="A1512" s="9">
        <v>6.4</v>
      </c>
      <c r="B1512" s="9">
        <v>0.36</v>
      </c>
      <c r="C1512" s="9">
        <v>0.21</v>
      </c>
      <c r="D1512" s="9">
        <v>2.2000000000000002</v>
      </c>
      <c r="E1512" s="9">
        <v>4.7E-2</v>
      </c>
      <c r="F1512" s="9">
        <v>26</v>
      </c>
      <c r="G1512" s="9">
        <v>48</v>
      </c>
      <c r="H1512" s="9">
        <v>0.99661</v>
      </c>
      <c r="I1512" s="9">
        <v>3.47</v>
      </c>
      <c r="J1512" s="9">
        <v>0.77</v>
      </c>
      <c r="K1512" s="9">
        <v>9.6999999999999993</v>
      </c>
      <c r="L1512" s="9">
        <v>6</v>
      </c>
    </row>
    <row r="1513" spans="1:12" x14ac:dyDescent="0.3">
      <c r="A1513" s="9">
        <v>7.1</v>
      </c>
      <c r="B1513" s="9">
        <v>0.69</v>
      </c>
      <c r="C1513" s="9">
        <v>0.04</v>
      </c>
      <c r="D1513" s="9">
        <v>2.1</v>
      </c>
      <c r="E1513" s="9">
        <v>6.8000000000000005E-2</v>
      </c>
      <c r="F1513" s="9">
        <v>19</v>
      </c>
      <c r="G1513" s="9">
        <v>27</v>
      </c>
      <c r="H1513" s="9">
        <v>0.99712000000000001</v>
      </c>
      <c r="I1513" s="9">
        <v>3.44</v>
      </c>
      <c r="J1513" s="9">
        <v>0.67</v>
      </c>
      <c r="K1513" s="9">
        <v>9.8000000000000007</v>
      </c>
      <c r="L1513" s="9">
        <v>5</v>
      </c>
    </row>
    <row r="1514" spans="1:12" x14ac:dyDescent="0.3">
      <c r="A1514" s="9">
        <v>6.4</v>
      </c>
      <c r="B1514" s="9">
        <v>0.79</v>
      </c>
      <c r="C1514" s="9">
        <v>0.04</v>
      </c>
      <c r="D1514" s="9">
        <v>2.2000000000000002</v>
      </c>
      <c r="E1514" s="9">
        <v>6.0999999999999999E-2</v>
      </c>
      <c r="F1514" s="9">
        <v>11</v>
      </c>
      <c r="G1514" s="9">
        <v>17</v>
      </c>
      <c r="H1514" s="9">
        <v>0.99587999999999999</v>
      </c>
      <c r="I1514" s="9">
        <v>3.53</v>
      </c>
      <c r="J1514" s="9">
        <v>0.65</v>
      </c>
      <c r="K1514" s="9">
        <v>10.4</v>
      </c>
      <c r="L1514" s="9">
        <v>6</v>
      </c>
    </row>
    <row r="1515" spans="1:12" x14ac:dyDescent="0.3">
      <c r="A1515" s="9">
        <v>6.4</v>
      </c>
      <c r="B1515" s="9">
        <v>0.56000000000000005</v>
      </c>
      <c r="C1515" s="9">
        <v>0.15</v>
      </c>
      <c r="D1515" s="9">
        <v>1.8</v>
      </c>
      <c r="E1515" s="9">
        <v>7.8E-2</v>
      </c>
      <c r="F1515" s="9">
        <v>17</v>
      </c>
      <c r="G1515" s="9">
        <v>65</v>
      </c>
      <c r="H1515" s="9">
        <v>0.99294000000000004</v>
      </c>
      <c r="I1515" s="9">
        <v>3.33</v>
      </c>
      <c r="J1515" s="9">
        <v>0.6</v>
      </c>
      <c r="K1515" s="9">
        <v>10.5</v>
      </c>
      <c r="L1515" s="9">
        <v>6</v>
      </c>
    </row>
    <row r="1516" spans="1:12" x14ac:dyDescent="0.3">
      <c r="A1516" s="9">
        <v>6.9</v>
      </c>
      <c r="B1516" s="9">
        <v>0.84</v>
      </c>
      <c r="C1516" s="9">
        <v>0.21</v>
      </c>
      <c r="D1516" s="9">
        <v>4.0999999999999996</v>
      </c>
      <c r="E1516" s="9">
        <v>7.3999999999999996E-2</v>
      </c>
      <c r="F1516" s="9">
        <v>16</v>
      </c>
      <c r="G1516" s="9">
        <v>65</v>
      </c>
      <c r="H1516" s="9">
        <v>0.99841999999999997</v>
      </c>
      <c r="I1516" s="9">
        <v>3.53</v>
      </c>
      <c r="J1516" s="9">
        <v>0.72</v>
      </c>
      <c r="K1516" s="9">
        <v>9.2333333333333307</v>
      </c>
      <c r="L1516" s="9">
        <v>6</v>
      </c>
    </row>
    <row r="1517" spans="1:12" x14ac:dyDescent="0.3">
      <c r="A1517" s="9">
        <v>6.9</v>
      </c>
      <c r="B1517" s="9">
        <v>0.84</v>
      </c>
      <c r="C1517" s="9">
        <v>0.21</v>
      </c>
      <c r="D1517" s="9">
        <v>4.0999999999999996</v>
      </c>
      <c r="E1517" s="9">
        <v>7.3999999999999996E-2</v>
      </c>
      <c r="F1517" s="9">
        <v>16</v>
      </c>
      <c r="G1517" s="9">
        <v>65</v>
      </c>
      <c r="H1517" s="9">
        <v>0.99841999999999997</v>
      </c>
      <c r="I1517" s="9">
        <v>3.53</v>
      </c>
      <c r="J1517" s="9">
        <v>0.72</v>
      </c>
      <c r="K1517" s="9">
        <v>9.25</v>
      </c>
      <c r="L1517" s="9">
        <v>6</v>
      </c>
    </row>
    <row r="1518" spans="1:12" x14ac:dyDescent="0.3">
      <c r="A1518" s="9">
        <v>6.1</v>
      </c>
      <c r="B1518" s="9">
        <v>0.32</v>
      </c>
      <c r="C1518" s="9">
        <v>0.25</v>
      </c>
      <c r="D1518" s="9">
        <v>2.2999999999999998</v>
      </c>
      <c r="E1518" s="9">
        <v>7.0999999999999994E-2</v>
      </c>
      <c r="F1518" s="9">
        <v>23</v>
      </c>
      <c r="G1518" s="9">
        <v>58</v>
      </c>
      <c r="H1518" s="9">
        <v>0.99633000000000005</v>
      </c>
      <c r="I1518" s="9">
        <v>3.42</v>
      </c>
      <c r="J1518" s="9">
        <v>0.97</v>
      </c>
      <c r="K1518" s="9">
        <v>10.6</v>
      </c>
      <c r="L1518" s="9">
        <v>5</v>
      </c>
    </row>
    <row r="1519" spans="1:12" x14ac:dyDescent="0.3">
      <c r="A1519" s="9">
        <v>6.5</v>
      </c>
      <c r="B1519" s="9">
        <v>0.53</v>
      </c>
      <c r="C1519" s="9">
        <v>0.06</v>
      </c>
      <c r="D1519" s="9">
        <v>2</v>
      </c>
      <c r="E1519" s="9">
        <v>6.3E-2</v>
      </c>
      <c r="F1519" s="9">
        <v>29</v>
      </c>
      <c r="G1519" s="9">
        <v>44</v>
      </c>
      <c r="H1519" s="9">
        <v>0.99489000000000005</v>
      </c>
      <c r="I1519" s="9">
        <v>3.38</v>
      </c>
      <c r="J1519" s="9">
        <v>0.83</v>
      </c>
      <c r="K1519" s="9">
        <v>10.3</v>
      </c>
      <c r="L1519" s="9">
        <v>6</v>
      </c>
    </row>
    <row r="1520" spans="1:12" x14ac:dyDescent="0.3">
      <c r="A1520" s="9">
        <v>7.4</v>
      </c>
      <c r="B1520" s="9">
        <v>0.47</v>
      </c>
      <c r="C1520" s="9">
        <v>0.46</v>
      </c>
      <c r="D1520" s="9">
        <v>2.2000000000000002</v>
      </c>
      <c r="E1520" s="9">
        <v>0.114</v>
      </c>
      <c r="F1520" s="9">
        <v>7</v>
      </c>
      <c r="G1520" s="9">
        <v>20</v>
      </c>
      <c r="H1520" s="9">
        <v>0.99646999999999997</v>
      </c>
      <c r="I1520" s="9">
        <v>3.32</v>
      </c>
      <c r="J1520" s="9">
        <v>0.63</v>
      </c>
      <c r="K1520" s="9">
        <v>10.5</v>
      </c>
      <c r="L1520" s="9">
        <v>5</v>
      </c>
    </row>
    <row r="1521" spans="1:12" x14ac:dyDescent="0.3">
      <c r="A1521" s="9">
        <v>6.6</v>
      </c>
      <c r="B1521" s="9">
        <v>0.7</v>
      </c>
      <c r="C1521" s="9">
        <v>0.08</v>
      </c>
      <c r="D1521" s="9">
        <v>2.6</v>
      </c>
      <c r="E1521" s="9">
        <v>0.106</v>
      </c>
      <c r="F1521" s="9">
        <v>14</v>
      </c>
      <c r="G1521" s="9">
        <v>27</v>
      </c>
      <c r="H1521" s="9">
        <v>0.99665000000000004</v>
      </c>
      <c r="I1521" s="9">
        <v>3.44</v>
      </c>
      <c r="J1521" s="9">
        <v>0.57999999999999996</v>
      </c>
      <c r="K1521" s="9">
        <v>10.199999999999999</v>
      </c>
      <c r="L1521" s="9">
        <v>5</v>
      </c>
    </row>
    <row r="1522" spans="1:12" x14ac:dyDescent="0.3">
      <c r="A1522" s="9">
        <v>6.5</v>
      </c>
      <c r="B1522" s="9">
        <v>0.53</v>
      </c>
      <c r="C1522" s="9">
        <v>0.06</v>
      </c>
      <c r="D1522" s="9">
        <v>2</v>
      </c>
      <c r="E1522" s="9">
        <v>6.3E-2</v>
      </c>
      <c r="F1522" s="9">
        <v>29</v>
      </c>
      <c r="G1522" s="9">
        <v>44</v>
      </c>
      <c r="H1522" s="9">
        <v>0.99489000000000005</v>
      </c>
      <c r="I1522" s="9">
        <v>3.38</v>
      </c>
      <c r="J1522" s="9">
        <v>0.83</v>
      </c>
      <c r="K1522" s="9">
        <v>10.3</v>
      </c>
      <c r="L1522" s="9">
        <v>6</v>
      </c>
    </row>
    <row r="1523" spans="1:12" x14ac:dyDescent="0.3">
      <c r="A1523" s="9">
        <v>6.9</v>
      </c>
      <c r="B1523" s="9">
        <v>0.48</v>
      </c>
      <c r="C1523" s="9">
        <v>0.2</v>
      </c>
      <c r="D1523" s="9">
        <v>1.9</v>
      </c>
      <c r="E1523" s="9">
        <v>8.2000000000000003E-2</v>
      </c>
      <c r="F1523" s="9">
        <v>9</v>
      </c>
      <c r="G1523" s="9">
        <v>23</v>
      </c>
      <c r="H1523" s="9">
        <v>0.99585000000000001</v>
      </c>
      <c r="I1523" s="9">
        <v>3.39</v>
      </c>
      <c r="J1523" s="9">
        <v>0.43</v>
      </c>
      <c r="K1523" s="9">
        <v>9.0500000000000007</v>
      </c>
      <c r="L1523" s="9">
        <v>4</v>
      </c>
    </row>
    <row r="1524" spans="1:12" x14ac:dyDescent="0.3">
      <c r="A1524" s="9">
        <v>6.1</v>
      </c>
      <c r="B1524" s="9">
        <v>0.32</v>
      </c>
      <c r="C1524" s="9">
        <v>0.25</v>
      </c>
      <c r="D1524" s="9">
        <v>2.2999999999999998</v>
      </c>
      <c r="E1524" s="9">
        <v>7.0999999999999994E-2</v>
      </c>
      <c r="F1524" s="9">
        <v>23</v>
      </c>
      <c r="G1524" s="9">
        <v>58</v>
      </c>
      <c r="H1524" s="9">
        <v>0.99633000000000005</v>
      </c>
      <c r="I1524" s="9">
        <v>3.42</v>
      </c>
      <c r="J1524" s="9">
        <v>0.97</v>
      </c>
      <c r="K1524" s="9">
        <v>10.6</v>
      </c>
      <c r="L1524" s="9">
        <v>5</v>
      </c>
    </row>
    <row r="1525" spans="1:12" x14ac:dyDescent="0.3">
      <c r="A1525" s="9">
        <v>6.8</v>
      </c>
      <c r="B1525" s="9">
        <v>0.48</v>
      </c>
      <c r="C1525" s="9">
        <v>0.25</v>
      </c>
      <c r="D1525" s="9">
        <v>2</v>
      </c>
      <c r="E1525" s="9">
        <v>7.5999999999999998E-2</v>
      </c>
      <c r="F1525" s="9">
        <v>29</v>
      </c>
      <c r="G1525" s="9">
        <v>61</v>
      </c>
      <c r="H1525" s="9">
        <v>0.99529999999999996</v>
      </c>
      <c r="I1525" s="9">
        <v>3.34</v>
      </c>
      <c r="J1525" s="9">
        <v>0.6</v>
      </c>
      <c r="K1525" s="9">
        <v>10.4</v>
      </c>
      <c r="L1525" s="9">
        <v>5</v>
      </c>
    </row>
    <row r="1526" spans="1:12" x14ac:dyDescent="0.3">
      <c r="A1526" s="9">
        <v>6</v>
      </c>
      <c r="B1526" s="9">
        <v>0.42</v>
      </c>
      <c r="C1526" s="9">
        <v>0.19</v>
      </c>
      <c r="D1526" s="9">
        <v>2</v>
      </c>
      <c r="E1526" s="9">
        <v>7.4999999999999997E-2</v>
      </c>
      <c r="F1526" s="9">
        <v>22</v>
      </c>
      <c r="G1526" s="9">
        <v>47</v>
      </c>
      <c r="H1526" s="9">
        <v>0.99521999999999999</v>
      </c>
      <c r="I1526" s="9">
        <v>3.39</v>
      </c>
      <c r="J1526" s="9">
        <v>0.78</v>
      </c>
      <c r="K1526" s="9">
        <v>10</v>
      </c>
      <c r="L1526" s="9">
        <v>6</v>
      </c>
    </row>
    <row r="1527" spans="1:12" x14ac:dyDescent="0.3">
      <c r="A1527" s="9">
        <v>6.7</v>
      </c>
      <c r="B1527" s="9">
        <v>0.48</v>
      </c>
      <c r="C1527" s="9">
        <v>0.08</v>
      </c>
      <c r="D1527" s="9">
        <v>2.1</v>
      </c>
      <c r="E1527" s="9">
        <v>6.4000000000000001E-2</v>
      </c>
      <c r="F1527" s="9">
        <v>18</v>
      </c>
      <c r="G1527" s="9">
        <v>34</v>
      </c>
      <c r="H1527" s="9">
        <v>0.99551999999999996</v>
      </c>
      <c r="I1527" s="9">
        <v>3.33</v>
      </c>
      <c r="J1527" s="9">
        <v>0.64</v>
      </c>
      <c r="K1527" s="9">
        <v>9.6999999999999993</v>
      </c>
      <c r="L1527" s="9">
        <v>5</v>
      </c>
    </row>
    <row r="1528" spans="1:12" x14ac:dyDescent="0.3">
      <c r="A1528" s="9">
        <v>6.8</v>
      </c>
      <c r="B1528" s="9">
        <v>0.47</v>
      </c>
      <c r="C1528" s="9">
        <v>0.08</v>
      </c>
      <c r="D1528" s="9">
        <v>2.2000000000000002</v>
      </c>
      <c r="E1528" s="9">
        <v>6.4000000000000001E-2</v>
      </c>
      <c r="F1528" s="9">
        <v>18</v>
      </c>
      <c r="G1528" s="9">
        <v>38</v>
      </c>
      <c r="H1528" s="9">
        <v>0.99553000000000003</v>
      </c>
      <c r="I1528" s="9">
        <v>3.3</v>
      </c>
      <c r="J1528" s="9">
        <v>0.65</v>
      </c>
      <c r="K1528" s="9">
        <v>9.6</v>
      </c>
      <c r="L1528" s="9">
        <v>6</v>
      </c>
    </row>
    <row r="1529" spans="1:12" x14ac:dyDescent="0.3">
      <c r="A1529" s="9">
        <v>7.1</v>
      </c>
      <c r="B1529" s="9">
        <v>0.53</v>
      </c>
      <c r="C1529" s="9">
        <v>7.0000000000000007E-2</v>
      </c>
      <c r="D1529" s="9">
        <v>1.7</v>
      </c>
      <c r="E1529" s="9">
        <v>7.0999999999999994E-2</v>
      </c>
      <c r="F1529" s="9">
        <v>15</v>
      </c>
      <c r="G1529" s="9">
        <v>24</v>
      </c>
      <c r="H1529" s="9">
        <v>0.99509999999999998</v>
      </c>
      <c r="I1529" s="9">
        <v>3.29</v>
      </c>
      <c r="J1529" s="9">
        <v>0.66</v>
      </c>
      <c r="K1529" s="9">
        <v>10.8</v>
      </c>
      <c r="L1529" s="9">
        <v>6</v>
      </c>
    </row>
    <row r="1530" spans="1:12" x14ac:dyDescent="0.3">
      <c r="A1530" s="9">
        <v>7.9</v>
      </c>
      <c r="B1530" s="9">
        <v>0.28999999999999998</v>
      </c>
      <c r="C1530" s="9">
        <v>0.49</v>
      </c>
      <c r="D1530" s="9">
        <v>2.2000000000000002</v>
      </c>
      <c r="E1530" s="9">
        <v>9.6000000000000002E-2</v>
      </c>
      <c r="F1530" s="9">
        <v>21</v>
      </c>
      <c r="G1530" s="9">
        <v>59</v>
      </c>
      <c r="H1530" s="9">
        <v>0.99714000000000003</v>
      </c>
      <c r="I1530" s="9">
        <v>3.31</v>
      </c>
      <c r="J1530" s="9">
        <v>0.67</v>
      </c>
      <c r="K1530" s="9">
        <v>10.1</v>
      </c>
      <c r="L1530" s="9">
        <v>6</v>
      </c>
    </row>
    <row r="1531" spans="1:12" x14ac:dyDescent="0.3">
      <c r="A1531" s="9">
        <v>7.1</v>
      </c>
      <c r="B1531" s="9">
        <v>0.69</v>
      </c>
      <c r="C1531" s="9">
        <v>0.08</v>
      </c>
      <c r="D1531" s="9">
        <v>2.1</v>
      </c>
      <c r="E1531" s="9">
        <v>6.3E-2</v>
      </c>
      <c r="F1531" s="9">
        <v>42</v>
      </c>
      <c r="G1531" s="9">
        <v>52</v>
      </c>
      <c r="H1531" s="9">
        <v>0.99607999999999997</v>
      </c>
      <c r="I1531" s="9">
        <v>3.42</v>
      </c>
      <c r="J1531" s="9">
        <v>0.6</v>
      </c>
      <c r="K1531" s="9">
        <v>10.199999999999999</v>
      </c>
      <c r="L1531" s="9">
        <v>6</v>
      </c>
    </row>
    <row r="1532" spans="1:12" x14ac:dyDescent="0.3">
      <c r="A1532" s="9">
        <v>6.6</v>
      </c>
      <c r="B1532" s="9">
        <v>0.44</v>
      </c>
      <c r="C1532" s="9">
        <v>0.09</v>
      </c>
      <c r="D1532" s="9">
        <v>2.2000000000000002</v>
      </c>
      <c r="E1532" s="9">
        <v>6.3E-2</v>
      </c>
      <c r="F1532" s="9">
        <v>9</v>
      </c>
      <c r="G1532" s="9">
        <v>18</v>
      </c>
      <c r="H1532" s="9">
        <v>0.99443999999999999</v>
      </c>
      <c r="I1532" s="9">
        <v>3.42</v>
      </c>
      <c r="J1532" s="9">
        <v>0.69</v>
      </c>
      <c r="K1532" s="9">
        <v>11.3</v>
      </c>
      <c r="L1532" s="9">
        <v>6</v>
      </c>
    </row>
    <row r="1533" spans="1:12" x14ac:dyDescent="0.3">
      <c r="A1533" s="9">
        <v>6.1</v>
      </c>
      <c r="B1533" s="9">
        <v>0.70499999999999996</v>
      </c>
      <c r="C1533" s="9">
        <v>0.1</v>
      </c>
      <c r="D1533" s="9">
        <v>2.8</v>
      </c>
      <c r="E1533" s="9">
        <v>8.1000000000000003E-2</v>
      </c>
      <c r="F1533" s="9">
        <v>13</v>
      </c>
      <c r="G1533" s="9">
        <v>28</v>
      </c>
      <c r="H1533" s="9">
        <v>0.99631000000000003</v>
      </c>
      <c r="I1533" s="9">
        <v>3.6</v>
      </c>
      <c r="J1533" s="9">
        <v>0.66</v>
      </c>
      <c r="K1533" s="9">
        <v>10.199999999999999</v>
      </c>
      <c r="L1533" s="9">
        <v>5</v>
      </c>
    </row>
    <row r="1534" spans="1:12" x14ac:dyDescent="0.3">
      <c r="A1534" s="9">
        <v>7.2</v>
      </c>
      <c r="B1534" s="9">
        <v>0.53</v>
      </c>
      <c r="C1534" s="9">
        <v>0.13</v>
      </c>
      <c r="D1534" s="9">
        <v>2</v>
      </c>
      <c r="E1534" s="9">
        <v>5.8000000000000003E-2</v>
      </c>
      <c r="F1534" s="9">
        <v>18</v>
      </c>
      <c r="G1534" s="9">
        <v>22</v>
      </c>
      <c r="H1534" s="9">
        <v>0.99573</v>
      </c>
      <c r="I1534" s="9">
        <v>3.21</v>
      </c>
      <c r="J1534" s="9">
        <v>0.68</v>
      </c>
      <c r="K1534" s="9">
        <v>9.9</v>
      </c>
      <c r="L1534" s="9">
        <v>6</v>
      </c>
    </row>
    <row r="1535" spans="1:12" x14ac:dyDescent="0.3">
      <c r="A1535" s="9">
        <v>8</v>
      </c>
      <c r="B1535" s="9">
        <v>0.39</v>
      </c>
      <c r="C1535" s="9">
        <v>0.3</v>
      </c>
      <c r="D1535" s="9">
        <v>1.9</v>
      </c>
      <c r="E1535" s="9">
        <v>7.3999999999999996E-2</v>
      </c>
      <c r="F1535" s="9">
        <v>32</v>
      </c>
      <c r="G1535" s="9">
        <v>84</v>
      </c>
      <c r="H1535" s="9">
        <v>0.99717</v>
      </c>
      <c r="I1535" s="9">
        <v>3.39</v>
      </c>
      <c r="J1535" s="9">
        <v>0.61</v>
      </c>
      <c r="K1535" s="9">
        <v>9</v>
      </c>
      <c r="L1535" s="9">
        <v>5</v>
      </c>
    </row>
    <row r="1536" spans="1:12" x14ac:dyDescent="0.3">
      <c r="A1536" s="9">
        <v>6.6</v>
      </c>
      <c r="B1536" s="9">
        <v>0.56000000000000005</v>
      </c>
      <c r="C1536" s="9">
        <v>0.14000000000000001</v>
      </c>
      <c r="D1536" s="9">
        <v>2.4</v>
      </c>
      <c r="E1536" s="9">
        <v>6.4000000000000001E-2</v>
      </c>
      <c r="F1536" s="9">
        <v>13</v>
      </c>
      <c r="G1536" s="9">
        <v>29</v>
      </c>
      <c r="H1536" s="9">
        <v>0.99397000000000002</v>
      </c>
      <c r="I1536" s="9">
        <v>3.42</v>
      </c>
      <c r="J1536" s="9">
        <v>0.62</v>
      </c>
      <c r="K1536" s="9">
        <v>11.7</v>
      </c>
      <c r="L1536" s="9">
        <v>7</v>
      </c>
    </row>
    <row r="1537" spans="1:12" x14ac:dyDescent="0.3">
      <c r="A1537" s="9">
        <v>7</v>
      </c>
      <c r="B1537" s="9">
        <v>0.55000000000000004</v>
      </c>
      <c r="C1537" s="9">
        <v>0.13</v>
      </c>
      <c r="D1537" s="9">
        <v>2.2000000000000002</v>
      </c>
      <c r="E1537" s="9">
        <v>7.4999999999999997E-2</v>
      </c>
      <c r="F1537" s="9">
        <v>15</v>
      </c>
      <c r="G1537" s="9">
        <v>35</v>
      </c>
      <c r="H1537" s="9">
        <v>0.99590000000000001</v>
      </c>
      <c r="I1537" s="9">
        <v>3.36</v>
      </c>
      <c r="J1537" s="9">
        <v>0.59</v>
      </c>
      <c r="K1537" s="9">
        <v>9.6999999999999993</v>
      </c>
      <c r="L1537" s="9">
        <v>6</v>
      </c>
    </row>
    <row r="1538" spans="1:12" x14ac:dyDescent="0.3">
      <c r="A1538" s="9">
        <v>6.1</v>
      </c>
      <c r="B1538" s="9">
        <v>0.53</v>
      </c>
      <c r="C1538" s="9">
        <v>0.08</v>
      </c>
      <c r="D1538" s="9">
        <v>1.9</v>
      </c>
      <c r="E1538" s="9">
        <v>7.6999999999999999E-2</v>
      </c>
      <c r="F1538" s="9">
        <v>24</v>
      </c>
      <c r="G1538" s="9">
        <v>45</v>
      </c>
      <c r="H1538" s="9">
        <v>0.99528000000000005</v>
      </c>
      <c r="I1538" s="9">
        <v>3.6</v>
      </c>
      <c r="J1538" s="9">
        <v>0.68</v>
      </c>
      <c r="K1538" s="9">
        <v>10.3</v>
      </c>
      <c r="L1538" s="9">
        <v>6</v>
      </c>
    </row>
    <row r="1539" spans="1:12" x14ac:dyDescent="0.3">
      <c r="A1539" s="9">
        <v>5.4</v>
      </c>
      <c r="B1539" s="9">
        <v>0.57999999999999996</v>
      </c>
      <c r="C1539" s="9">
        <v>0.08</v>
      </c>
      <c r="D1539" s="9">
        <v>1.9</v>
      </c>
      <c r="E1539" s="9">
        <v>5.8999999999999997E-2</v>
      </c>
      <c r="F1539" s="9">
        <v>20</v>
      </c>
      <c r="G1539" s="9">
        <v>31</v>
      </c>
      <c r="H1539" s="9">
        <v>0.99483999999999995</v>
      </c>
      <c r="I1539" s="9">
        <v>3.5</v>
      </c>
      <c r="J1539" s="9">
        <v>0.64</v>
      </c>
      <c r="K1539" s="9">
        <v>10.199999999999999</v>
      </c>
      <c r="L1539" s="9">
        <v>6</v>
      </c>
    </row>
    <row r="1540" spans="1:12" x14ac:dyDescent="0.3">
      <c r="A1540" s="9">
        <v>6.2</v>
      </c>
      <c r="B1540" s="9">
        <v>0.64</v>
      </c>
      <c r="C1540" s="9">
        <v>0.09</v>
      </c>
      <c r="D1540" s="9">
        <v>2.5</v>
      </c>
      <c r="E1540" s="9">
        <v>8.1000000000000003E-2</v>
      </c>
      <c r="F1540" s="9">
        <v>15</v>
      </c>
      <c r="G1540" s="9">
        <v>26</v>
      </c>
      <c r="H1540" s="9">
        <v>0.99538000000000004</v>
      </c>
      <c r="I1540" s="9">
        <v>3.57</v>
      </c>
      <c r="J1540" s="9">
        <v>0.63</v>
      </c>
      <c r="K1540" s="9">
        <v>12</v>
      </c>
      <c r="L1540" s="9">
        <v>5</v>
      </c>
    </row>
    <row r="1541" spans="1:12" x14ac:dyDescent="0.3">
      <c r="A1541" s="9">
        <v>7.2</v>
      </c>
      <c r="B1541" s="9">
        <v>0.39</v>
      </c>
      <c r="C1541" s="9">
        <v>0.32</v>
      </c>
      <c r="D1541" s="9">
        <v>1.8</v>
      </c>
      <c r="E1541" s="9">
        <v>6.5000000000000002E-2</v>
      </c>
      <c r="F1541" s="9">
        <v>34</v>
      </c>
      <c r="G1541" s="9">
        <v>60</v>
      </c>
      <c r="H1541" s="9">
        <v>0.99714000000000003</v>
      </c>
      <c r="I1541" s="9">
        <v>3.46</v>
      </c>
      <c r="J1541" s="9">
        <v>0.78</v>
      </c>
      <c r="K1541" s="9">
        <v>9.9</v>
      </c>
      <c r="L1541" s="9">
        <v>5</v>
      </c>
    </row>
    <row r="1542" spans="1:12" x14ac:dyDescent="0.3">
      <c r="A1542" s="9">
        <v>6.2</v>
      </c>
      <c r="B1542" s="9">
        <v>0.52</v>
      </c>
      <c r="C1542" s="9">
        <v>0.08</v>
      </c>
      <c r="D1542" s="9">
        <v>4.4000000000000004</v>
      </c>
      <c r="E1542" s="9">
        <v>7.0999999999999994E-2</v>
      </c>
      <c r="F1542" s="9">
        <v>11</v>
      </c>
      <c r="G1542" s="9">
        <v>32</v>
      </c>
      <c r="H1542" s="9">
        <v>0.99646000000000001</v>
      </c>
      <c r="I1542" s="9">
        <v>3.56</v>
      </c>
      <c r="J1542" s="9">
        <v>0.63</v>
      </c>
      <c r="K1542" s="9">
        <v>11.6</v>
      </c>
      <c r="L1542" s="9">
        <v>6</v>
      </c>
    </row>
    <row r="1543" spans="1:12" x14ac:dyDescent="0.3">
      <c r="A1543" s="9">
        <v>7.4</v>
      </c>
      <c r="B1543" s="9">
        <v>0.25</v>
      </c>
      <c r="C1543" s="9">
        <v>0.28999999999999998</v>
      </c>
      <c r="D1543" s="9">
        <v>2.2000000000000002</v>
      </c>
      <c r="E1543" s="9">
        <v>5.3999999999999999E-2</v>
      </c>
      <c r="F1543" s="9">
        <v>19</v>
      </c>
      <c r="G1543" s="9">
        <v>49</v>
      </c>
      <c r="H1543" s="9">
        <v>0.99665999999999999</v>
      </c>
      <c r="I1543" s="9">
        <v>3.4</v>
      </c>
      <c r="J1543" s="9">
        <v>0.76</v>
      </c>
      <c r="K1543" s="9">
        <v>10.9</v>
      </c>
      <c r="L1543" s="9">
        <v>7</v>
      </c>
    </row>
    <row r="1544" spans="1:12" x14ac:dyDescent="0.3">
      <c r="A1544" s="9">
        <v>6.7</v>
      </c>
      <c r="B1544" s="9">
        <v>0.85499999999999998</v>
      </c>
      <c r="C1544" s="9">
        <v>0.02</v>
      </c>
      <c r="D1544" s="9">
        <v>1.9</v>
      </c>
      <c r="E1544" s="9">
        <v>6.4000000000000001E-2</v>
      </c>
      <c r="F1544" s="9">
        <v>29</v>
      </c>
      <c r="G1544" s="9">
        <v>38</v>
      </c>
      <c r="H1544" s="9">
        <v>0.99472000000000005</v>
      </c>
      <c r="I1544" s="9">
        <v>3.3</v>
      </c>
      <c r="J1544" s="9">
        <v>0.56000000000000005</v>
      </c>
      <c r="K1544" s="9">
        <v>10.75</v>
      </c>
      <c r="L1544" s="9">
        <v>6</v>
      </c>
    </row>
    <row r="1545" spans="1:12" x14ac:dyDescent="0.3">
      <c r="A1545" s="9">
        <v>11.1</v>
      </c>
      <c r="B1545" s="9">
        <v>0.44</v>
      </c>
      <c r="C1545" s="9">
        <v>0.42</v>
      </c>
      <c r="D1545" s="9">
        <v>2.2000000000000002</v>
      </c>
      <c r="E1545" s="9">
        <v>6.4000000000000001E-2</v>
      </c>
      <c r="F1545" s="9">
        <v>14</v>
      </c>
      <c r="G1545" s="9">
        <v>19</v>
      </c>
      <c r="H1545" s="9">
        <v>0.99758000000000002</v>
      </c>
      <c r="I1545" s="9">
        <v>3.25</v>
      </c>
      <c r="J1545" s="9">
        <v>0.56999999999999995</v>
      </c>
      <c r="K1545" s="9">
        <v>10.4</v>
      </c>
      <c r="L1545" s="9">
        <v>6</v>
      </c>
    </row>
    <row r="1546" spans="1:12" x14ac:dyDescent="0.3">
      <c r="A1546" s="9">
        <v>8.4</v>
      </c>
      <c r="B1546" s="9">
        <v>0.37</v>
      </c>
      <c r="C1546" s="9">
        <v>0.43</v>
      </c>
      <c r="D1546" s="9">
        <v>2.2999999999999998</v>
      </c>
      <c r="E1546" s="9">
        <v>6.3E-2</v>
      </c>
      <c r="F1546" s="9">
        <v>12</v>
      </c>
      <c r="G1546" s="9">
        <v>19</v>
      </c>
      <c r="H1546" s="9">
        <v>0.99550000000000005</v>
      </c>
      <c r="I1546" s="9">
        <v>3.17</v>
      </c>
      <c r="J1546" s="9">
        <v>0.81</v>
      </c>
      <c r="K1546" s="9">
        <v>11.2</v>
      </c>
      <c r="L1546" s="9">
        <v>7</v>
      </c>
    </row>
    <row r="1547" spans="1:12" x14ac:dyDescent="0.3">
      <c r="A1547" s="9">
        <v>6.5</v>
      </c>
      <c r="B1547" s="9">
        <v>0.63</v>
      </c>
      <c r="C1547" s="9">
        <v>0.33</v>
      </c>
      <c r="D1547" s="9">
        <v>1.8</v>
      </c>
      <c r="E1547" s="9">
        <v>5.8999999999999997E-2</v>
      </c>
      <c r="F1547" s="9">
        <v>16</v>
      </c>
      <c r="G1547" s="9">
        <v>28</v>
      </c>
      <c r="H1547" s="9">
        <v>0.99531000000000003</v>
      </c>
      <c r="I1547" s="9">
        <v>3.36</v>
      </c>
      <c r="J1547" s="9">
        <v>0.64</v>
      </c>
      <c r="K1547" s="9">
        <v>10.1</v>
      </c>
      <c r="L1547" s="9">
        <v>6</v>
      </c>
    </row>
    <row r="1548" spans="1:12" x14ac:dyDescent="0.3">
      <c r="A1548" s="9">
        <v>7</v>
      </c>
      <c r="B1548" s="9">
        <v>0.56999999999999995</v>
      </c>
      <c r="C1548" s="9">
        <v>0.02</v>
      </c>
      <c r="D1548" s="9">
        <v>2</v>
      </c>
      <c r="E1548" s="9">
        <v>7.1999999999999995E-2</v>
      </c>
      <c r="F1548" s="9">
        <v>17</v>
      </c>
      <c r="G1548" s="9">
        <v>26</v>
      </c>
      <c r="H1548" s="9">
        <v>0.99575000000000002</v>
      </c>
      <c r="I1548" s="9">
        <v>3.36</v>
      </c>
      <c r="J1548" s="9">
        <v>0.61</v>
      </c>
      <c r="K1548" s="9">
        <v>10.199999999999999</v>
      </c>
      <c r="L1548" s="9">
        <v>5</v>
      </c>
    </row>
    <row r="1549" spans="1:12" x14ac:dyDescent="0.3">
      <c r="A1549" s="9">
        <v>6.3</v>
      </c>
      <c r="B1549" s="9">
        <v>0.6</v>
      </c>
      <c r="C1549" s="9">
        <v>0.1</v>
      </c>
      <c r="D1549" s="9">
        <v>1.6</v>
      </c>
      <c r="E1549" s="9">
        <v>4.8000000000000001E-2</v>
      </c>
      <c r="F1549" s="9">
        <v>12</v>
      </c>
      <c r="G1549" s="9">
        <v>26</v>
      </c>
      <c r="H1549" s="9">
        <v>0.99306000000000005</v>
      </c>
      <c r="I1549" s="9">
        <v>3.55</v>
      </c>
      <c r="J1549" s="9">
        <v>0.51</v>
      </c>
      <c r="K1549" s="9">
        <v>12.1</v>
      </c>
      <c r="L1549" s="9">
        <v>5</v>
      </c>
    </row>
    <row r="1550" spans="1:12" x14ac:dyDescent="0.3">
      <c r="A1550" s="9">
        <v>11.2</v>
      </c>
      <c r="B1550" s="9">
        <v>0.4</v>
      </c>
      <c r="C1550" s="9">
        <v>0.5</v>
      </c>
      <c r="D1550" s="9">
        <v>2</v>
      </c>
      <c r="E1550" s="9">
        <v>9.9000000000000005E-2</v>
      </c>
      <c r="F1550" s="9">
        <v>19</v>
      </c>
      <c r="G1550" s="9">
        <v>50</v>
      </c>
      <c r="H1550" s="9">
        <v>0.99782999999999999</v>
      </c>
      <c r="I1550" s="9">
        <v>3.1</v>
      </c>
      <c r="J1550" s="9">
        <v>0.57999999999999996</v>
      </c>
      <c r="K1550" s="9">
        <v>10.4</v>
      </c>
      <c r="L1550" s="9">
        <v>5</v>
      </c>
    </row>
    <row r="1551" spans="1:12" x14ac:dyDescent="0.3">
      <c r="A1551" s="9">
        <v>7.4</v>
      </c>
      <c r="B1551" s="9">
        <v>0.36</v>
      </c>
      <c r="C1551" s="9">
        <v>0.3</v>
      </c>
      <c r="D1551" s="9">
        <v>1.8</v>
      </c>
      <c r="E1551" s="9">
        <v>7.3999999999999996E-2</v>
      </c>
      <c r="F1551" s="9">
        <v>17</v>
      </c>
      <c r="G1551" s="9">
        <v>24</v>
      </c>
      <c r="H1551" s="9">
        <v>0.99419000000000002</v>
      </c>
      <c r="I1551" s="9">
        <v>3.24</v>
      </c>
      <c r="J1551" s="9">
        <v>0.7</v>
      </c>
      <c r="K1551" s="9">
        <v>11.4</v>
      </c>
      <c r="L1551" s="9">
        <v>8</v>
      </c>
    </row>
    <row r="1552" spans="1:12" x14ac:dyDescent="0.3">
      <c r="A1552" s="9">
        <v>7.1</v>
      </c>
      <c r="B1552" s="9">
        <v>0.68</v>
      </c>
      <c r="C1552" s="9">
        <v>0</v>
      </c>
      <c r="D1552" s="9">
        <v>2.2999999999999998</v>
      </c>
      <c r="E1552" s="9">
        <v>8.6999999999999994E-2</v>
      </c>
      <c r="F1552" s="9">
        <v>17</v>
      </c>
      <c r="G1552" s="9">
        <v>26</v>
      </c>
      <c r="H1552" s="9">
        <v>0.99782999999999999</v>
      </c>
      <c r="I1552" s="9">
        <v>3.45</v>
      </c>
      <c r="J1552" s="9">
        <v>0.53</v>
      </c>
      <c r="K1552" s="9">
        <v>9.5</v>
      </c>
      <c r="L1552" s="9">
        <v>5</v>
      </c>
    </row>
    <row r="1553" spans="1:12" x14ac:dyDescent="0.3">
      <c r="A1553" s="9">
        <v>7.1</v>
      </c>
      <c r="B1553" s="9">
        <v>0.67</v>
      </c>
      <c r="C1553" s="9">
        <v>0</v>
      </c>
      <c r="D1553" s="9">
        <v>2.2999999999999998</v>
      </c>
      <c r="E1553" s="9">
        <v>8.3000000000000004E-2</v>
      </c>
      <c r="F1553" s="9">
        <v>18</v>
      </c>
      <c r="G1553" s="9">
        <v>27</v>
      </c>
      <c r="H1553" s="9">
        <v>0.99768000000000001</v>
      </c>
      <c r="I1553" s="9">
        <v>3.44</v>
      </c>
      <c r="J1553" s="9">
        <v>0.54</v>
      </c>
      <c r="K1553" s="9">
        <v>9.4</v>
      </c>
      <c r="L1553" s="9">
        <v>5</v>
      </c>
    </row>
    <row r="1554" spans="1:12" x14ac:dyDescent="0.3">
      <c r="A1554" s="9">
        <v>6.3</v>
      </c>
      <c r="B1554" s="9">
        <v>0.68</v>
      </c>
      <c r="C1554" s="9">
        <v>0.01</v>
      </c>
      <c r="D1554" s="9">
        <v>3.7</v>
      </c>
      <c r="E1554" s="9">
        <v>0.10299999999999999</v>
      </c>
      <c r="F1554" s="9">
        <v>32</v>
      </c>
      <c r="G1554" s="9">
        <v>54</v>
      </c>
      <c r="H1554" s="9">
        <v>0.99585999999999997</v>
      </c>
      <c r="I1554" s="9">
        <v>3.51</v>
      </c>
      <c r="J1554" s="9">
        <v>0.66</v>
      </c>
      <c r="K1554" s="9">
        <v>11.3</v>
      </c>
      <c r="L1554" s="9">
        <v>6</v>
      </c>
    </row>
    <row r="1555" spans="1:12" x14ac:dyDescent="0.3">
      <c r="A1555" s="9">
        <v>7.3</v>
      </c>
      <c r="B1555" s="9">
        <v>0.73499999999999999</v>
      </c>
      <c r="C1555" s="9">
        <v>0</v>
      </c>
      <c r="D1555" s="9">
        <v>2.2000000000000002</v>
      </c>
      <c r="E1555" s="9">
        <v>0.08</v>
      </c>
      <c r="F1555" s="9">
        <v>18</v>
      </c>
      <c r="G1555" s="9">
        <v>28</v>
      </c>
      <c r="H1555" s="9">
        <v>0.99765000000000004</v>
      </c>
      <c r="I1555" s="9">
        <v>3.41</v>
      </c>
      <c r="J1555" s="9">
        <v>0.6</v>
      </c>
      <c r="K1555" s="9">
        <v>9.4</v>
      </c>
      <c r="L1555" s="9">
        <v>5</v>
      </c>
    </row>
    <row r="1556" spans="1:12" x14ac:dyDescent="0.3">
      <c r="A1556" s="9">
        <v>6.6</v>
      </c>
      <c r="B1556" s="9">
        <v>0.85499999999999998</v>
      </c>
      <c r="C1556" s="9">
        <v>0.02</v>
      </c>
      <c r="D1556" s="9">
        <v>2.4</v>
      </c>
      <c r="E1556" s="9">
        <v>6.2E-2</v>
      </c>
      <c r="F1556" s="9">
        <v>15</v>
      </c>
      <c r="G1556" s="9">
        <v>23</v>
      </c>
      <c r="H1556" s="9">
        <v>0.99626999999999999</v>
      </c>
      <c r="I1556" s="9">
        <v>3.54</v>
      </c>
      <c r="J1556" s="9">
        <v>0.6</v>
      </c>
      <c r="K1556" s="9">
        <v>11</v>
      </c>
      <c r="L1556" s="9">
        <v>6</v>
      </c>
    </row>
    <row r="1557" spans="1:12" x14ac:dyDescent="0.3">
      <c r="A1557" s="9">
        <v>7</v>
      </c>
      <c r="B1557" s="9">
        <v>0.56000000000000005</v>
      </c>
      <c r="C1557" s="9">
        <v>0.17</v>
      </c>
      <c r="D1557" s="9">
        <v>1.7</v>
      </c>
      <c r="E1557" s="9">
        <v>6.5000000000000002E-2</v>
      </c>
      <c r="F1557" s="9">
        <v>15</v>
      </c>
      <c r="G1557" s="9">
        <v>24</v>
      </c>
      <c r="H1557" s="9">
        <v>0.99514000000000002</v>
      </c>
      <c r="I1557" s="9">
        <v>3.44</v>
      </c>
      <c r="J1557" s="9">
        <v>0.68</v>
      </c>
      <c r="K1557" s="9">
        <v>10.55</v>
      </c>
      <c r="L1557" s="9">
        <v>7</v>
      </c>
    </row>
    <row r="1558" spans="1:12" x14ac:dyDescent="0.3">
      <c r="A1558" s="9">
        <v>6.6</v>
      </c>
      <c r="B1558" s="9">
        <v>0.88</v>
      </c>
      <c r="C1558" s="9">
        <v>0.04</v>
      </c>
      <c r="D1558" s="9">
        <v>2.2000000000000002</v>
      </c>
      <c r="E1558" s="9">
        <v>6.6000000000000003E-2</v>
      </c>
      <c r="F1558" s="9">
        <v>12</v>
      </c>
      <c r="G1558" s="9">
        <v>20</v>
      </c>
      <c r="H1558" s="9">
        <v>0.99636000000000002</v>
      </c>
      <c r="I1558" s="9">
        <v>3.53</v>
      </c>
      <c r="J1558" s="9">
        <v>0.56000000000000005</v>
      </c>
      <c r="K1558" s="9">
        <v>9.9</v>
      </c>
      <c r="L1558" s="9">
        <v>5</v>
      </c>
    </row>
    <row r="1559" spans="1:12" x14ac:dyDescent="0.3">
      <c r="A1559" s="9">
        <v>6.6</v>
      </c>
      <c r="B1559" s="9">
        <v>0.85499999999999998</v>
      </c>
      <c r="C1559" s="9">
        <v>0.02</v>
      </c>
      <c r="D1559" s="9">
        <v>2.4</v>
      </c>
      <c r="E1559" s="9">
        <v>6.2E-2</v>
      </c>
      <c r="F1559" s="9">
        <v>15</v>
      </c>
      <c r="G1559" s="9">
        <v>23</v>
      </c>
      <c r="H1559" s="9">
        <v>0.99626999999999999</v>
      </c>
      <c r="I1559" s="9">
        <v>3.54</v>
      </c>
      <c r="J1559" s="9">
        <v>0.6</v>
      </c>
      <c r="K1559" s="9">
        <v>11</v>
      </c>
      <c r="L1559" s="9">
        <v>6</v>
      </c>
    </row>
    <row r="1560" spans="1:12" x14ac:dyDescent="0.3">
      <c r="A1560" s="9">
        <v>6.9</v>
      </c>
      <c r="B1560" s="9">
        <v>0.63</v>
      </c>
      <c r="C1560" s="9">
        <v>0.33</v>
      </c>
      <c r="D1560" s="9">
        <v>6.7</v>
      </c>
      <c r="E1560" s="9">
        <v>0.23499999999999999</v>
      </c>
      <c r="F1560" s="9">
        <v>66</v>
      </c>
      <c r="G1560" s="9">
        <v>115</v>
      </c>
      <c r="H1560" s="9">
        <v>0.99787000000000003</v>
      </c>
      <c r="I1560" s="9">
        <v>3.22</v>
      </c>
      <c r="J1560" s="9">
        <v>0.56000000000000005</v>
      </c>
      <c r="K1560" s="9">
        <v>9.5</v>
      </c>
      <c r="L1560" s="9">
        <v>5</v>
      </c>
    </row>
    <row r="1561" spans="1:12" x14ac:dyDescent="0.3">
      <c r="A1561" s="9">
        <v>7.8</v>
      </c>
      <c r="B1561" s="9">
        <v>0.6</v>
      </c>
      <c r="C1561" s="9">
        <v>0.26</v>
      </c>
      <c r="D1561" s="9">
        <v>2</v>
      </c>
      <c r="E1561" s="9">
        <v>0.08</v>
      </c>
      <c r="F1561" s="9">
        <v>31</v>
      </c>
      <c r="G1561" s="9">
        <v>131</v>
      </c>
      <c r="H1561" s="9">
        <v>0.99621999999999999</v>
      </c>
      <c r="I1561" s="9">
        <v>3.21</v>
      </c>
      <c r="J1561" s="9">
        <v>0.52</v>
      </c>
      <c r="K1561" s="9">
        <v>9.9</v>
      </c>
      <c r="L1561" s="9">
        <v>5</v>
      </c>
    </row>
    <row r="1562" spans="1:12" x14ac:dyDescent="0.3">
      <c r="A1562" s="9">
        <v>7.8</v>
      </c>
      <c r="B1562" s="9">
        <v>0.6</v>
      </c>
      <c r="C1562" s="9">
        <v>0.26</v>
      </c>
      <c r="D1562" s="9">
        <v>2</v>
      </c>
      <c r="E1562" s="9">
        <v>0.08</v>
      </c>
      <c r="F1562" s="9">
        <v>31</v>
      </c>
      <c r="G1562" s="9">
        <v>131</v>
      </c>
      <c r="H1562" s="9">
        <v>0.99621999999999999</v>
      </c>
      <c r="I1562" s="9">
        <v>3.21</v>
      </c>
      <c r="J1562" s="9">
        <v>0.52</v>
      </c>
      <c r="K1562" s="9">
        <v>9.9</v>
      </c>
      <c r="L1562" s="9">
        <v>5</v>
      </c>
    </row>
    <row r="1563" spans="1:12" x14ac:dyDescent="0.3">
      <c r="A1563" s="9">
        <v>7.8</v>
      </c>
      <c r="B1563" s="9">
        <v>0.6</v>
      </c>
      <c r="C1563" s="9">
        <v>0.26</v>
      </c>
      <c r="D1563" s="9">
        <v>2</v>
      </c>
      <c r="E1563" s="9">
        <v>0.08</v>
      </c>
      <c r="F1563" s="9">
        <v>31</v>
      </c>
      <c r="G1563" s="9">
        <v>131</v>
      </c>
      <c r="H1563" s="9">
        <v>0.99621999999999999</v>
      </c>
      <c r="I1563" s="9">
        <v>3.21</v>
      </c>
      <c r="J1563" s="9">
        <v>0.52</v>
      </c>
      <c r="K1563" s="9">
        <v>9.9</v>
      </c>
      <c r="L1563" s="9">
        <v>5</v>
      </c>
    </row>
    <row r="1564" spans="1:12" x14ac:dyDescent="0.3">
      <c r="A1564" s="9">
        <v>7.2</v>
      </c>
      <c r="B1564" s="9">
        <v>0.69499999999999995</v>
      </c>
      <c r="C1564" s="9">
        <v>0.13</v>
      </c>
      <c r="D1564" s="9">
        <v>2</v>
      </c>
      <c r="E1564" s="9">
        <v>7.5999999999999998E-2</v>
      </c>
      <c r="F1564" s="9">
        <v>12</v>
      </c>
      <c r="G1564" s="9">
        <v>20</v>
      </c>
      <c r="H1564" s="9">
        <v>0.99546000000000001</v>
      </c>
      <c r="I1564" s="9">
        <v>3.29</v>
      </c>
      <c r="J1564" s="9">
        <v>0.54</v>
      </c>
      <c r="K1564" s="9">
        <v>10.1</v>
      </c>
      <c r="L1564" s="9">
        <v>5</v>
      </c>
    </row>
    <row r="1565" spans="1:12" x14ac:dyDescent="0.3">
      <c r="A1565" s="9">
        <v>7.2</v>
      </c>
      <c r="B1565" s="9">
        <v>0.69499999999999995</v>
      </c>
      <c r="C1565" s="9">
        <v>0.13</v>
      </c>
      <c r="D1565" s="9">
        <v>2</v>
      </c>
      <c r="E1565" s="9">
        <v>7.5999999999999998E-2</v>
      </c>
      <c r="F1565" s="9">
        <v>12</v>
      </c>
      <c r="G1565" s="9">
        <v>20</v>
      </c>
      <c r="H1565" s="9">
        <v>0.99546000000000001</v>
      </c>
      <c r="I1565" s="9">
        <v>3.29</v>
      </c>
      <c r="J1565" s="9">
        <v>0.54</v>
      </c>
      <c r="K1565" s="9">
        <v>10.1</v>
      </c>
      <c r="L1565" s="9">
        <v>5</v>
      </c>
    </row>
    <row r="1566" spans="1:12" x14ac:dyDescent="0.3">
      <c r="A1566" s="9">
        <v>7.2</v>
      </c>
      <c r="B1566" s="9">
        <v>0.69499999999999995</v>
      </c>
      <c r="C1566" s="9">
        <v>0.13</v>
      </c>
      <c r="D1566" s="9">
        <v>2</v>
      </c>
      <c r="E1566" s="9">
        <v>7.5999999999999998E-2</v>
      </c>
      <c r="F1566" s="9">
        <v>12</v>
      </c>
      <c r="G1566" s="9">
        <v>20</v>
      </c>
      <c r="H1566" s="9">
        <v>0.99546000000000001</v>
      </c>
      <c r="I1566" s="9">
        <v>3.29</v>
      </c>
      <c r="J1566" s="9">
        <v>0.54</v>
      </c>
      <c r="K1566" s="9">
        <v>10.1</v>
      </c>
      <c r="L1566" s="9">
        <v>5</v>
      </c>
    </row>
    <row r="1567" spans="1:12" x14ac:dyDescent="0.3">
      <c r="A1567" s="9">
        <v>6.7</v>
      </c>
      <c r="B1567" s="9">
        <v>0.67</v>
      </c>
      <c r="C1567" s="9">
        <v>0.02</v>
      </c>
      <c r="D1567" s="9">
        <v>1.9</v>
      </c>
      <c r="E1567" s="9">
        <v>6.0999999999999999E-2</v>
      </c>
      <c r="F1567" s="9">
        <v>26</v>
      </c>
      <c r="G1567" s="9">
        <v>42</v>
      </c>
      <c r="H1567" s="9">
        <v>0.99489000000000005</v>
      </c>
      <c r="I1567" s="9">
        <v>3.39</v>
      </c>
      <c r="J1567" s="9">
        <v>0.82</v>
      </c>
      <c r="K1567" s="9">
        <v>10.9</v>
      </c>
      <c r="L1567" s="9">
        <v>6</v>
      </c>
    </row>
    <row r="1568" spans="1:12" x14ac:dyDescent="0.3">
      <c r="A1568" s="9">
        <v>6.7</v>
      </c>
      <c r="B1568" s="9">
        <v>0.16</v>
      </c>
      <c r="C1568" s="9">
        <v>0.64</v>
      </c>
      <c r="D1568" s="9">
        <v>2.1</v>
      </c>
      <c r="E1568" s="9">
        <v>5.8999999999999997E-2</v>
      </c>
      <c r="F1568" s="9">
        <v>24</v>
      </c>
      <c r="G1568" s="9">
        <v>52</v>
      </c>
      <c r="H1568" s="9">
        <v>0.99494000000000005</v>
      </c>
      <c r="I1568" s="9">
        <v>3.34</v>
      </c>
      <c r="J1568" s="9">
        <v>0.71</v>
      </c>
      <c r="K1568" s="9">
        <v>11.2</v>
      </c>
      <c r="L1568" s="9">
        <v>6</v>
      </c>
    </row>
    <row r="1569" spans="1:12" x14ac:dyDescent="0.3">
      <c r="A1569" s="9">
        <v>7.2</v>
      </c>
      <c r="B1569" s="9">
        <v>0.69499999999999995</v>
      </c>
      <c r="C1569" s="9">
        <v>0.13</v>
      </c>
      <c r="D1569" s="9">
        <v>2</v>
      </c>
      <c r="E1569" s="9">
        <v>7.5999999999999998E-2</v>
      </c>
      <c r="F1569" s="9">
        <v>12</v>
      </c>
      <c r="G1569" s="9">
        <v>20</v>
      </c>
      <c r="H1569" s="9">
        <v>0.99546000000000001</v>
      </c>
      <c r="I1569" s="9">
        <v>3.29</v>
      </c>
      <c r="J1569" s="9">
        <v>0.54</v>
      </c>
      <c r="K1569" s="9">
        <v>10.1</v>
      </c>
      <c r="L1569" s="9">
        <v>5</v>
      </c>
    </row>
    <row r="1570" spans="1:12" x14ac:dyDescent="0.3">
      <c r="A1570" s="9">
        <v>7</v>
      </c>
      <c r="B1570" s="9">
        <v>0.56000000000000005</v>
      </c>
      <c r="C1570" s="9">
        <v>0.13</v>
      </c>
      <c r="D1570" s="9">
        <v>1.6</v>
      </c>
      <c r="E1570" s="9">
        <v>7.6999999999999999E-2</v>
      </c>
      <c r="F1570" s="9">
        <v>25</v>
      </c>
      <c r="G1570" s="9">
        <v>42</v>
      </c>
      <c r="H1570" s="9">
        <v>0.99629000000000001</v>
      </c>
      <c r="I1570" s="9">
        <v>3.34</v>
      </c>
      <c r="J1570" s="9">
        <v>0.59</v>
      </c>
      <c r="K1570" s="9">
        <v>9.1999999999999993</v>
      </c>
      <c r="L1570" s="9">
        <v>5</v>
      </c>
    </row>
    <row r="1571" spans="1:12" x14ac:dyDescent="0.3">
      <c r="A1571" s="9">
        <v>6.2</v>
      </c>
      <c r="B1571" s="9">
        <v>0.51</v>
      </c>
      <c r="C1571" s="9">
        <v>0.14000000000000001</v>
      </c>
      <c r="D1571" s="9">
        <v>1.9</v>
      </c>
      <c r="E1571" s="9">
        <v>5.6000000000000001E-2</v>
      </c>
      <c r="F1571" s="9">
        <v>15</v>
      </c>
      <c r="G1571" s="9">
        <v>34</v>
      </c>
      <c r="H1571" s="9">
        <v>0.99395999999999995</v>
      </c>
      <c r="I1571" s="9">
        <v>3.48</v>
      </c>
      <c r="J1571" s="9">
        <v>0.56999999999999995</v>
      </c>
      <c r="K1571" s="9">
        <v>11.5</v>
      </c>
      <c r="L1571" s="9">
        <v>6</v>
      </c>
    </row>
    <row r="1572" spans="1:12" x14ac:dyDescent="0.3">
      <c r="A1572" s="9">
        <v>6.4</v>
      </c>
      <c r="B1572" s="9">
        <v>0.36</v>
      </c>
      <c r="C1572" s="9">
        <v>0.53</v>
      </c>
      <c r="D1572" s="9">
        <v>2.2000000000000002</v>
      </c>
      <c r="E1572" s="9">
        <v>0.23</v>
      </c>
      <c r="F1572" s="9">
        <v>19</v>
      </c>
      <c r="G1572" s="9">
        <v>35</v>
      </c>
      <c r="H1572" s="9">
        <v>0.99339999999999995</v>
      </c>
      <c r="I1572" s="9">
        <v>3.37</v>
      </c>
      <c r="J1572" s="9">
        <v>0.93</v>
      </c>
      <c r="K1572" s="9">
        <v>12.4</v>
      </c>
      <c r="L1572" s="9">
        <v>6</v>
      </c>
    </row>
    <row r="1573" spans="1:12" x14ac:dyDescent="0.3">
      <c r="A1573" s="9">
        <v>6.4</v>
      </c>
      <c r="B1573" s="9">
        <v>0.38</v>
      </c>
      <c r="C1573" s="9">
        <v>0.14000000000000001</v>
      </c>
      <c r="D1573" s="9">
        <v>2.2000000000000002</v>
      </c>
      <c r="E1573" s="9">
        <v>3.7999999999999999E-2</v>
      </c>
      <c r="F1573" s="9">
        <v>15</v>
      </c>
      <c r="G1573" s="9">
        <v>25</v>
      </c>
      <c r="H1573" s="9">
        <v>0.99514000000000002</v>
      </c>
      <c r="I1573" s="9">
        <v>3.44</v>
      </c>
      <c r="J1573" s="9">
        <v>0.65</v>
      </c>
      <c r="K1573" s="9">
        <v>11.1</v>
      </c>
      <c r="L1573" s="9">
        <v>6</v>
      </c>
    </row>
    <row r="1574" spans="1:12" x14ac:dyDescent="0.3">
      <c r="A1574" s="9">
        <v>7.3</v>
      </c>
      <c r="B1574" s="9">
        <v>0.69</v>
      </c>
      <c r="C1574" s="9">
        <v>0.32</v>
      </c>
      <c r="D1574" s="9">
        <v>2.2000000000000002</v>
      </c>
      <c r="E1574" s="9">
        <v>6.9000000000000006E-2</v>
      </c>
      <c r="F1574" s="9">
        <v>35</v>
      </c>
      <c r="G1574" s="9">
        <v>104</v>
      </c>
      <c r="H1574" s="9">
        <v>0.99631999999999998</v>
      </c>
      <c r="I1574" s="9">
        <v>3.33</v>
      </c>
      <c r="J1574" s="9">
        <v>0.51</v>
      </c>
      <c r="K1574" s="9">
        <v>9.5</v>
      </c>
      <c r="L1574" s="9">
        <v>5</v>
      </c>
    </row>
    <row r="1575" spans="1:12" x14ac:dyDescent="0.3">
      <c r="A1575" s="9">
        <v>6</v>
      </c>
      <c r="B1575" s="9">
        <v>0.57999999999999996</v>
      </c>
      <c r="C1575" s="9">
        <v>0.2</v>
      </c>
      <c r="D1575" s="9">
        <v>2.4</v>
      </c>
      <c r="E1575" s="9">
        <v>7.4999999999999997E-2</v>
      </c>
      <c r="F1575" s="9">
        <v>15</v>
      </c>
      <c r="G1575" s="9">
        <v>50</v>
      </c>
      <c r="H1575" s="9">
        <v>0.99467000000000005</v>
      </c>
      <c r="I1575" s="9">
        <v>3.58</v>
      </c>
      <c r="J1575" s="9">
        <v>0.67</v>
      </c>
      <c r="K1575" s="9">
        <v>12.5</v>
      </c>
      <c r="L1575" s="9">
        <v>6</v>
      </c>
    </row>
    <row r="1576" spans="1:12" x14ac:dyDescent="0.3">
      <c r="A1576" s="9">
        <v>5.6</v>
      </c>
      <c r="B1576" s="9">
        <v>0.31</v>
      </c>
      <c r="C1576" s="9">
        <v>0.78</v>
      </c>
      <c r="D1576" s="9">
        <v>13.9</v>
      </c>
      <c r="E1576" s="9">
        <v>7.3999999999999996E-2</v>
      </c>
      <c r="F1576" s="9">
        <v>23</v>
      </c>
      <c r="G1576" s="9">
        <v>92</v>
      </c>
      <c r="H1576" s="9">
        <v>0.99677000000000004</v>
      </c>
      <c r="I1576" s="9">
        <v>3.39</v>
      </c>
      <c r="J1576" s="9">
        <v>0.48</v>
      </c>
      <c r="K1576" s="9">
        <v>10.5</v>
      </c>
      <c r="L1576" s="9">
        <v>6</v>
      </c>
    </row>
    <row r="1577" spans="1:12" x14ac:dyDescent="0.3">
      <c r="A1577" s="9">
        <v>7.5</v>
      </c>
      <c r="B1577" s="9">
        <v>0.52</v>
      </c>
      <c r="C1577" s="9">
        <v>0.4</v>
      </c>
      <c r="D1577" s="9">
        <v>2.2000000000000002</v>
      </c>
      <c r="E1577" s="9">
        <v>0.06</v>
      </c>
      <c r="F1577" s="9">
        <v>12</v>
      </c>
      <c r="G1577" s="9">
        <v>20</v>
      </c>
      <c r="H1577" s="9">
        <v>0.99473999999999996</v>
      </c>
      <c r="I1577" s="9">
        <v>3.26</v>
      </c>
      <c r="J1577" s="9">
        <v>0.64</v>
      </c>
      <c r="K1577" s="9">
        <v>11.8</v>
      </c>
      <c r="L1577" s="9">
        <v>6</v>
      </c>
    </row>
    <row r="1578" spans="1:12" x14ac:dyDescent="0.3">
      <c r="A1578" s="9">
        <v>8</v>
      </c>
      <c r="B1578" s="9">
        <v>0.3</v>
      </c>
      <c r="C1578" s="9">
        <v>0.63</v>
      </c>
      <c r="D1578" s="9">
        <v>1.6</v>
      </c>
      <c r="E1578" s="9">
        <v>8.1000000000000003E-2</v>
      </c>
      <c r="F1578" s="9">
        <v>16</v>
      </c>
      <c r="G1578" s="9">
        <v>29</v>
      </c>
      <c r="H1578" s="9">
        <v>0.99587999999999999</v>
      </c>
      <c r="I1578" s="9">
        <v>3.3</v>
      </c>
      <c r="J1578" s="9">
        <v>0.78</v>
      </c>
      <c r="K1578" s="9">
        <v>10.8</v>
      </c>
      <c r="L1578" s="9">
        <v>6</v>
      </c>
    </row>
    <row r="1579" spans="1:12" x14ac:dyDescent="0.3">
      <c r="A1579" s="9">
        <v>6.2</v>
      </c>
      <c r="B1579" s="9">
        <v>0.7</v>
      </c>
      <c r="C1579" s="9">
        <v>0.15</v>
      </c>
      <c r="D1579" s="9">
        <v>5.0999999999999996</v>
      </c>
      <c r="E1579" s="9">
        <v>7.5999999999999998E-2</v>
      </c>
      <c r="F1579" s="9">
        <v>13</v>
      </c>
      <c r="G1579" s="9">
        <v>27</v>
      </c>
      <c r="H1579" s="9">
        <v>0.99621999999999999</v>
      </c>
      <c r="I1579" s="9">
        <v>3.54</v>
      </c>
      <c r="J1579" s="9">
        <v>0.6</v>
      </c>
      <c r="K1579" s="9">
        <v>11.9</v>
      </c>
      <c r="L1579" s="9">
        <v>6</v>
      </c>
    </row>
    <row r="1580" spans="1:12" x14ac:dyDescent="0.3">
      <c r="A1580" s="9">
        <v>6.8</v>
      </c>
      <c r="B1580" s="9">
        <v>0.67</v>
      </c>
      <c r="C1580" s="9">
        <v>0.15</v>
      </c>
      <c r="D1580" s="9">
        <v>1.8</v>
      </c>
      <c r="E1580" s="9">
        <v>0.11799999999999999</v>
      </c>
      <c r="F1580" s="9">
        <v>13</v>
      </c>
      <c r="G1580" s="9">
        <v>20</v>
      </c>
      <c r="H1580" s="9">
        <v>0.99539999999999995</v>
      </c>
      <c r="I1580" s="9">
        <v>3.42</v>
      </c>
      <c r="J1580" s="9">
        <v>0.67</v>
      </c>
      <c r="K1580" s="9">
        <v>11.3</v>
      </c>
      <c r="L1580" s="9">
        <v>6</v>
      </c>
    </row>
    <row r="1581" spans="1:12" x14ac:dyDescent="0.3">
      <c r="A1581" s="9">
        <v>6.2</v>
      </c>
      <c r="B1581" s="9">
        <v>0.56000000000000005</v>
      </c>
      <c r="C1581" s="9">
        <v>0.09</v>
      </c>
      <c r="D1581" s="9">
        <v>1.7</v>
      </c>
      <c r="E1581" s="9">
        <v>5.2999999999999999E-2</v>
      </c>
      <c r="F1581" s="9">
        <v>24</v>
      </c>
      <c r="G1581" s="9">
        <v>32</v>
      </c>
      <c r="H1581" s="9">
        <v>0.99402000000000001</v>
      </c>
      <c r="I1581" s="9">
        <v>3.54</v>
      </c>
      <c r="J1581" s="9">
        <v>0.6</v>
      </c>
      <c r="K1581" s="9">
        <v>11.3</v>
      </c>
      <c r="L1581" s="9">
        <v>5</v>
      </c>
    </row>
    <row r="1582" spans="1:12" x14ac:dyDescent="0.3">
      <c r="A1582" s="9">
        <v>7.4</v>
      </c>
      <c r="B1582" s="9">
        <v>0.35</v>
      </c>
      <c r="C1582" s="9">
        <v>0.33</v>
      </c>
      <c r="D1582" s="9">
        <v>2.4</v>
      </c>
      <c r="E1582" s="9">
        <v>6.8000000000000005E-2</v>
      </c>
      <c r="F1582" s="9">
        <v>9</v>
      </c>
      <c r="G1582" s="9">
        <v>26</v>
      </c>
      <c r="H1582" s="9">
        <v>0.99470000000000003</v>
      </c>
      <c r="I1582" s="9">
        <v>3.36</v>
      </c>
      <c r="J1582" s="9">
        <v>0.6</v>
      </c>
      <c r="K1582" s="9">
        <v>11.9</v>
      </c>
      <c r="L1582" s="9">
        <v>6</v>
      </c>
    </row>
    <row r="1583" spans="1:12" x14ac:dyDescent="0.3">
      <c r="A1583" s="9">
        <v>6.2</v>
      </c>
      <c r="B1583" s="9">
        <v>0.56000000000000005</v>
      </c>
      <c r="C1583" s="9">
        <v>0.09</v>
      </c>
      <c r="D1583" s="9">
        <v>1.7</v>
      </c>
      <c r="E1583" s="9">
        <v>5.2999999999999999E-2</v>
      </c>
      <c r="F1583" s="9">
        <v>24</v>
      </c>
      <c r="G1583" s="9">
        <v>32</v>
      </c>
      <c r="H1583" s="9">
        <v>0.99402000000000001</v>
      </c>
      <c r="I1583" s="9">
        <v>3.54</v>
      </c>
      <c r="J1583" s="9">
        <v>0.6</v>
      </c>
      <c r="K1583" s="9">
        <v>11.3</v>
      </c>
      <c r="L1583" s="9">
        <v>5</v>
      </c>
    </row>
    <row r="1584" spans="1:12" x14ac:dyDescent="0.3">
      <c r="A1584" s="9">
        <v>6.1</v>
      </c>
      <c r="B1584" s="9">
        <v>0.71499999999999997</v>
      </c>
      <c r="C1584" s="9">
        <v>0.1</v>
      </c>
      <c r="D1584" s="9">
        <v>2.6</v>
      </c>
      <c r="E1584" s="9">
        <v>5.2999999999999999E-2</v>
      </c>
      <c r="F1584" s="9">
        <v>13</v>
      </c>
      <c r="G1584" s="9">
        <v>27</v>
      </c>
      <c r="H1584" s="9">
        <v>0.99361999999999995</v>
      </c>
      <c r="I1584" s="9">
        <v>3.57</v>
      </c>
      <c r="J1584" s="9">
        <v>0.5</v>
      </c>
      <c r="K1584" s="9">
        <v>11.9</v>
      </c>
      <c r="L1584" s="9">
        <v>5</v>
      </c>
    </row>
    <row r="1585" spans="1:12" x14ac:dyDescent="0.3">
      <c r="A1585" s="9">
        <v>6.2</v>
      </c>
      <c r="B1585" s="9">
        <v>0.46</v>
      </c>
      <c r="C1585" s="9">
        <v>0.28999999999999998</v>
      </c>
      <c r="D1585" s="9">
        <v>2.1</v>
      </c>
      <c r="E1585" s="9">
        <v>7.3999999999999996E-2</v>
      </c>
      <c r="F1585" s="9">
        <v>32</v>
      </c>
      <c r="G1585" s="9">
        <v>98</v>
      </c>
      <c r="H1585" s="9">
        <v>0.99578</v>
      </c>
      <c r="I1585" s="9">
        <v>3.33</v>
      </c>
      <c r="J1585" s="9">
        <v>0.62</v>
      </c>
      <c r="K1585" s="9">
        <v>9.8000000000000007</v>
      </c>
      <c r="L1585" s="9">
        <v>5</v>
      </c>
    </row>
    <row r="1586" spans="1:12" x14ac:dyDescent="0.3">
      <c r="A1586" s="9">
        <v>6.7</v>
      </c>
      <c r="B1586" s="9">
        <v>0.32</v>
      </c>
      <c r="C1586" s="9">
        <v>0.44</v>
      </c>
      <c r="D1586" s="9">
        <v>2.4</v>
      </c>
      <c r="E1586" s="9">
        <v>6.0999999999999999E-2</v>
      </c>
      <c r="F1586" s="9">
        <v>24</v>
      </c>
      <c r="G1586" s="9">
        <v>34</v>
      </c>
      <c r="H1586" s="9">
        <v>0.99483999999999995</v>
      </c>
      <c r="I1586" s="9">
        <v>3.29</v>
      </c>
      <c r="J1586" s="9">
        <v>0.8</v>
      </c>
      <c r="K1586" s="9">
        <v>11.6</v>
      </c>
      <c r="L1586" s="9">
        <v>7</v>
      </c>
    </row>
    <row r="1587" spans="1:12" x14ac:dyDescent="0.3">
      <c r="A1587" s="9">
        <v>7.2</v>
      </c>
      <c r="B1587" s="9">
        <v>0.39</v>
      </c>
      <c r="C1587" s="9">
        <v>0.44</v>
      </c>
      <c r="D1587" s="9">
        <v>2.6</v>
      </c>
      <c r="E1587" s="9">
        <v>6.6000000000000003E-2</v>
      </c>
      <c r="F1587" s="9">
        <v>22</v>
      </c>
      <c r="G1587" s="9">
        <v>48</v>
      </c>
      <c r="H1587" s="9">
        <v>0.99494000000000005</v>
      </c>
      <c r="I1587" s="9">
        <v>3.3</v>
      </c>
      <c r="J1587" s="9">
        <v>0.84</v>
      </c>
      <c r="K1587" s="9">
        <v>11.5</v>
      </c>
      <c r="L1587" s="9">
        <v>6</v>
      </c>
    </row>
    <row r="1588" spans="1:12" x14ac:dyDescent="0.3">
      <c r="A1588" s="9">
        <v>7.5</v>
      </c>
      <c r="B1588" s="9">
        <v>0.31</v>
      </c>
      <c r="C1588" s="9">
        <v>0.41</v>
      </c>
      <c r="D1588" s="9">
        <v>2.4</v>
      </c>
      <c r="E1588" s="9">
        <v>6.5000000000000002E-2</v>
      </c>
      <c r="F1588" s="9">
        <v>34</v>
      </c>
      <c r="G1588" s="9">
        <v>60</v>
      </c>
      <c r="H1588" s="9">
        <v>0.99492000000000003</v>
      </c>
      <c r="I1588" s="9">
        <v>3.34</v>
      </c>
      <c r="J1588" s="9">
        <v>0.85</v>
      </c>
      <c r="K1588" s="9">
        <v>11.4</v>
      </c>
      <c r="L1588" s="9">
        <v>6</v>
      </c>
    </row>
    <row r="1589" spans="1:12" x14ac:dyDescent="0.3">
      <c r="A1589" s="9">
        <v>5.8</v>
      </c>
      <c r="B1589" s="9">
        <v>0.61</v>
      </c>
      <c r="C1589" s="9">
        <v>0.11</v>
      </c>
      <c r="D1589" s="9">
        <v>1.8</v>
      </c>
      <c r="E1589" s="9">
        <v>6.6000000000000003E-2</v>
      </c>
      <c r="F1589" s="9">
        <v>18</v>
      </c>
      <c r="G1589" s="9">
        <v>28</v>
      </c>
      <c r="H1589" s="9">
        <v>0.99482999999999999</v>
      </c>
      <c r="I1589" s="9">
        <v>3.55</v>
      </c>
      <c r="J1589" s="9">
        <v>0.66</v>
      </c>
      <c r="K1589" s="9">
        <v>10.9</v>
      </c>
      <c r="L1589" s="9">
        <v>6</v>
      </c>
    </row>
    <row r="1590" spans="1:12" x14ac:dyDescent="0.3">
      <c r="A1590" s="9">
        <v>7.2</v>
      </c>
      <c r="B1590" s="9">
        <v>0.66</v>
      </c>
      <c r="C1590" s="9">
        <v>0.33</v>
      </c>
      <c r="D1590" s="9">
        <v>2.5</v>
      </c>
      <c r="E1590" s="9">
        <v>6.8000000000000005E-2</v>
      </c>
      <c r="F1590" s="9">
        <v>34</v>
      </c>
      <c r="G1590" s="9">
        <v>102</v>
      </c>
      <c r="H1590" s="9">
        <v>0.99414000000000002</v>
      </c>
      <c r="I1590" s="9">
        <v>3.27</v>
      </c>
      <c r="J1590" s="9">
        <v>0.78</v>
      </c>
      <c r="K1590" s="9">
        <v>12.8</v>
      </c>
      <c r="L1590" s="9">
        <v>6</v>
      </c>
    </row>
    <row r="1591" spans="1:12" x14ac:dyDescent="0.3">
      <c r="A1591" s="9">
        <v>6.6</v>
      </c>
      <c r="B1591" s="9">
        <v>0.72499999999999998</v>
      </c>
      <c r="C1591" s="9">
        <v>0.2</v>
      </c>
      <c r="D1591" s="9">
        <v>7.8</v>
      </c>
      <c r="E1591" s="9">
        <v>7.2999999999999995E-2</v>
      </c>
      <c r="F1591" s="9">
        <v>29</v>
      </c>
      <c r="G1591" s="9">
        <v>79</v>
      </c>
      <c r="H1591" s="9">
        <v>0.99770000000000003</v>
      </c>
      <c r="I1591" s="9">
        <v>3.29</v>
      </c>
      <c r="J1591" s="9">
        <v>0.54</v>
      </c>
      <c r="K1591" s="9">
        <v>9.1999999999999993</v>
      </c>
      <c r="L1591" s="9">
        <v>5</v>
      </c>
    </row>
    <row r="1592" spans="1:12" x14ac:dyDescent="0.3">
      <c r="A1592" s="9">
        <v>6.3</v>
      </c>
      <c r="B1592" s="9">
        <v>0.55000000000000004</v>
      </c>
      <c r="C1592" s="9">
        <v>0.15</v>
      </c>
      <c r="D1592" s="9">
        <v>1.8</v>
      </c>
      <c r="E1592" s="9">
        <v>7.6999999999999999E-2</v>
      </c>
      <c r="F1592" s="9">
        <v>26</v>
      </c>
      <c r="G1592" s="9">
        <v>35</v>
      </c>
      <c r="H1592" s="9">
        <v>0.99314000000000002</v>
      </c>
      <c r="I1592" s="9">
        <v>3.32</v>
      </c>
      <c r="J1592" s="9">
        <v>0.82</v>
      </c>
      <c r="K1592" s="9">
        <v>11.6</v>
      </c>
      <c r="L1592" s="9">
        <v>6</v>
      </c>
    </row>
    <row r="1593" spans="1:12" x14ac:dyDescent="0.3">
      <c r="A1593" s="9">
        <v>5.4</v>
      </c>
      <c r="B1593" s="9">
        <v>0.74</v>
      </c>
      <c r="C1593" s="9">
        <v>0.09</v>
      </c>
      <c r="D1593" s="9">
        <v>1.7</v>
      </c>
      <c r="E1593" s="9">
        <v>8.8999999999999996E-2</v>
      </c>
      <c r="F1593" s="9">
        <v>16</v>
      </c>
      <c r="G1593" s="9">
        <v>26</v>
      </c>
      <c r="H1593" s="9">
        <v>0.99402000000000001</v>
      </c>
      <c r="I1593" s="9">
        <v>3.67</v>
      </c>
      <c r="J1593" s="9">
        <v>0.56000000000000005</v>
      </c>
      <c r="K1593" s="9">
        <v>11.6</v>
      </c>
      <c r="L1593" s="9">
        <v>6</v>
      </c>
    </row>
    <row r="1594" spans="1:12" x14ac:dyDescent="0.3">
      <c r="A1594" s="9">
        <v>6.3</v>
      </c>
      <c r="B1594" s="9">
        <v>0.51</v>
      </c>
      <c r="C1594" s="9">
        <v>0.13</v>
      </c>
      <c r="D1594" s="9">
        <v>2.2999999999999998</v>
      </c>
      <c r="E1594" s="9">
        <v>7.5999999999999998E-2</v>
      </c>
      <c r="F1594" s="9">
        <v>29</v>
      </c>
      <c r="G1594" s="9">
        <v>40</v>
      </c>
      <c r="H1594" s="9">
        <v>0.99573999999999996</v>
      </c>
      <c r="I1594" s="9">
        <v>3.42</v>
      </c>
      <c r="J1594" s="9">
        <v>0.75</v>
      </c>
      <c r="K1594" s="9">
        <v>11</v>
      </c>
      <c r="L1594" s="9">
        <v>6</v>
      </c>
    </row>
    <row r="1595" spans="1:12" x14ac:dyDescent="0.3">
      <c r="A1595" s="9">
        <v>6.8</v>
      </c>
      <c r="B1595" s="9">
        <v>0.62</v>
      </c>
      <c r="C1595" s="9">
        <v>0.08</v>
      </c>
      <c r="D1595" s="9">
        <v>1.9</v>
      </c>
      <c r="E1595" s="9">
        <v>6.8000000000000005E-2</v>
      </c>
      <c r="F1595" s="9">
        <v>28</v>
      </c>
      <c r="G1595" s="9">
        <v>38</v>
      </c>
      <c r="H1595" s="9">
        <v>0.99651000000000001</v>
      </c>
      <c r="I1595" s="9">
        <v>3.42</v>
      </c>
      <c r="J1595" s="9">
        <v>0.82</v>
      </c>
      <c r="K1595" s="9">
        <v>9.5</v>
      </c>
      <c r="L1595" s="9">
        <v>6</v>
      </c>
    </row>
    <row r="1596" spans="1:12" x14ac:dyDescent="0.3">
      <c r="A1596" s="9">
        <v>6.2</v>
      </c>
      <c r="B1596" s="9">
        <v>0.6</v>
      </c>
      <c r="C1596" s="9">
        <v>0.08</v>
      </c>
      <c r="D1596" s="9">
        <v>2</v>
      </c>
      <c r="E1596" s="9">
        <v>0.09</v>
      </c>
      <c r="F1596" s="9">
        <v>32</v>
      </c>
      <c r="G1596" s="9">
        <v>44</v>
      </c>
      <c r="H1596" s="9">
        <v>0.99490000000000001</v>
      </c>
      <c r="I1596" s="9">
        <v>3.45</v>
      </c>
      <c r="J1596" s="9">
        <v>0.57999999999999996</v>
      </c>
      <c r="K1596" s="9">
        <v>10.5</v>
      </c>
      <c r="L1596" s="9">
        <v>5</v>
      </c>
    </row>
    <row r="1597" spans="1:12" x14ac:dyDescent="0.3">
      <c r="A1597" s="9">
        <v>5.9</v>
      </c>
      <c r="B1597" s="9">
        <v>0.55000000000000004</v>
      </c>
      <c r="C1597" s="9">
        <v>0.1</v>
      </c>
      <c r="D1597" s="9">
        <v>2.2000000000000002</v>
      </c>
      <c r="E1597" s="9">
        <v>6.2E-2</v>
      </c>
      <c r="F1597" s="9">
        <v>39</v>
      </c>
      <c r="G1597" s="9">
        <v>51</v>
      </c>
      <c r="H1597" s="9">
        <v>0.99512</v>
      </c>
      <c r="I1597" s="9">
        <v>3.52</v>
      </c>
      <c r="J1597" s="9">
        <v>0.76</v>
      </c>
      <c r="K1597" s="9">
        <v>11.2</v>
      </c>
      <c r="L1597" s="9">
        <v>6</v>
      </c>
    </row>
    <row r="1598" spans="1:12" x14ac:dyDescent="0.3">
      <c r="A1598" s="9">
        <v>6.3</v>
      </c>
      <c r="B1598" s="9">
        <v>0.51</v>
      </c>
      <c r="C1598" s="9">
        <v>0.13</v>
      </c>
      <c r="D1598" s="9">
        <v>2.2999999999999998</v>
      </c>
      <c r="E1598" s="9">
        <v>7.5999999999999998E-2</v>
      </c>
      <c r="F1598" s="9">
        <v>29</v>
      </c>
      <c r="G1598" s="9">
        <v>40</v>
      </c>
      <c r="H1598" s="9">
        <v>0.99573999999999996</v>
      </c>
      <c r="I1598" s="9">
        <v>3.42</v>
      </c>
      <c r="J1598" s="9">
        <v>0.75</v>
      </c>
      <c r="K1598" s="9">
        <v>11</v>
      </c>
      <c r="L1598" s="9">
        <v>6</v>
      </c>
    </row>
    <row r="1599" spans="1:12" x14ac:dyDescent="0.3">
      <c r="A1599" s="9">
        <v>5.9</v>
      </c>
      <c r="B1599" s="9">
        <v>0.64500000000000002</v>
      </c>
      <c r="C1599" s="9">
        <v>0.12</v>
      </c>
      <c r="D1599" s="9">
        <v>2</v>
      </c>
      <c r="E1599" s="9">
        <v>7.4999999999999997E-2</v>
      </c>
      <c r="F1599" s="9">
        <v>32</v>
      </c>
      <c r="G1599" s="9">
        <v>44</v>
      </c>
      <c r="H1599" s="9">
        <v>0.99546999999999997</v>
      </c>
      <c r="I1599" s="9">
        <v>3.57</v>
      </c>
      <c r="J1599" s="9">
        <v>0.71</v>
      </c>
      <c r="K1599" s="9">
        <v>10.199999999999999</v>
      </c>
      <c r="L1599" s="9">
        <v>5</v>
      </c>
    </row>
    <row r="1600" spans="1:12" x14ac:dyDescent="0.3">
      <c r="A1600" s="9">
        <v>6</v>
      </c>
      <c r="B1600" s="9">
        <v>0.31</v>
      </c>
      <c r="C1600" s="9">
        <v>0.47</v>
      </c>
      <c r="D1600" s="9">
        <v>3.6</v>
      </c>
      <c r="E1600" s="9">
        <v>6.7000000000000004E-2</v>
      </c>
      <c r="F1600" s="9">
        <v>18</v>
      </c>
      <c r="G1600" s="9">
        <v>42</v>
      </c>
      <c r="H1600" s="9">
        <v>0.99548999999999999</v>
      </c>
      <c r="I1600" s="9">
        <v>3.39</v>
      </c>
      <c r="J1600" s="9">
        <v>0.66</v>
      </c>
      <c r="K1600" s="9">
        <v>11</v>
      </c>
      <c r="L1600" s="9">
        <v>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M1360"/>
  <sheetViews>
    <sheetView showGridLines="0"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3" width="17" customWidth="1"/>
  </cols>
  <sheetData>
    <row r="1" spans="1:13" ht="30" customHeight="1" x14ac:dyDescent="0.3">
      <c r="A1" s="8" t="s">
        <v>12</v>
      </c>
      <c r="B1" s="8" t="s">
        <v>13</v>
      </c>
      <c r="C1" s="8" t="s">
        <v>14</v>
      </c>
      <c r="D1" s="8" t="s">
        <v>15</v>
      </c>
      <c r="E1" s="8" t="s">
        <v>16</v>
      </c>
      <c r="F1" s="8" t="s">
        <v>17</v>
      </c>
      <c r="G1" s="8" t="s">
        <v>18</v>
      </c>
      <c r="H1" s="8" t="s">
        <v>19</v>
      </c>
      <c r="I1" s="8" t="s">
        <v>20</v>
      </c>
      <c r="J1" s="8" t="s">
        <v>8</v>
      </c>
      <c r="K1" s="8" t="s">
        <v>21</v>
      </c>
      <c r="L1" s="8" t="s">
        <v>22</v>
      </c>
      <c r="M1" s="8" t="s">
        <v>23</v>
      </c>
    </row>
    <row r="2" spans="1:13" x14ac:dyDescent="0.3">
      <c r="A2" s="10">
        <v>1</v>
      </c>
      <c r="B2" s="11">
        <v>7.4</v>
      </c>
      <c r="C2" s="12">
        <v>0.7</v>
      </c>
      <c r="D2" s="13">
        <v>0</v>
      </c>
      <c r="E2" s="11">
        <v>1.9</v>
      </c>
      <c r="F2" s="12">
        <v>7.5999999999999998E-2</v>
      </c>
      <c r="G2" s="11">
        <v>11</v>
      </c>
      <c r="H2" s="11">
        <v>34</v>
      </c>
      <c r="I2" s="14">
        <v>0.99780000000000002</v>
      </c>
      <c r="J2" s="13">
        <v>3.51</v>
      </c>
      <c r="K2" s="13">
        <v>0.56000000000000005</v>
      </c>
      <c r="L2" s="11">
        <v>9.4</v>
      </c>
      <c r="M2" s="10">
        <v>5</v>
      </c>
    </row>
    <row r="3" spans="1:13" x14ac:dyDescent="0.3">
      <c r="A3" s="10">
        <v>2</v>
      </c>
      <c r="B3" s="11">
        <v>7.8</v>
      </c>
      <c r="C3" s="12">
        <v>0.88</v>
      </c>
      <c r="D3" s="13">
        <v>0</v>
      </c>
      <c r="E3" s="11">
        <v>2.6</v>
      </c>
      <c r="F3" s="12">
        <v>9.8000000000000004E-2</v>
      </c>
      <c r="G3" s="11">
        <v>25</v>
      </c>
      <c r="H3" s="11">
        <v>67</v>
      </c>
      <c r="I3" s="14">
        <v>0.99680000000000002</v>
      </c>
      <c r="J3" s="13">
        <v>3.2</v>
      </c>
      <c r="K3" s="13">
        <v>0.68</v>
      </c>
      <c r="L3" s="11">
        <v>9.8000000000000007</v>
      </c>
      <c r="M3" s="10">
        <v>5</v>
      </c>
    </row>
    <row r="4" spans="1:13" x14ac:dyDescent="0.3">
      <c r="A4" s="10">
        <v>3</v>
      </c>
      <c r="B4" s="11">
        <v>7.8</v>
      </c>
      <c r="C4" s="12">
        <v>0.76</v>
      </c>
      <c r="D4" s="13">
        <v>0.04</v>
      </c>
      <c r="E4" s="11">
        <v>2.2999999999999998</v>
      </c>
      <c r="F4" s="12">
        <v>9.1999999999999998E-2</v>
      </c>
      <c r="G4" s="11">
        <v>15</v>
      </c>
      <c r="H4" s="11">
        <v>54</v>
      </c>
      <c r="I4" s="14">
        <v>0.997</v>
      </c>
      <c r="J4" s="13">
        <v>3.26</v>
      </c>
      <c r="K4" s="13">
        <v>0.65</v>
      </c>
      <c r="L4" s="11">
        <v>9.8000000000000007</v>
      </c>
      <c r="M4" s="10">
        <v>5</v>
      </c>
    </row>
    <row r="5" spans="1:13" x14ac:dyDescent="0.3">
      <c r="A5" s="10">
        <v>4</v>
      </c>
      <c r="B5" s="11">
        <v>11.2</v>
      </c>
      <c r="C5" s="12">
        <v>0.28000000000000003</v>
      </c>
      <c r="D5" s="13">
        <v>0.56000000000000005</v>
      </c>
      <c r="E5" s="11">
        <v>1.9</v>
      </c>
      <c r="F5" s="12">
        <v>7.4999999999999997E-2</v>
      </c>
      <c r="G5" s="11">
        <v>17</v>
      </c>
      <c r="H5" s="11">
        <v>60</v>
      </c>
      <c r="I5" s="14">
        <v>0.998</v>
      </c>
      <c r="J5" s="13">
        <v>3.16</v>
      </c>
      <c r="K5" s="13">
        <v>0.57999999999999996</v>
      </c>
      <c r="L5" s="11">
        <v>9.8000000000000007</v>
      </c>
      <c r="M5" s="10">
        <v>6</v>
      </c>
    </row>
    <row r="6" spans="1:13" x14ac:dyDescent="0.3">
      <c r="A6" s="10">
        <v>5</v>
      </c>
      <c r="B6" s="11">
        <v>7.4</v>
      </c>
      <c r="C6" s="12">
        <v>0.66</v>
      </c>
      <c r="D6" s="13">
        <v>0</v>
      </c>
      <c r="E6" s="11">
        <v>1.8</v>
      </c>
      <c r="F6" s="12">
        <v>7.4999999999999997E-2</v>
      </c>
      <c r="G6" s="11">
        <v>13</v>
      </c>
      <c r="H6" s="11">
        <v>40</v>
      </c>
      <c r="I6" s="14">
        <v>0.99780000000000002</v>
      </c>
      <c r="J6" s="13">
        <v>3.51</v>
      </c>
      <c r="K6" s="13">
        <v>0.56000000000000005</v>
      </c>
      <c r="L6" s="11">
        <v>9.4</v>
      </c>
      <c r="M6" s="10">
        <v>5</v>
      </c>
    </row>
    <row r="7" spans="1:13" x14ac:dyDescent="0.3">
      <c r="A7" s="10">
        <v>6</v>
      </c>
      <c r="B7" s="11">
        <v>7.9</v>
      </c>
      <c r="C7" s="12">
        <v>0.6</v>
      </c>
      <c r="D7" s="13">
        <v>0.06</v>
      </c>
      <c r="E7" s="11">
        <v>1.6</v>
      </c>
      <c r="F7" s="12">
        <v>6.9000000000000006E-2</v>
      </c>
      <c r="G7" s="11">
        <v>15</v>
      </c>
      <c r="H7" s="11">
        <v>59</v>
      </c>
      <c r="I7" s="14">
        <v>0.99639999999999995</v>
      </c>
      <c r="J7" s="13">
        <v>3.3</v>
      </c>
      <c r="K7" s="13">
        <v>0.46</v>
      </c>
      <c r="L7" s="11">
        <v>9.4</v>
      </c>
      <c r="M7" s="10">
        <v>5</v>
      </c>
    </row>
    <row r="8" spans="1:13" x14ac:dyDescent="0.3">
      <c r="A8" s="10">
        <v>7</v>
      </c>
      <c r="B8" s="11">
        <v>7.3</v>
      </c>
      <c r="C8" s="12">
        <v>0.65</v>
      </c>
      <c r="D8" s="13">
        <v>0</v>
      </c>
      <c r="E8" s="11">
        <v>1.2</v>
      </c>
      <c r="F8" s="12">
        <v>6.5000000000000002E-2</v>
      </c>
      <c r="G8" s="11">
        <v>15</v>
      </c>
      <c r="H8" s="11">
        <v>21</v>
      </c>
      <c r="I8" s="14">
        <v>0.99460000000000004</v>
      </c>
      <c r="J8" s="13">
        <v>3.39</v>
      </c>
      <c r="K8" s="13">
        <v>0.47</v>
      </c>
      <c r="L8" s="11">
        <v>10</v>
      </c>
      <c r="M8" s="10">
        <v>7</v>
      </c>
    </row>
    <row r="9" spans="1:13" x14ac:dyDescent="0.3">
      <c r="A9" s="10">
        <v>8</v>
      </c>
      <c r="B9" s="11">
        <v>7.8</v>
      </c>
      <c r="C9" s="12">
        <v>0.57999999999999996</v>
      </c>
      <c r="D9" s="13">
        <v>0.02</v>
      </c>
      <c r="E9" s="11">
        <v>2</v>
      </c>
      <c r="F9" s="12">
        <v>7.2999999999999995E-2</v>
      </c>
      <c r="G9" s="11">
        <v>9</v>
      </c>
      <c r="H9" s="11">
        <v>18</v>
      </c>
      <c r="I9" s="14">
        <v>0.99680000000000002</v>
      </c>
      <c r="J9" s="13">
        <v>3.36</v>
      </c>
      <c r="K9" s="13">
        <v>0.56999999999999995</v>
      </c>
      <c r="L9" s="11">
        <v>9.5</v>
      </c>
      <c r="M9" s="10">
        <v>7</v>
      </c>
    </row>
    <row r="10" spans="1:13" x14ac:dyDescent="0.3">
      <c r="A10" s="10">
        <v>9</v>
      </c>
      <c r="B10" s="11">
        <v>7.5</v>
      </c>
      <c r="C10" s="12">
        <v>0.5</v>
      </c>
      <c r="D10" s="13">
        <v>0.36</v>
      </c>
      <c r="E10" s="11">
        <v>6.1</v>
      </c>
      <c r="F10" s="12">
        <v>7.0999999999999994E-2</v>
      </c>
      <c r="G10" s="11">
        <v>17</v>
      </c>
      <c r="H10" s="11">
        <v>102</v>
      </c>
      <c r="I10" s="14">
        <v>0.99780000000000002</v>
      </c>
      <c r="J10" s="13">
        <v>3.35</v>
      </c>
      <c r="K10" s="13">
        <v>0.8</v>
      </c>
      <c r="L10" s="11">
        <v>10.5</v>
      </c>
      <c r="M10" s="10">
        <v>5</v>
      </c>
    </row>
    <row r="11" spans="1:13" x14ac:dyDescent="0.3">
      <c r="A11" s="10">
        <v>10</v>
      </c>
      <c r="B11" s="11">
        <v>6.7</v>
      </c>
      <c r="C11" s="12">
        <v>0.57999999999999996</v>
      </c>
      <c r="D11" s="13">
        <v>0.08</v>
      </c>
      <c r="E11" s="11">
        <v>1.8</v>
      </c>
      <c r="F11" s="12">
        <v>9.7000000000000003E-2</v>
      </c>
      <c r="G11" s="11">
        <v>15</v>
      </c>
      <c r="H11" s="11">
        <v>65</v>
      </c>
      <c r="I11" s="14">
        <v>0.99590000000000001</v>
      </c>
      <c r="J11" s="13">
        <v>3.28</v>
      </c>
      <c r="K11" s="13">
        <v>0.54</v>
      </c>
      <c r="L11" s="11">
        <v>9.1999999999999993</v>
      </c>
      <c r="M11" s="10">
        <v>5</v>
      </c>
    </row>
    <row r="12" spans="1:13" x14ac:dyDescent="0.3">
      <c r="A12" s="10">
        <v>11</v>
      </c>
      <c r="B12" s="11">
        <v>5.6</v>
      </c>
      <c r="C12" s="12">
        <v>0.61499999999999999</v>
      </c>
      <c r="D12" s="13">
        <v>0</v>
      </c>
      <c r="E12" s="11">
        <v>1.6</v>
      </c>
      <c r="F12" s="12">
        <v>8.8999999999999996E-2</v>
      </c>
      <c r="G12" s="11">
        <v>16</v>
      </c>
      <c r="H12" s="11">
        <v>59</v>
      </c>
      <c r="I12" s="14">
        <v>0.99429999999999996</v>
      </c>
      <c r="J12" s="13">
        <v>3.58</v>
      </c>
      <c r="K12" s="13">
        <v>0.52</v>
      </c>
      <c r="L12" s="11">
        <v>9.9</v>
      </c>
      <c r="M12" s="10">
        <v>5</v>
      </c>
    </row>
    <row r="13" spans="1:13" x14ac:dyDescent="0.3">
      <c r="A13" s="10">
        <v>12</v>
      </c>
      <c r="B13" s="11">
        <v>7.8</v>
      </c>
      <c r="C13" s="12">
        <v>0.61</v>
      </c>
      <c r="D13" s="13">
        <v>0.28999999999999998</v>
      </c>
      <c r="E13" s="11">
        <v>1.6</v>
      </c>
      <c r="F13" s="12">
        <v>0.114</v>
      </c>
      <c r="G13" s="11">
        <v>9</v>
      </c>
      <c r="H13" s="11">
        <v>29</v>
      </c>
      <c r="I13" s="14">
        <v>0.99739999999999995</v>
      </c>
      <c r="J13" s="13">
        <v>3.26</v>
      </c>
      <c r="K13" s="13">
        <v>1.56</v>
      </c>
      <c r="L13" s="11">
        <v>9.1</v>
      </c>
      <c r="M13" s="10">
        <v>5</v>
      </c>
    </row>
    <row r="14" spans="1:13" x14ac:dyDescent="0.3">
      <c r="A14" s="10">
        <v>13</v>
      </c>
      <c r="B14" s="11">
        <v>8.9</v>
      </c>
      <c r="C14" s="12">
        <v>0.62</v>
      </c>
      <c r="D14" s="13">
        <v>0.18</v>
      </c>
      <c r="E14" s="11">
        <v>3.8</v>
      </c>
      <c r="F14" s="12">
        <v>0.17599999999999999</v>
      </c>
      <c r="G14" s="11">
        <v>52</v>
      </c>
      <c r="H14" s="11">
        <v>145</v>
      </c>
      <c r="I14" s="14">
        <v>0.99860000000000004</v>
      </c>
      <c r="J14" s="13">
        <v>3.16</v>
      </c>
      <c r="K14" s="13">
        <v>0.88</v>
      </c>
      <c r="L14" s="11">
        <v>9.1999999999999993</v>
      </c>
      <c r="M14" s="10">
        <v>5</v>
      </c>
    </row>
    <row r="15" spans="1:13" x14ac:dyDescent="0.3">
      <c r="A15" s="10">
        <v>14</v>
      </c>
      <c r="B15" s="11">
        <v>8.9</v>
      </c>
      <c r="C15" s="12">
        <v>0.62</v>
      </c>
      <c r="D15" s="13">
        <v>0.19</v>
      </c>
      <c r="E15" s="11">
        <v>3.9</v>
      </c>
      <c r="F15" s="12">
        <v>0.17</v>
      </c>
      <c r="G15" s="11">
        <v>51</v>
      </c>
      <c r="H15" s="11">
        <v>148</v>
      </c>
      <c r="I15" s="14">
        <v>0.99860000000000004</v>
      </c>
      <c r="J15" s="13">
        <v>3.17</v>
      </c>
      <c r="K15" s="13">
        <v>0.93</v>
      </c>
      <c r="L15" s="11">
        <v>9.1999999999999993</v>
      </c>
      <c r="M15" s="10">
        <v>5</v>
      </c>
    </row>
    <row r="16" spans="1:13" x14ac:dyDescent="0.3">
      <c r="A16" s="10">
        <v>15</v>
      </c>
      <c r="B16" s="11">
        <v>8.5</v>
      </c>
      <c r="C16" s="12">
        <v>0.28000000000000003</v>
      </c>
      <c r="D16" s="13">
        <v>0.56000000000000005</v>
      </c>
      <c r="E16" s="11">
        <v>1.8</v>
      </c>
      <c r="F16" s="12">
        <v>9.1999999999999998E-2</v>
      </c>
      <c r="G16" s="11">
        <v>35</v>
      </c>
      <c r="H16" s="11">
        <v>103</v>
      </c>
      <c r="I16" s="14">
        <v>0.99690000000000001</v>
      </c>
      <c r="J16" s="13">
        <v>3.3</v>
      </c>
      <c r="K16" s="13">
        <v>0.75</v>
      </c>
      <c r="L16" s="11">
        <v>10.5</v>
      </c>
      <c r="M16" s="10">
        <v>7</v>
      </c>
    </row>
    <row r="17" spans="1:13" x14ac:dyDescent="0.3">
      <c r="A17" s="10">
        <v>16</v>
      </c>
      <c r="B17" s="11">
        <v>8.1</v>
      </c>
      <c r="C17" s="12">
        <v>0.56000000000000005</v>
      </c>
      <c r="D17" s="13">
        <v>0.28000000000000003</v>
      </c>
      <c r="E17" s="11">
        <v>1.7</v>
      </c>
      <c r="F17" s="12">
        <v>0.36799999999999999</v>
      </c>
      <c r="G17" s="11">
        <v>16</v>
      </c>
      <c r="H17" s="11">
        <v>56</v>
      </c>
      <c r="I17" s="14">
        <v>0.99680000000000002</v>
      </c>
      <c r="J17" s="13">
        <v>3.11</v>
      </c>
      <c r="K17" s="13">
        <v>1.28</v>
      </c>
      <c r="L17" s="11">
        <v>9.3000000000000007</v>
      </c>
      <c r="M17" s="10">
        <v>5</v>
      </c>
    </row>
    <row r="18" spans="1:13" x14ac:dyDescent="0.3">
      <c r="A18" s="10">
        <v>17</v>
      </c>
      <c r="B18" s="11">
        <v>7.4</v>
      </c>
      <c r="C18" s="12">
        <v>0.59</v>
      </c>
      <c r="D18" s="13">
        <v>0.08</v>
      </c>
      <c r="E18" s="11">
        <v>4.4000000000000004</v>
      </c>
      <c r="F18" s="12">
        <v>8.5999999999999993E-2</v>
      </c>
      <c r="G18" s="11">
        <v>6</v>
      </c>
      <c r="H18" s="11">
        <v>29</v>
      </c>
      <c r="I18" s="14">
        <v>0.99739999999999995</v>
      </c>
      <c r="J18" s="13">
        <v>3.38</v>
      </c>
      <c r="K18" s="13">
        <v>0.5</v>
      </c>
      <c r="L18" s="11">
        <v>9</v>
      </c>
      <c r="M18" s="10">
        <v>4</v>
      </c>
    </row>
    <row r="19" spans="1:13" x14ac:dyDescent="0.3">
      <c r="A19" s="10">
        <v>18</v>
      </c>
      <c r="B19" s="11">
        <v>7.9</v>
      </c>
      <c r="C19" s="12">
        <v>0.32</v>
      </c>
      <c r="D19" s="13">
        <v>0.51</v>
      </c>
      <c r="E19" s="11">
        <v>1.8</v>
      </c>
      <c r="F19" s="12">
        <v>0.34100000000000003</v>
      </c>
      <c r="G19" s="11">
        <v>17</v>
      </c>
      <c r="H19" s="11">
        <v>56</v>
      </c>
      <c r="I19" s="14">
        <v>0.99690000000000001</v>
      </c>
      <c r="J19" s="13">
        <v>3.04</v>
      </c>
      <c r="K19" s="13">
        <v>1.08</v>
      </c>
      <c r="L19" s="11">
        <v>9.1999999999999993</v>
      </c>
      <c r="M19" s="10">
        <v>6</v>
      </c>
    </row>
    <row r="20" spans="1:13" x14ac:dyDescent="0.3">
      <c r="A20" s="10">
        <v>19</v>
      </c>
      <c r="B20" s="11">
        <v>8.9</v>
      </c>
      <c r="C20" s="12">
        <v>0.22</v>
      </c>
      <c r="D20" s="13">
        <v>0.48</v>
      </c>
      <c r="E20" s="11">
        <v>1.8</v>
      </c>
      <c r="F20" s="12">
        <v>7.6999999999999999E-2</v>
      </c>
      <c r="G20" s="11">
        <v>29</v>
      </c>
      <c r="H20" s="11">
        <v>60</v>
      </c>
      <c r="I20" s="14">
        <v>0.99680000000000002</v>
      </c>
      <c r="J20" s="13">
        <v>3.39</v>
      </c>
      <c r="K20" s="13">
        <v>0.53</v>
      </c>
      <c r="L20" s="11">
        <v>9.4</v>
      </c>
      <c r="M20" s="10">
        <v>6</v>
      </c>
    </row>
    <row r="21" spans="1:13" x14ac:dyDescent="0.3">
      <c r="A21" s="10">
        <v>20</v>
      </c>
      <c r="B21" s="11">
        <v>7.6</v>
      </c>
      <c r="C21" s="12">
        <v>0.39</v>
      </c>
      <c r="D21" s="13">
        <v>0.31</v>
      </c>
      <c r="E21" s="11">
        <v>2.2999999999999998</v>
      </c>
      <c r="F21" s="12">
        <v>8.2000000000000003E-2</v>
      </c>
      <c r="G21" s="11">
        <v>23</v>
      </c>
      <c r="H21" s="11">
        <v>71</v>
      </c>
      <c r="I21" s="14">
        <v>0.99819999999999998</v>
      </c>
      <c r="J21" s="13">
        <v>3.52</v>
      </c>
      <c r="K21" s="13">
        <v>0.65</v>
      </c>
      <c r="L21" s="11">
        <v>9.6999999999999993</v>
      </c>
      <c r="M21" s="10">
        <v>5</v>
      </c>
    </row>
    <row r="22" spans="1:13" x14ac:dyDescent="0.3">
      <c r="A22" s="10">
        <v>21</v>
      </c>
      <c r="B22" s="11">
        <v>7.9</v>
      </c>
      <c r="C22" s="12">
        <v>0.43</v>
      </c>
      <c r="D22" s="13">
        <v>0.21</v>
      </c>
      <c r="E22" s="11">
        <v>1.6</v>
      </c>
      <c r="F22" s="12">
        <v>0.106</v>
      </c>
      <c r="G22" s="11">
        <v>10</v>
      </c>
      <c r="H22" s="11">
        <v>37</v>
      </c>
      <c r="I22" s="14">
        <v>0.99660000000000004</v>
      </c>
      <c r="J22" s="13">
        <v>3.17</v>
      </c>
      <c r="K22" s="13">
        <v>0.91</v>
      </c>
      <c r="L22" s="11">
        <v>9.5</v>
      </c>
      <c r="M22" s="10">
        <v>5</v>
      </c>
    </row>
    <row r="23" spans="1:13" x14ac:dyDescent="0.3">
      <c r="A23" s="10">
        <v>22</v>
      </c>
      <c r="B23" s="11">
        <v>8.5</v>
      </c>
      <c r="C23" s="12">
        <v>0.49</v>
      </c>
      <c r="D23" s="13">
        <v>0.11</v>
      </c>
      <c r="E23" s="11">
        <v>2.2999999999999998</v>
      </c>
      <c r="F23" s="12">
        <v>8.4000000000000005E-2</v>
      </c>
      <c r="G23" s="11">
        <v>9</v>
      </c>
      <c r="H23" s="11">
        <v>67</v>
      </c>
      <c r="I23" s="14">
        <v>0.99680000000000002</v>
      </c>
      <c r="J23" s="13">
        <v>3.17</v>
      </c>
      <c r="K23" s="13">
        <v>0.53</v>
      </c>
      <c r="L23" s="11">
        <v>9.4</v>
      </c>
      <c r="M23" s="10">
        <v>5</v>
      </c>
    </row>
    <row r="24" spans="1:13" x14ac:dyDescent="0.3">
      <c r="A24" s="10">
        <v>23</v>
      </c>
      <c r="B24" s="11">
        <v>6.9</v>
      </c>
      <c r="C24" s="12">
        <v>0.4</v>
      </c>
      <c r="D24" s="13">
        <v>0.14000000000000001</v>
      </c>
      <c r="E24" s="11">
        <v>2.4</v>
      </c>
      <c r="F24" s="12">
        <v>8.5000000000000006E-2</v>
      </c>
      <c r="G24" s="11">
        <v>21</v>
      </c>
      <c r="H24" s="11">
        <v>40</v>
      </c>
      <c r="I24" s="14">
        <v>0.99680000000000002</v>
      </c>
      <c r="J24" s="13">
        <v>3.43</v>
      </c>
      <c r="K24" s="13">
        <v>0.63</v>
      </c>
      <c r="L24" s="11">
        <v>9.6999999999999993</v>
      </c>
      <c r="M24" s="10">
        <v>6</v>
      </c>
    </row>
    <row r="25" spans="1:13" x14ac:dyDescent="0.3">
      <c r="A25" s="10">
        <v>24</v>
      </c>
      <c r="B25" s="11">
        <v>6.3</v>
      </c>
      <c r="C25" s="12">
        <v>0.39</v>
      </c>
      <c r="D25" s="13">
        <v>0.16</v>
      </c>
      <c r="E25" s="11">
        <v>1.4</v>
      </c>
      <c r="F25" s="12">
        <v>0.08</v>
      </c>
      <c r="G25" s="11">
        <v>11</v>
      </c>
      <c r="H25" s="11">
        <v>23</v>
      </c>
      <c r="I25" s="14">
        <v>0.99550000000000005</v>
      </c>
      <c r="J25" s="13">
        <v>3.34</v>
      </c>
      <c r="K25" s="13">
        <v>0.56000000000000005</v>
      </c>
      <c r="L25" s="11">
        <v>9.3000000000000007</v>
      </c>
      <c r="M25" s="10">
        <v>5</v>
      </c>
    </row>
    <row r="26" spans="1:13" x14ac:dyDescent="0.3">
      <c r="A26" s="10">
        <v>25</v>
      </c>
      <c r="B26" s="11">
        <v>7.6</v>
      </c>
      <c r="C26" s="12">
        <v>0.41</v>
      </c>
      <c r="D26" s="13">
        <v>0.24</v>
      </c>
      <c r="E26" s="11">
        <v>1.8</v>
      </c>
      <c r="F26" s="12">
        <v>0.08</v>
      </c>
      <c r="G26" s="11">
        <v>4</v>
      </c>
      <c r="H26" s="11">
        <v>11</v>
      </c>
      <c r="I26" s="14">
        <v>0.99619999999999997</v>
      </c>
      <c r="J26" s="13">
        <v>3.28</v>
      </c>
      <c r="K26" s="13">
        <v>0.59</v>
      </c>
      <c r="L26" s="11">
        <v>9.5</v>
      </c>
      <c r="M26" s="10">
        <v>5</v>
      </c>
    </row>
    <row r="27" spans="1:13" x14ac:dyDescent="0.3">
      <c r="A27" s="10">
        <v>26</v>
      </c>
      <c r="B27" s="11">
        <v>7.1</v>
      </c>
      <c r="C27" s="12">
        <v>0.71</v>
      </c>
      <c r="D27" s="13">
        <v>0</v>
      </c>
      <c r="E27" s="11">
        <v>1.9</v>
      </c>
      <c r="F27" s="12">
        <v>0.08</v>
      </c>
      <c r="G27" s="11">
        <v>14</v>
      </c>
      <c r="H27" s="11">
        <v>35</v>
      </c>
      <c r="I27" s="14">
        <v>0.99719999999999998</v>
      </c>
      <c r="J27" s="13">
        <v>3.47</v>
      </c>
      <c r="K27" s="13">
        <v>0.55000000000000004</v>
      </c>
      <c r="L27" s="11">
        <v>9.4</v>
      </c>
      <c r="M27" s="10">
        <v>5</v>
      </c>
    </row>
    <row r="28" spans="1:13" x14ac:dyDescent="0.3">
      <c r="A28" s="10">
        <v>27</v>
      </c>
      <c r="B28" s="11">
        <v>7.8</v>
      </c>
      <c r="C28" s="12">
        <v>0.64500000000000002</v>
      </c>
      <c r="D28" s="13">
        <v>0</v>
      </c>
      <c r="E28" s="11">
        <v>2</v>
      </c>
      <c r="F28" s="12">
        <v>8.2000000000000003E-2</v>
      </c>
      <c r="G28" s="11">
        <v>8</v>
      </c>
      <c r="H28" s="11">
        <v>16</v>
      </c>
      <c r="I28" s="14">
        <v>0.99639999999999995</v>
      </c>
      <c r="J28" s="13">
        <v>3.38</v>
      </c>
      <c r="K28" s="13">
        <v>0.59</v>
      </c>
      <c r="L28" s="11">
        <v>9.8000000000000007</v>
      </c>
      <c r="M28" s="10">
        <v>6</v>
      </c>
    </row>
    <row r="29" spans="1:13" x14ac:dyDescent="0.3">
      <c r="A29" s="10">
        <v>28</v>
      </c>
      <c r="B29" s="11">
        <v>6.7</v>
      </c>
      <c r="C29" s="12">
        <v>0.67500000000000004</v>
      </c>
      <c r="D29" s="13">
        <v>7.0000000000000007E-2</v>
      </c>
      <c r="E29" s="11">
        <v>2.4</v>
      </c>
      <c r="F29" s="12">
        <v>8.8999999999999996E-2</v>
      </c>
      <c r="G29" s="11">
        <v>17</v>
      </c>
      <c r="H29" s="11">
        <v>82</v>
      </c>
      <c r="I29" s="14">
        <v>0.99580000000000002</v>
      </c>
      <c r="J29" s="13">
        <v>3.35</v>
      </c>
      <c r="K29" s="13">
        <v>0.54</v>
      </c>
      <c r="L29" s="11">
        <v>10.1</v>
      </c>
      <c r="M29" s="10">
        <v>5</v>
      </c>
    </row>
    <row r="30" spans="1:13" x14ac:dyDescent="0.3">
      <c r="A30" s="10">
        <v>29</v>
      </c>
      <c r="B30" s="11">
        <v>6.9</v>
      </c>
      <c r="C30" s="12">
        <v>0.68500000000000005</v>
      </c>
      <c r="D30" s="13">
        <v>0</v>
      </c>
      <c r="E30" s="11">
        <v>2.5</v>
      </c>
      <c r="F30" s="12">
        <v>0.105</v>
      </c>
      <c r="G30" s="11">
        <v>22</v>
      </c>
      <c r="H30" s="11">
        <v>37</v>
      </c>
      <c r="I30" s="14">
        <v>0.99660000000000004</v>
      </c>
      <c r="J30" s="13">
        <v>3.46</v>
      </c>
      <c r="K30" s="13">
        <v>0.56999999999999995</v>
      </c>
      <c r="L30" s="11">
        <v>10.6</v>
      </c>
      <c r="M30" s="10">
        <v>6</v>
      </c>
    </row>
    <row r="31" spans="1:13" x14ac:dyDescent="0.3">
      <c r="A31" s="10">
        <v>30</v>
      </c>
      <c r="B31" s="11">
        <v>8.3000000000000007</v>
      </c>
      <c r="C31" s="12">
        <v>0.65500000000000003</v>
      </c>
      <c r="D31" s="13">
        <v>0.12</v>
      </c>
      <c r="E31" s="11">
        <v>2.2999999999999998</v>
      </c>
      <c r="F31" s="12">
        <v>8.3000000000000004E-2</v>
      </c>
      <c r="G31" s="11">
        <v>15</v>
      </c>
      <c r="H31" s="11">
        <v>113</v>
      </c>
      <c r="I31" s="14">
        <v>0.99660000000000004</v>
      </c>
      <c r="J31" s="13">
        <v>3.17</v>
      </c>
      <c r="K31" s="13">
        <v>0.66</v>
      </c>
      <c r="L31" s="11">
        <v>9.8000000000000007</v>
      </c>
      <c r="M31" s="10">
        <v>5</v>
      </c>
    </row>
    <row r="32" spans="1:13" x14ac:dyDescent="0.3">
      <c r="A32" s="10">
        <v>31</v>
      </c>
      <c r="B32" s="11">
        <v>6.9</v>
      </c>
      <c r="C32" s="12">
        <v>0.60499999999999998</v>
      </c>
      <c r="D32" s="13">
        <v>0.12</v>
      </c>
      <c r="E32" s="11">
        <v>10.7</v>
      </c>
      <c r="F32" s="12">
        <v>7.2999999999999995E-2</v>
      </c>
      <c r="G32" s="11">
        <v>40</v>
      </c>
      <c r="H32" s="11">
        <v>83</v>
      </c>
      <c r="I32" s="14">
        <v>0.99929999999999997</v>
      </c>
      <c r="J32" s="13">
        <v>3.45</v>
      </c>
      <c r="K32" s="13">
        <v>0.52</v>
      </c>
      <c r="L32" s="11">
        <v>9.4</v>
      </c>
      <c r="M32" s="10">
        <v>6</v>
      </c>
    </row>
    <row r="33" spans="1:13" x14ac:dyDescent="0.3">
      <c r="A33" s="10">
        <v>32</v>
      </c>
      <c r="B33" s="11">
        <v>5.2</v>
      </c>
      <c r="C33" s="12">
        <v>0.32</v>
      </c>
      <c r="D33" s="13">
        <v>0.25</v>
      </c>
      <c r="E33" s="11">
        <v>1.8</v>
      </c>
      <c r="F33" s="12">
        <v>0.10299999999999999</v>
      </c>
      <c r="G33" s="11">
        <v>13</v>
      </c>
      <c r="H33" s="11">
        <v>50</v>
      </c>
      <c r="I33" s="14">
        <v>0.99570000000000003</v>
      </c>
      <c r="J33" s="13">
        <v>3.38</v>
      </c>
      <c r="K33" s="13">
        <v>0.55000000000000004</v>
      </c>
      <c r="L33" s="11">
        <v>9.1999999999999993</v>
      </c>
      <c r="M33" s="10">
        <v>5</v>
      </c>
    </row>
    <row r="34" spans="1:13" x14ac:dyDescent="0.3">
      <c r="A34" s="10">
        <v>33</v>
      </c>
      <c r="B34" s="11">
        <v>7.8</v>
      </c>
      <c r="C34" s="12">
        <v>0.64500000000000002</v>
      </c>
      <c r="D34" s="13">
        <v>0</v>
      </c>
      <c r="E34" s="11">
        <v>5.5</v>
      </c>
      <c r="F34" s="12">
        <v>8.5999999999999993E-2</v>
      </c>
      <c r="G34" s="11">
        <v>5</v>
      </c>
      <c r="H34" s="11">
        <v>18</v>
      </c>
      <c r="I34" s="14">
        <v>0.99860000000000004</v>
      </c>
      <c r="J34" s="13">
        <v>3.4</v>
      </c>
      <c r="K34" s="13">
        <v>0.55000000000000004</v>
      </c>
      <c r="L34" s="11">
        <v>9.6</v>
      </c>
      <c r="M34" s="10">
        <v>6</v>
      </c>
    </row>
    <row r="35" spans="1:13" x14ac:dyDescent="0.3">
      <c r="A35" s="10">
        <v>34</v>
      </c>
      <c r="B35" s="11">
        <v>7.8</v>
      </c>
      <c r="C35" s="12">
        <v>0.6</v>
      </c>
      <c r="D35" s="13">
        <v>0.14000000000000001</v>
      </c>
      <c r="E35" s="11">
        <v>2.4</v>
      </c>
      <c r="F35" s="12">
        <v>8.5999999999999993E-2</v>
      </c>
      <c r="G35" s="11">
        <v>3</v>
      </c>
      <c r="H35" s="11">
        <v>15</v>
      </c>
      <c r="I35" s="14">
        <v>0.99750000000000005</v>
      </c>
      <c r="J35" s="13">
        <v>3.42</v>
      </c>
      <c r="K35" s="13">
        <v>0.6</v>
      </c>
      <c r="L35" s="11">
        <v>10.8</v>
      </c>
      <c r="M35" s="10">
        <v>6</v>
      </c>
    </row>
    <row r="36" spans="1:13" x14ac:dyDescent="0.3">
      <c r="A36" s="10">
        <v>35</v>
      </c>
      <c r="B36" s="11">
        <v>8.1</v>
      </c>
      <c r="C36" s="12">
        <v>0.38</v>
      </c>
      <c r="D36" s="13">
        <v>0.28000000000000003</v>
      </c>
      <c r="E36" s="11">
        <v>2.1</v>
      </c>
      <c r="F36" s="12">
        <v>6.6000000000000003E-2</v>
      </c>
      <c r="G36" s="11">
        <v>13</v>
      </c>
      <c r="H36" s="11">
        <v>30</v>
      </c>
      <c r="I36" s="14">
        <v>0.99680000000000002</v>
      </c>
      <c r="J36" s="13">
        <v>3.23</v>
      </c>
      <c r="K36" s="13">
        <v>0.73</v>
      </c>
      <c r="L36" s="11">
        <v>9.6999999999999993</v>
      </c>
      <c r="M36" s="10">
        <v>7</v>
      </c>
    </row>
    <row r="37" spans="1:13" x14ac:dyDescent="0.3">
      <c r="A37" s="10">
        <v>36</v>
      </c>
      <c r="B37" s="11">
        <v>5.7</v>
      </c>
      <c r="C37" s="12">
        <v>1.1299999999999999</v>
      </c>
      <c r="D37" s="13">
        <v>0.09</v>
      </c>
      <c r="E37" s="11">
        <v>1.5</v>
      </c>
      <c r="F37" s="12">
        <v>0.17199999999999999</v>
      </c>
      <c r="G37" s="11">
        <v>7</v>
      </c>
      <c r="H37" s="11">
        <v>19</v>
      </c>
      <c r="I37" s="14">
        <v>0.99399999999999999</v>
      </c>
      <c r="J37" s="13">
        <v>3.5</v>
      </c>
      <c r="K37" s="13">
        <v>0.48</v>
      </c>
      <c r="L37" s="11">
        <v>9.8000000000000007</v>
      </c>
      <c r="M37" s="10">
        <v>4</v>
      </c>
    </row>
    <row r="38" spans="1:13" x14ac:dyDescent="0.3">
      <c r="A38" s="10">
        <v>37</v>
      </c>
      <c r="B38" s="11">
        <v>7.3</v>
      </c>
      <c r="C38" s="12">
        <v>0.45</v>
      </c>
      <c r="D38" s="13">
        <v>0.36</v>
      </c>
      <c r="E38" s="11">
        <v>5.9</v>
      </c>
      <c r="F38" s="12">
        <v>7.3999999999999996E-2</v>
      </c>
      <c r="G38" s="11">
        <v>12</v>
      </c>
      <c r="H38" s="11">
        <v>87</v>
      </c>
      <c r="I38" s="14">
        <v>0.99780000000000002</v>
      </c>
      <c r="J38" s="13">
        <v>3.33</v>
      </c>
      <c r="K38" s="13">
        <v>0.83</v>
      </c>
      <c r="L38" s="11">
        <v>10.5</v>
      </c>
      <c r="M38" s="10">
        <v>5</v>
      </c>
    </row>
    <row r="39" spans="1:13" x14ac:dyDescent="0.3">
      <c r="A39" s="10">
        <v>38</v>
      </c>
      <c r="B39" s="11">
        <v>8.8000000000000007</v>
      </c>
      <c r="C39" s="12">
        <v>0.61</v>
      </c>
      <c r="D39" s="13">
        <v>0.3</v>
      </c>
      <c r="E39" s="11">
        <v>2.8</v>
      </c>
      <c r="F39" s="12">
        <v>8.7999999999999995E-2</v>
      </c>
      <c r="G39" s="11">
        <v>17</v>
      </c>
      <c r="H39" s="11">
        <v>46</v>
      </c>
      <c r="I39" s="14">
        <v>0.99760000000000004</v>
      </c>
      <c r="J39" s="13">
        <v>3.26</v>
      </c>
      <c r="K39" s="13">
        <v>0.51</v>
      </c>
      <c r="L39" s="11">
        <v>9.3000000000000007</v>
      </c>
      <c r="M39" s="10">
        <v>4</v>
      </c>
    </row>
    <row r="40" spans="1:13" x14ac:dyDescent="0.3">
      <c r="A40" s="10">
        <v>39</v>
      </c>
      <c r="B40" s="11">
        <v>7.5</v>
      </c>
      <c r="C40" s="12">
        <v>0.49</v>
      </c>
      <c r="D40" s="13">
        <v>0.2</v>
      </c>
      <c r="E40" s="11">
        <v>2.6</v>
      </c>
      <c r="F40" s="12">
        <v>0.33200000000000002</v>
      </c>
      <c r="G40" s="11">
        <v>8</v>
      </c>
      <c r="H40" s="11">
        <v>14</v>
      </c>
      <c r="I40" s="14">
        <v>0.99680000000000002</v>
      </c>
      <c r="J40" s="13">
        <v>3.21</v>
      </c>
      <c r="K40" s="13">
        <v>0.9</v>
      </c>
      <c r="L40" s="11">
        <v>10.5</v>
      </c>
      <c r="M40" s="10">
        <v>6</v>
      </c>
    </row>
    <row r="41" spans="1:13" x14ac:dyDescent="0.3">
      <c r="A41" s="10">
        <v>40</v>
      </c>
      <c r="B41" s="11">
        <v>8.1</v>
      </c>
      <c r="C41" s="12">
        <v>0.66</v>
      </c>
      <c r="D41" s="13">
        <v>0.22</v>
      </c>
      <c r="E41" s="11">
        <v>2.2000000000000002</v>
      </c>
      <c r="F41" s="12">
        <v>6.9000000000000006E-2</v>
      </c>
      <c r="G41" s="11">
        <v>9</v>
      </c>
      <c r="H41" s="11">
        <v>23</v>
      </c>
      <c r="I41" s="14">
        <v>0.99680000000000002</v>
      </c>
      <c r="J41" s="13">
        <v>3.3</v>
      </c>
      <c r="K41" s="13">
        <v>1.2</v>
      </c>
      <c r="L41" s="11">
        <v>10.3</v>
      </c>
      <c r="M41" s="10">
        <v>5</v>
      </c>
    </row>
    <row r="42" spans="1:13" x14ac:dyDescent="0.3">
      <c r="A42" s="10">
        <v>41</v>
      </c>
      <c r="B42" s="11">
        <v>6.8</v>
      </c>
      <c r="C42" s="12">
        <v>0.67</v>
      </c>
      <c r="D42" s="13">
        <v>0.02</v>
      </c>
      <c r="E42" s="11">
        <v>1.8</v>
      </c>
      <c r="F42" s="12">
        <v>0.05</v>
      </c>
      <c r="G42" s="11">
        <v>5</v>
      </c>
      <c r="H42" s="11">
        <v>11</v>
      </c>
      <c r="I42" s="14">
        <v>0.99619999999999997</v>
      </c>
      <c r="J42" s="13">
        <v>3.48</v>
      </c>
      <c r="K42" s="13">
        <v>0.52</v>
      </c>
      <c r="L42" s="11">
        <v>9.5</v>
      </c>
      <c r="M42" s="10">
        <v>5</v>
      </c>
    </row>
    <row r="43" spans="1:13" x14ac:dyDescent="0.3">
      <c r="A43" s="10">
        <v>42</v>
      </c>
      <c r="B43" s="11">
        <v>4.5999999999999996</v>
      </c>
      <c r="C43" s="12">
        <v>0.52</v>
      </c>
      <c r="D43" s="13">
        <v>0.15</v>
      </c>
      <c r="E43" s="11">
        <v>2.1</v>
      </c>
      <c r="F43" s="12">
        <v>5.3999999999999999E-2</v>
      </c>
      <c r="G43" s="11">
        <v>8</v>
      </c>
      <c r="H43" s="11">
        <v>65</v>
      </c>
      <c r="I43" s="14">
        <v>0.99339999999999995</v>
      </c>
      <c r="J43" s="13">
        <v>3.9</v>
      </c>
      <c r="K43" s="13">
        <v>0.56000000000000005</v>
      </c>
      <c r="L43" s="11">
        <v>13.1</v>
      </c>
      <c r="M43" s="10">
        <v>4</v>
      </c>
    </row>
    <row r="44" spans="1:13" x14ac:dyDescent="0.3">
      <c r="A44" s="10">
        <v>43</v>
      </c>
      <c r="B44" s="11">
        <v>7.7</v>
      </c>
      <c r="C44" s="12">
        <v>0.93500000000000005</v>
      </c>
      <c r="D44" s="13">
        <v>0.43</v>
      </c>
      <c r="E44" s="11">
        <v>2.2000000000000002</v>
      </c>
      <c r="F44" s="12">
        <v>0.114</v>
      </c>
      <c r="G44" s="11">
        <v>22</v>
      </c>
      <c r="H44" s="11">
        <v>114</v>
      </c>
      <c r="I44" s="14">
        <v>0.997</v>
      </c>
      <c r="J44" s="13">
        <v>3.25</v>
      </c>
      <c r="K44" s="13">
        <v>0.73</v>
      </c>
      <c r="L44" s="11">
        <v>9.1999999999999993</v>
      </c>
      <c r="M44" s="10">
        <v>5</v>
      </c>
    </row>
    <row r="45" spans="1:13" x14ac:dyDescent="0.3">
      <c r="A45" s="10">
        <v>44</v>
      </c>
      <c r="B45" s="11">
        <v>8.6999999999999993</v>
      </c>
      <c r="C45" s="12">
        <v>0.28999999999999998</v>
      </c>
      <c r="D45" s="13">
        <v>0.52</v>
      </c>
      <c r="E45" s="11">
        <v>1.6</v>
      </c>
      <c r="F45" s="12">
        <v>0.113</v>
      </c>
      <c r="G45" s="11">
        <v>12</v>
      </c>
      <c r="H45" s="11">
        <v>37</v>
      </c>
      <c r="I45" s="14">
        <v>0.99690000000000001</v>
      </c>
      <c r="J45" s="13">
        <v>3.25</v>
      </c>
      <c r="K45" s="13">
        <v>0.57999999999999996</v>
      </c>
      <c r="L45" s="11">
        <v>9.5</v>
      </c>
      <c r="M45" s="10">
        <v>5</v>
      </c>
    </row>
    <row r="46" spans="1:13" x14ac:dyDescent="0.3">
      <c r="A46" s="10">
        <v>45</v>
      </c>
      <c r="B46" s="11">
        <v>6.4</v>
      </c>
      <c r="C46" s="12">
        <v>0.4</v>
      </c>
      <c r="D46" s="13">
        <v>0.23</v>
      </c>
      <c r="E46" s="11">
        <v>1.6</v>
      </c>
      <c r="F46" s="12">
        <v>6.6000000000000003E-2</v>
      </c>
      <c r="G46" s="11">
        <v>5</v>
      </c>
      <c r="H46" s="11">
        <v>12</v>
      </c>
      <c r="I46" s="14">
        <v>0.99580000000000002</v>
      </c>
      <c r="J46" s="13">
        <v>3.34</v>
      </c>
      <c r="K46" s="13">
        <v>0.56000000000000005</v>
      </c>
      <c r="L46" s="11">
        <v>9.1999999999999993</v>
      </c>
      <c r="M46" s="10">
        <v>5</v>
      </c>
    </row>
    <row r="47" spans="1:13" x14ac:dyDescent="0.3">
      <c r="A47" s="10">
        <v>46</v>
      </c>
      <c r="B47" s="11">
        <v>5.6</v>
      </c>
      <c r="C47" s="12">
        <v>0.31</v>
      </c>
      <c r="D47" s="13">
        <v>0.37</v>
      </c>
      <c r="E47" s="11">
        <v>1.4</v>
      </c>
      <c r="F47" s="12">
        <v>7.3999999999999996E-2</v>
      </c>
      <c r="G47" s="11">
        <v>12</v>
      </c>
      <c r="H47" s="11">
        <v>96</v>
      </c>
      <c r="I47" s="14">
        <v>0.99539999999999995</v>
      </c>
      <c r="J47" s="13">
        <v>3.32</v>
      </c>
      <c r="K47" s="13">
        <v>0.57999999999999996</v>
      </c>
      <c r="L47" s="11">
        <v>9.1999999999999993</v>
      </c>
      <c r="M47" s="10">
        <v>5</v>
      </c>
    </row>
    <row r="48" spans="1:13" x14ac:dyDescent="0.3">
      <c r="A48" s="10">
        <v>47</v>
      </c>
      <c r="B48" s="11">
        <v>8.8000000000000007</v>
      </c>
      <c r="C48" s="12">
        <v>0.66</v>
      </c>
      <c r="D48" s="13">
        <v>0.26</v>
      </c>
      <c r="E48" s="11">
        <v>1.7</v>
      </c>
      <c r="F48" s="12">
        <v>7.3999999999999996E-2</v>
      </c>
      <c r="G48" s="11">
        <v>4</v>
      </c>
      <c r="H48" s="11">
        <v>23</v>
      </c>
      <c r="I48" s="14">
        <v>0.99709999999999999</v>
      </c>
      <c r="J48" s="13">
        <v>3.15</v>
      </c>
      <c r="K48" s="13">
        <v>0.74</v>
      </c>
      <c r="L48" s="11">
        <v>9.1999999999999993</v>
      </c>
      <c r="M48" s="10">
        <v>5</v>
      </c>
    </row>
    <row r="49" spans="1:13" x14ac:dyDescent="0.3">
      <c r="A49" s="10">
        <v>48</v>
      </c>
      <c r="B49" s="11">
        <v>6.6</v>
      </c>
      <c r="C49" s="12">
        <v>0.52</v>
      </c>
      <c r="D49" s="13">
        <v>0.04</v>
      </c>
      <c r="E49" s="11">
        <v>2.2000000000000002</v>
      </c>
      <c r="F49" s="12">
        <v>6.9000000000000006E-2</v>
      </c>
      <c r="G49" s="11">
        <v>8</v>
      </c>
      <c r="H49" s="11">
        <v>15</v>
      </c>
      <c r="I49" s="14">
        <v>0.99560000000000004</v>
      </c>
      <c r="J49" s="13">
        <v>3.4</v>
      </c>
      <c r="K49" s="13">
        <v>0.63</v>
      </c>
      <c r="L49" s="11">
        <v>9.4</v>
      </c>
      <c r="M49" s="10">
        <v>6</v>
      </c>
    </row>
    <row r="50" spans="1:13" x14ac:dyDescent="0.3">
      <c r="A50" s="10">
        <v>49</v>
      </c>
      <c r="B50" s="11">
        <v>6.6</v>
      </c>
      <c r="C50" s="12">
        <v>0.5</v>
      </c>
      <c r="D50" s="13">
        <v>0.04</v>
      </c>
      <c r="E50" s="11">
        <v>2.1</v>
      </c>
      <c r="F50" s="12">
        <v>6.8000000000000005E-2</v>
      </c>
      <c r="G50" s="11">
        <v>6</v>
      </c>
      <c r="H50" s="11">
        <v>14</v>
      </c>
      <c r="I50" s="14">
        <v>0.99550000000000005</v>
      </c>
      <c r="J50" s="13">
        <v>3.39</v>
      </c>
      <c r="K50" s="13">
        <v>0.64</v>
      </c>
      <c r="L50" s="11">
        <v>9.4</v>
      </c>
      <c r="M50" s="10">
        <v>6</v>
      </c>
    </row>
    <row r="51" spans="1:13" x14ac:dyDescent="0.3">
      <c r="A51" s="10">
        <v>50</v>
      </c>
      <c r="B51" s="11">
        <v>8.6</v>
      </c>
      <c r="C51" s="12">
        <v>0.38</v>
      </c>
      <c r="D51" s="13">
        <v>0.36</v>
      </c>
      <c r="E51" s="11">
        <v>3</v>
      </c>
      <c r="F51" s="12">
        <v>8.1000000000000003E-2</v>
      </c>
      <c r="G51" s="11">
        <v>30</v>
      </c>
      <c r="H51" s="11">
        <v>119</v>
      </c>
      <c r="I51" s="14">
        <v>0.997</v>
      </c>
      <c r="J51" s="13">
        <v>3.2</v>
      </c>
      <c r="K51" s="13">
        <v>0.56000000000000005</v>
      </c>
      <c r="L51" s="11">
        <v>9.4</v>
      </c>
      <c r="M51" s="10">
        <v>5</v>
      </c>
    </row>
    <row r="52" spans="1:13" x14ac:dyDescent="0.3">
      <c r="A52" s="10">
        <v>51</v>
      </c>
      <c r="B52" s="11">
        <v>7.6</v>
      </c>
      <c r="C52" s="12">
        <v>0.51</v>
      </c>
      <c r="D52" s="13">
        <v>0.15</v>
      </c>
      <c r="E52" s="11">
        <v>2.8</v>
      </c>
      <c r="F52" s="12">
        <v>0.11</v>
      </c>
      <c r="G52" s="11">
        <v>33</v>
      </c>
      <c r="H52" s="11">
        <v>73</v>
      </c>
      <c r="I52" s="14">
        <v>0.99550000000000005</v>
      </c>
      <c r="J52" s="13">
        <v>3.17</v>
      </c>
      <c r="K52" s="13">
        <v>0.63</v>
      </c>
      <c r="L52" s="11">
        <v>10.199999999999999</v>
      </c>
      <c r="M52" s="10">
        <v>6</v>
      </c>
    </row>
    <row r="53" spans="1:13" x14ac:dyDescent="0.3">
      <c r="A53" s="10">
        <v>52</v>
      </c>
      <c r="B53" s="11">
        <v>7.7</v>
      </c>
      <c r="C53" s="12">
        <v>0.62</v>
      </c>
      <c r="D53" s="13">
        <v>0.04</v>
      </c>
      <c r="E53" s="11">
        <v>3.8</v>
      </c>
      <c r="F53" s="12">
        <v>8.4000000000000005E-2</v>
      </c>
      <c r="G53" s="11">
        <v>25</v>
      </c>
      <c r="H53" s="11">
        <v>45</v>
      </c>
      <c r="I53" s="14">
        <v>0.99780000000000002</v>
      </c>
      <c r="J53" s="13">
        <v>3.34</v>
      </c>
      <c r="K53" s="13">
        <v>0.53</v>
      </c>
      <c r="L53" s="11">
        <v>9.5</v>
      </c>
      <c r="M53" s="10">
        <v>5</v>
      </c>
    </row>
    <row r="54" spans="1:13" x14ac:dyDescent="0.3">
      <c r="A54" s="10">
        <v>53</v>
      </c>
      <c r="B54" s="11">
        <v>10.199999999999999</v>
      </c>
      <c r="C54" s="12">
        <v>0.42</v>
      </c>
      <c r="D54" s="13">
        <v>0.56999999999999995</v>
      </c>
      <c r="E54" s="11">
        <v>3.4</v>
      </c>
      <c r="F54" s="12">
        <v>7.0000000000000007E-2</v>
      </c>
      <c r="G54" s="11">
        <v>4</v>
      </c>
      <c r="H54" s="11">
        <v>10</v>
      </c>
      <c r="I54" s="14">
        <v>0.99709999999999999</v>
      </c>
      <c r="J54" s="13">
        <v>3.04</v>
      </c>
      <c r="K54" s="13">
        <v>0.63</v>
      </c>
      <c r="L54" s="11">
        <v>9.6</v>
      </c>
      <c r="M54" s="10">
        <v>5</v>
      </c>
    </row>
    <row r="55" spans="1:13" x14ac:dyDescent="0.3">
      <c r="A55" s="10">
        <v>54</v>
      </c>
      <c r="B55" s="11">
        <v>7.5</v>
      </c>
      <c r="C55" s="12">
        <v>0.63</v>
      </c>
      <c r="D55" s="13">
        <v>0.12</v>
      </c>
      <c r="E55" s="11">
        <v>5.0999999999999996</v>
      </c>
      <c r="F55" s="12">
        <v>0.111</v>
      </c>
      <c r="G55" s="11">
        <v>50</v>
      </c>
      <c r="H55" s="11">
        <v>110</v>
      </c>
      <c r="I55" s="14">
        <v>0.99829999999999997</v>
      </c>
      <c r="J55" s="13">
        <v>3.26</v>
      </c>
      <c r="K55" s="13">
        <v>0.77</v>
      </c>
      <c r="L55" s="11">
        <v>9.4</v>
      </c>
      <c r="M55" s="10">
        <v>5</v>
      </c>
    </row>
    <row r="56" spans="1:13" x14ac:dyDescent="0.3">
      <c r="A56" s="10">
        <v>55</v>
      </c>
      <c r="B56" s="11">
        <v>7.8</v>
      </c>
      <c r="C56" s="12">
        <v>0.59</v>
      </c>
      <c r="D56" s="13">
        <v>0.18</v>
      </c>
      <c r="E56" s="11">
        <v>2.2999999999999998</v>
      </c>
      <c r="F56" s="12">
        <v>7.5999999999999998E-2</v>
      </c>
      <c r="G56" s="11">
        <v>17</v>
      </c>
      <c r="H56" s="11">
        <v>54</v>
      </c>
      <c r="I56" s="14">
        <v>0.99750000000000005</v>
      </c>
      <c r="J56" s="13">
        <v>3.43</v>
      </c>
      <c r="K56" s="13">
        <v>0.59</v>
      </c>
      <c r="L56" s="11">
        <v>10</v>
      </c>
      <c r="M56" s="10">
        <v>5</v>
      </c>
    </row>
    <row r="57" spans="1:13" x14ac:dyDescent="0.3">
      <c r="A57" s="10">
        <v>56</v>
      </c>
      <c r="B57" s="11">
        <v>7.3</v>
      </c>
      <c r="C57" s="12">
        <v>0.39</v>
      </c>
      <c r="D57" s="13">
        <v>0.31</v>
      </c>
      <c r="E57" s="11">
        <v>2.4</v>
      </c>
      <c r="F57" s="12">
        <v>7.3999999999999996E-2</v>
      </c>
      <c r="G57" s="11">
        <v>9</v>
      </c>
      <c r="H57" s="11">
        <v>46</v>
      </c>
      <c r="I57" s="14">
        <v>0.99619999999999997</v>
      </c>
      <c r="J57" s="13">
        <v>3.41</v>
      </c>
      <c r="K57" s="13">
        <v>0.54</v>
      </c>
      <c r="L57" s="11">
        <v>9.4</v>
      </c>
      <c r="M57" s="10">
        <v>6</v>
      </c>
    </row>
    <row r="58" spans="1:13" x14ac:dyDescent="0.3">
      <c r="A58" s="10">
        <v>57</v>
      </c>
      <c r="B58" s="11">
        <v>8.8000000000000007</v>
      </c>
      <c r="C58" s="12">
        <v>0.4</v>
      </c>
      <c r="D58" s="13">
        <v>0.4</v>
      </c>
      <c r="E58" s="11">
        <v>2.2000000000000002</v>
      </c>
      <c r="F58" s="12">
        <v>7.9000000000000001E-2</v>
      </c>
      <c r="G58" s="11">
        <v>19</v>
      </c>
      <c r="H58" s="11">
        <v>52</v>
      </c>
      <c r="I58" s="14">
        <v>0.998</v>
      </c>
      <c r="J58" s="13">
        <v>3.44</v>
      </c>
      <c r="K58" s="13">
        <v>0.64</v>
      </c>
      <c r="L58" s="11">
        <v>9.1999999999999993</v>
      </c>
      <c r="M58" s="10">
        <v>5</v>
      </c>
    </row>
    <row r="59" spans="1:13" x14ac:dyDescent="0.3">
      <c r="A59" s="10">
        <v>58</v>
      </c>
      <c r="B59" s="11">
        <v>7.7</v>
      </c>
      <c r="C59" s="12">
        <v>0.69</v>
      </c>
      <c r="D59" s="13">
        <v>0.49</v>
      </c>
      <c r="E59" s="11">
        <v>1.8</v>
      </c>
      <c r="F59" s="12">
        <v>0.115</v>
      </c>
      <c r="G59" s="11">
        <v>20</v>
      </c>
      <c r="H59" s="11">
        <v>112</v>
      </c>
      <c r="I59" s="14">
        <v>0.99680000000000002</v>
      </c>
      <c r="J59" s="13">
        <v>3.21</v>
      </c>
      <c r="K59" s="13">
        <v>0.71</v>
      </c>
      <c r="L59" s="11">
        <v>9.3000000000000007</v>
      </c>
      <c r="M59" s="10">
        <v>5</v>
      </c>
    </row>
    <row r="60" spans="1:13" x14ac:dyDescent="0.3">
      <c r="A60" s="10">
        <v>59</v>
      </c>
      <c r="B60" s="11">
        <v>7.5</v>
      </c>
      <c r="C60" s="12">
        <v>0.52</v>
      </c>
      <c r="D60" s="13">
        <v>0.16</v>
      </c>
      <c r="E60" s="11">
        <v>1.9</v>
      </c>
      <c r="F60" s="12">
        <v>8.5000000000000006E-2</v>
      </c>
      <c r="G60" s="11">
        <v>12</v>
      </c>
      <c r="H60" s="11">
        <v>35</v>
      </c>
      <c r="I60" s="14">
        <v>0.99680000000000002</v>
      </c>
      <c r="J60" s="13">
        <v>3.38</v>
      </c>
      <c r="K60" s="13">
        <v>0.62</v>
      </c>
      <c r="L60" s="11">
        <v>9.5</v>
      </c>
      <c r="M60" s="10">
        <v>7</v>
      </c>
    </row>
    <row r="61" spans="1:13" x14ac:dyDescent="0.3">
      <c r="A61" s="10">
        <v>60</v>
      </c>
      <c r="B61" s="11">
        <v>7</v>
      </c>
      <c r="C61" s="12">
        <v>0.73499999999999999</v>
      </c>
      <c r="D61" s="13">
        <v>0.05</v>
      </c>
      <c r="E61" s="11">
        <v>2</v>
      </c>
      <c r="F61" s="12">
        <v>8.1000000000000003E-2</v>
      </c>
      <c r="G61" s="11">
        <v>13</v>
      </c>
      <c r="H61" s="11">
        <v>54</v>
      </c>
      <c r="I61" s="14">
        <v>0.99660000000000004</v>
      </c>
      <c r="J61" s="13">
        <v>3.39</v>
      </c>
      <c r="K61" s="13">
        <v>0.56999999999999995</v>
      </c>
      <c r="L61" s="11">
        <v>9.8000000000000007</v>
      </c>
      <c r="M61" s="10">
        <v>5</v>
      </c>
    </row>
    <row r="62" spans="1:13" x14ac:dyDescent="0.3">
      <c r="A62" s="10">
        <v>61</v>
      </c>
      <c r="B62" s="11">
        <v>7.2</v>
      </c>
      <c r="C62" s="12">
        <v>0.72499999999999998</v>
      </c>
      <c r="D62" s="13">
        <v>0.05</v>
      </c>
      <c r="E62" s="11">
        <v>4.6500000000000004</v>
      </c>
      <c r="F62" s="12">
        <v>8.5999999999999993E-2</v>
      </c>
      <c r="G62" s="11">
        <v>4</v>
      </c>
      <c r="H62" s="11">
        <v>11</v>
      </c>
      <c r="I62" s="14">
        <v>0.99619999999999997</v>
      </c>
      <c r="J62" s="13">
        <v>3.41</v>
      </c>
      <c r="K62" s="13">
        <v>0.39</v>
      </c>
      <c r="L62" s="11">
        <v>10.9</v>
      </c>
      <c r="M62" s="10">
        <v>5</v>
      </c>
    </row>
    <row r="63" spans="1:13" x14ac:dyDescent="0.3">
      <c r="A63" s="10">
        <v>62</v>
      </c>
      <c r="B63" s="11">
        <v>7.5</v>
      </c>
      <c r="C63" s="12">
        <v>0.52</v>
      </c>
      <c r="D63" s="13">
        <v>0.11</v>
      </c>
      <c r="E63" s="11">
        <v>1.5</v>
      </c>
      <c r="F63" s="12">
        <v>7.9000000000000001E-2</v>
      </c>
      <c r="G63" s="11">
        <v>11</v>
      </c>
      <c r="H63" s="11">
        <v>39</v>
      </c>
      <c r="I63" s="14">
        <v>0.99680000000000002</v>
      </c>
      <c r="J63" s="13">
        <v>3.42</v>
      </c>
      <c r="K63" s="13">
        <v>0.57999999999999996</v>
      </c>
      <c r="L63" s="11">
        <v>9.6</v>
      </c>
      <c r="M63" s="10">
        <v>5</v>
      </c>
    </row>
    <row r="64" spans="1:13" x14ac:dyDescent="0.3">
      <c r="A64" s="10">
        <v>63</v>
      </c>
      <c r="B64" s="11">
        <v>6.6</v>
      </c>
      <c r="C64" s="12">
        <v>0.70499999999999996</v>
      </c>
      <c r="D64" s="13">
        <v>7.0000000000000007E-2</v>
      </c>
      <c r="E64" s="11">
        <v>1.6</v>
      </c>
      <c r="F64" s="12">
        <v>7.5999999999999998E-2</v>
      </c>
      <c r="G64" s="11">
        <v>6</v>
      </c>
      <c r="H64" s="11">
        <v>15</v>
      </c>
      <c r="I64" s="14">
        <v>0.99619999999999997</v>
      </c>
      <c r="J64" s="13">
        <v>3.44</v>
      </c>
      <c r="K64" s="13">
        <v>0.57999999999999996</v>
      </c>
      <c r="L64" s="11">
        <v>10.7</v>
      </c>
      <c r="M64" s="10">
        <v>5</v>
      </c>
    </row>
    <row r="65" spans="1:13" x14ac:dyDescent="0.3">
      <c r="A65" s="10">
        <v>64</v>
      </c>
      <c r="B65" s="11">
        <v>9.3000000000000007</v>
      </c>
      <c r="C65" s="12">
        <v>0.32</v>
      </c>
      <c r="D65" s="13">
        <v>0.56999999999999995</v>
      </c>
      <c r="E65" s="11">
        <v>2</v>
      </c>
      <c r="F65" s="12">
        <v>7.3999999999999996E-2</v>
      </c>
      <c r="G65" s="11">
        <v>27</v>
      </c>
      <c r="H65" s="11">
        <v>65</v>
      </c>
      <c r="I65" s="14">
        <v>0.99690000000000001</v>
      </c>
      <c r="J65" s="13">
        <v>3.28</v>
      </c>
      <c r="K65" s="13">
        <v>0.79</v>
      </c>
      <c r="L65" s="11">
        <v>10.7</v>
      </c>
      <c r="M65" s="10">
        <v>5</v>
      </c>
    </row>
    <row r="66" spans="1:13" x14ac:dyDescent="0.3">
      <c r="A66" s="10">
        <v>65</v>
      </c>
      <c r="B66" s="11">
        <v>8</v>
      </c>
      <c r="C66" s="12">
        <v>0.70499999999999996</v>
      </c>
      <c r="D66" s="13">
        <v>0.05</v>
      </c>
      <c r="E66" s="11">
        <v>1.9</v>
      </c>
      <c r="F66" s="12">
        <v>7.3999999999999996E-2</v>
      </c>
      <c r="G66" s="11">
        <v>8</v>
      </c>
      <c r="H66" s="11">
        <v>19</v>
      </c>
      <c r="I66" s="14">
        <v>0.99619999999999997</v>
      </c>
      <c r="J66" s="13">
        <v>3.34</v>
      </c>
      <c r="K66" s="13">
        <v>0.95</v>
      </c>
      <c r="L66" s="11">
        <v>10.5</v>
      </c>
      <c r="M66" s="10">
        <v>6</v>
      </c>
    </row>
    <row r="67" spans="1:13" x14ac:dyDescent="0.3">
      <c r="A67" s="10">
        <v>66</v>
      </c>
      <c r="B67" s="11">
        <v>7.7</v>
      </c>
      <c r="C67" s="12">
        <v>0.63</v>
      </c>
      <c r="D67" s="13">
        <v>0.08</v>
      </c>
      <c r="E67" s="11">
        <v>1.9</v>
      </c>
      <c r="F67" s="12">
        <v>7.5999999999999998E-2</v>
      </c>
      <c r="G67" s="11">
        <v>15</v>
      </c>
      <c r="H67" s="11">
        <v>27</v>
      </c>
      <c r="I67" s="14">
        <v>0.99670000000000003</v>
      </c>
      <c r="J67" s="13">
        <v>3.32</v>
      </c>
      <c r="K67" s="13">
        <v>0.54</v>
      </c>
      <c r="L67" s="11">
        <v>9.5</v>
      </c>
      <c r="M67" s="10">
        <v>6</v>
      </c>
    </row>
    <row r="68" spans="1:13" x14ac:dyDescent="0.3">
      <c r="A68" s="10">
        <v>67</v>
      </c>
      <c r="B68" s="11">
        <v>7.7</v>
      </c>
      <c r="C68" s="12">
        <v>0.67</v>
      </c>
      <c r="D68" s="13">
        <v>0.23</v>
      </c>
      <c r="E68" s="11">
        <v>2.1</v>
      </c>
      <c r="F68" s="12">
        <v>8.7999999999999995E-2</v>
      </c>
      <c r="G68" s="11">
        <v>17</v>
      </c>
      <c r="H68" s="11">
        <v>96</v>
      </c>
      <c r="I68" s="14">
        <v>0.99619999999999997</v>
      </c>
      <c r="J68" s="13">
        <v>3.32</v>
      </c>
      <c r="K68" s="13">
        <v>0.48</v>
      </c>
      <c r="L68" s="11">
        <v>9.5</v>
      </c>
      <c r="M68" s="10">
        <v>5</v>
      </c>
    </row>
    <row r="69" spans="1:13" x14ac:dyDescent="0.3">
      <c r="A69" s="10">
        <v>68</v>
      </c>
      <c r="B69" s="11">
        <v>7.7</v>
      </c>
      <c r="C69" s="12">
        <v>0.69</v>
      </c>
      <c r="D69" s="13">
        <v>0.22</v>
      </c>
      <c r="E69" s="11">
        <v>1.9</v>
      </c>
      <c r="F69" s="12">
        <v>8.4000000000000005E-2</v>
      </c>
      <c r="G69" s="11">
        <v>18</v>
      </c>
      <c r="H69" s="11">
        <v>94</v>
      </c>
      <c r="I69" s="14">
        <v>0.99609999999999999</v>
      </c>
      <c r="J69" s="13">
        <v>3.31</v>
      </c>
      <c r="K69" s="13">
        <v>0.48</v>
      </c>
      <c r="L69" s="11">
        <v>9.5</v>
      </c>
      <c r="M69" s="10">
        <v>5</v>
      </c>
    </row>
    <row r="70" spans="1:13" x14ac:dyDescent="0.3">
      <c r="A70" s="10">
        <v>69</v>
      </c>
      <c r="B70" s="11">
        <v>8.3000000000000007</v>
      </c>
      <c r="C70" s="12">
        <v>0.67500000000000004</v>
      </c>
      <c r="D70" s="13">
        <v>0.26</v>
      </c>
      <c r="E70" s="11">
        <v>2.1</v>
      </c>
      <c r="F70" s="12">
        <v>8.4000000000000005E-2</v>
      </c>
      <c r="G70" s="11">
        <v>11</v>
      </c>
      <c r="H70" s="11">
        <v>43</v>
      </c>
      <c r="I70" s="14">
        <v>0.99760000000000004</v>
      </c>
      <c r="J70" s="13">
        <v>3.31</v>
      </c>
      <c r="K70" s="13">
        <v>0.53</v>
      </c>
      <c r="L70" s="11">
        <v>9.1999999999999993</v>
      </c>
      <c r="M70" s="10">
        <v>4</v>
      </c>
    </row>
    <row r="71" spans="1:13" x14ac:dyDescent="0.3">
      <c r="A71" s="10">
        <v>70</v>
      </c>
      <c r="B71" s="11">
        <v>9.6999999999999993</v>
      </c>
      <c r="C71" s="12">
        <v>0.32</v>
      </c>
      <c r="D71" s="13">
        <v>0.54</v>
      </c>
      <c r="E71" s="11">
        <v>2.5</v>
      </c>
      <c r="F71" s="12">
        <v>9.4E-2</v>
      </c>
      <c r="G71" s="11">
        <v>28</v>
      </c>
      <c r="H71" s="11">
        <v>83</v>
      </c>
      <c r="I71" s="14">
        <v>0.99839999999999995</v>
      </c>
      <c r="J71" s="13">
        <v>3.28</v>
      </c>
      <c r="K71" s="13">
        <v>0.82</v>
      </c>
      <c r="L71" s="11">
        <v>9.6</v>
      </c>
      <c r="M71" s="10">
        <v>5</v>
      </c>
    </row>
    <row r="72" spans="1:13" x14ac:dyDescent="0.3">
      <c r="A72" s="10">
        <v>71</v>
      </c>
      <c r="B72" s="11">
        <v>8.8000000000000007</v>
      </c>
      <c r="C72" s="12">
        <v>0.41</v>
      </c>
      <c r="D72" s="13">
        <v>0.64</v>
      </c>
      <c r="E72" s="11">
        <v>2.2000000000000002</v>
      </c>
      <c r="F72" s="12">
        <v>9.2999999999999999E-2</v>
      </c>
      <c r="G72" s="11">
        <v>9</v>
      </c>
      <c r="H72" s="11">
        <v>42</v>
      </c>
      <c r="I72" s="14">
        <v>0.99860000000000004</v>
      </c>
      <c r="J72" s="13">
        <v>3.54</v>
      </c>
      <c r="K72" s="13">
        <v>0.66</v>
      </c>
      <c r="L72" s="11">
        <v>10.5</v>
      </c>
      <c r="M72" s="10">
        <v>5</v>
      </c>
    </row>
    <row r="73" spans="1:13" x14ac:dyDescent="0.3">
      <c r="A73" s="10">
        <v>72</v>
      </c>
      <c r="B73" s="11">
        <v>6.8</v>
      </c>
      <c r="C73" s="12">
        <v>0.78500000000000003</v>
      </c>
      <c r="D73" s="13">
        <v>0</v>
      </c>
      <c r="E73" s="11">
        <v>2.4</v>
      </c>
      <c r="F73" s="12">
        <v>0.104</v>
      </c>
      <c r="G73" s="11">
        <v>14</v>
      </c>
      <c r="H73" s="11">
        <v>30</v>
      </c>
      <c r="I73" s="14">
        <v>0.99660000000000004</v>
      </c>
      <c r="J73" s="13">
        <v>3.52</v>
      </c>
      <c r="K73" s="13">
        <v>0.55000000000000004</v>
      </c>
      <c r="L73" s="11">
        <v>10.7</v>
      </c>
      <c r="M73" s="10">
        <v>6</v>
      </c>
    </row>
    <row r="74" spans="1:13" x14ac:dyDescent="0.3">
      <c r="A74" s="10">
        <v>73</v>
      </c>
      <c r="B74" s="11">
        <v>6.7</v>
      </c>
      <c r="C74" s="12">
        <v>0.75</v>
      </c>
      <c r="D74" s="13">
        <v>0.12</v>
      </c>
      <c r="E74" s="11">
        <v>2</v>
      </c>
      <c r="F74" s="12">
        <v>8.5999999999999993E-2</v>
      </c>
      <c r="G74" s="11">
        <v>12</v>
      </c>
      <c r="H74" s="11">
        <v>80</v>
      </c>
      <c r="I74" s="14">
        <v>0.99580000000000002</v>
      </c>
      <c r="J74" s="13">
        <v>3.38</v>
      </c>
      <c r="K74" s="13">
        <v>0.52</v>
      </c>
      <c r="L74" s="11">
        <v>10.1</v>
      </c>
      <c r="M74" s="10">
        <v>5</v>
      </c>
    </row>
    <row r="75" spans="1:13" x14ac:dyDescent="0.3">
      <c r="A75" s="10">
        <v>74</v>
      </c>
      <c r="B75" s="11">
        <v>8.3000000000000007</v>
      </c>
      <c r="C75" s="12">
        <v>0.625</v>
      </c>
      <c r="D75" s="13">
        <v>0.2</v>
      </c>
      <c r="E75" s="11">
        <v>1.5</v>
      </c>
      <c r="F75" s="12">
        <v>0.08</v>
      </c>
      <c r="G75" s="11">
        <v>27</v>
      </c>
      <c r="H75" s="11">
        <v>119</v>
      </c>
      <c r="I75" s="14">
        <v>0.99719999999999998</v>
      </c>
      <c r="J75" s="13">
        <v>3.16</v>
      </c>
      <c r="K75" s="13">
        <v>1.1200000000000001</v>
      </c>
      <c r="L75" s="11">
        <v>9.1</v>
      </c>
      <c r="M75" s="10">
        <v>4</v>
      </c>
    </row>
    <row r="76" spans="1:13" x14ac:dyDescent="0.3">
      <c r="A76" s="10">
        <v>75</v>
      </c>
      <c r="B76" s="11">
        <v>6.2</v>
      </c>
      <c r="C76" s="12">
        <v>0.45</v>
      </c>
      <c r="D76" s="13">
        <v>0.2</v>
      </c>
      <c r="E76" s="11">
        <v>1.6</v>
      </c>
      <c r="F76" s="12">
        <v>6.9000000000000006E-2</v>
      </c>
      <c r="G76" s="11">
        <v>3</v>
      </c>
      <c r="H76" s="11">
        <v>15</v>
      </c>
      <c r="I76" s="14">
        <v>0.99580000000000002</v>
      </c>
      <c r="J76" s="13">
        <v>3.41</v>
      </c>
      <c r="K76" s="13">
        <v>0.56000000000000005</v>
      </c>
      <c r="L76" s="11">
        <v>9.1999999999999993</v>
      </c>
      <c r="M76" s="10">
        <v>5</v>
      </c>
    </row>
    <row r="77" spans="1:13" x14ac:dyDescent="0.3">
      <c r="A77" s="10">
        <v>76</v>
      </c>
      <c r="B77" s="11">
        <v>7.8</v>
      </c>
      <c r="C77" s="12">
        <v>0.43</v>
      </c>
      <c r="D77" s="13">
        <v>0.7</v>
      </c>
      <c r="E77" s="11">
        <v>1.9</v>
      </c>
      <c r="F77" s="12">
        <v>0.46400000000000002</v>
      </c>
      <c r="G77" s="11">
        <v>22</v>
      </c>
      <c r="H77" s="11">
        <v>67</v>
      </c>
      <c r="I77" s="14">
        <v>0.99739999999999995</v>
      </c>
      <c r="J77" s="13">
        <v>3.13</v>
      </c>
      <c r="K77" s="13">
        <v>1.28</v>
      </c>
      <c r="L77" s="11">
        <v>9.4</v>
      </c>
      <c r="M77" s="10">
        <v>5</v>
      </c>
    </row>
    <row r="78" spans="1:13" x14ac:dyDescent="0.3">
      <c r="A78" s="10">
        <v>77</v>
      </c>
      <c r="B78" s="11">
        <v>7.4</v>
      </c>
      <c r="C78" s="12">
        <v>0.5</v>
      </c>
      <c r="D78" s="13">
        <v>0.47</v>
      </c>
      <c r="E78" s="11">
        <v>2</v>
      </c>
      <c r="F78" s="12">
        <v>8.5999999999999993E-2</v>
      </c>
      <c r="G78" s="11">
        <v>21</v>
      </c>
      <c r="H78" s="11">
        <v>73</v>
      </c>
      <c r="I78" s="14">
        <v>0.997</v>
      </c>
      <c r="J78" s="13">
        <v>3.36</v>
      </c>
      <c r="K78" s="13">
        <v>0.56999999999999995</v>
      </c>
      <c r="L78" s="11">
        <v>9.1</v>
      </c>
      <c r="M78" s="10">
        <v>5</v>
      </c>
    </row>
    <row r="79" spans="1:13" x14ac:dyDescent="0.3">
      <c r="A79" s="10">
        <v>78</v>
      </c>
      <c r="B79" s="11">
        <v>7.3</v>
      </c>
      <c r="C79" s="12">
        <v>0.67</v>
      </c>
      <c r="D79" s="13">
        <v>0.26</v>
      </c>
      <c r="E79" s="11">
        <v>1.8</v>
      </c>
      <c r="F79" s="12">
        <v>0.40100000000000002</v>
      </c>
      <c r="G79" s="11">
        <v>16</v>
      </c>
      <c r="H79" s="11">
        <v>51</v>
      </c>
      <c r="I79" s="14">
        <v>0.99690000000000001</v>
      </c>
      <c r="J79" s="13">
        <v>3.16</v>
      </c>
      <c r="K79" s="13">
        <v>1.1399999999999999</v>
      </c>
      <c r="L79" s="11">
        <v>9.4</v>
      </c>
      <c r="M79" s="10">
        <v>5</v>
      </c>
    </row>
    <row r="80" spans="1:13" x14ac:dyDescent="0.3">
      <c r="A80" s="10">
        <v>79</v>
      </c>
      <c r="B80" s="11">
        <v>6.3</v>
      </c>
      <c r="C80" s="12">
        <v>0.3</v>
      </c>
      <c r="D80" s="13">
        <v>0.48</v>
      </c>
      <c r="E80" s="11">
        <v>1.8</v>
      </c>
      <c r="F80" s="12">
        <v>6.9000000000000006E-2</v>
      </c>
      <c r="G80" s="11">
        <v>18</v>
      </c>
      <c r="H80" s="11">
        <v>61</v>
      </c>
      <c r="I80" s="14">
        <v>0.99590000000000001</v>
      </c>
      <c r="J80" s="13">
        <v>3.44</v>
      </c>
      <c r="K80" s="13">
        <v>0.78</v>
      </c>
      <c r="L80" s="11">
        <v>10.3</v>
      </c>
      <c r="M80" s="10">
        <v>6</v>
      </c>
    </row>
    <row r="81" spans="1:13" x14ac:dyDescent="0.3">
      <c r="A81" s="10">
        <v>80</v>
      </c>
      <c r="B81" s="11">
        <v>6.9</v>
      </c>
      <c r="C81" s="12">
        <v>0.55000000000000004</v>
      </c>
      <c r="D81" s="13">
        <v>0.15</v>
      </c>
      <c r="E81" s="11">
        <v>2.2000000000000002</v>
      </c>
      <c r="F81" s="12">
        <v>7.5999999999999998E-2</v>
      </c>
      <c r="G81" s="11">
        <v>19</v>
      </c>
      <c r="H81" s="11">
        <v>40</v>
      </c>
      <c r="I81" s="14">
        <v>0.99609999999999999</v>
      </c>
      <c r="J81" s="13">
        <v>3.41</v>
      </c>
      <c r="K81" s="13">
        <v>0.59</v>
      </c>
      <c r="L81" s="11">
        <v>10.1</v>
      </c>
      <c r="M81" s="10">
        <v>5</v>
      </c>
    </row>
    <row r="82" spans="1:13" x14ac:dyDescent="0.3">
      <c r="A82" s="10">
        <v>81</v>
      </c>
      <c r="B82" s="11">
        <v>8.6</v>
      </c>
      <c r="C82" s="12">
        <v>0.49</v>
      </c>
      <c r="D82" s="13">
        <v>0.28000000000000003</v>
      </c>
      <c r="E82" s="11">
        <v>1.9</v>
      </c>
      <c r="F82" s="12">
        <v>0.11</v>
      </c>
      <c r="G82" s="11">
        <v>20</v>
      </c>
      <c r="H82" s="11">
        <v>136</v>
      </c>
      <c r="I82" s="14">
        <v>0.99719999999999998</v>
      </c>
      <c r="J82" s="13">
        <v>2.93</v>
      </c>
      <c r="K82" s="13">
        <v>1.95</v>
      </c>
      <c r="L82" s="11">
        <v>9.9</v>
      </c>
      <c r="M82" s="10">
        <v>6</v>
      </c>
    </row>
    <row r="83" spans="1:13" x14ac:dyDescent="0.3">
      <c r="A83" s="10">
        <v>82</v>
      </c>
      <c r="B83" s="11">
        <v>7.7</v>
      </c>
      <c r="C83" s="12">
        <v>0.49</v>
      </c>
      <c r="D83" s="13">
        <v>0.26</v>
      </c>
      <c r="E83" s="11">
        <v>1.9</v>
      </c>
      <c r="F83" s="12">
        <v>6.2E-2</v>
      </c>
      <c r="G83" s="11">
        <v>9</v>
      </c>
      <c r="H83" s="11">
        <v>31</v>
      </c>
      <c r="I83" s="14">
        <v>0.99660000000000004</v>
      </c>
      <c r="J83" s="13">
        <v>3.39</v>
      </c>
      <c r="K83" s="13">
        <v>0.64</v>
      </c>
      <c r="L83" s="11">
        <v>9.6</v>
      </c>
      <c r="M83" s="10">
        <v>5</v>
      </c>
    </row>
    <row r="84" spans="1:13" x14ac:dyDescent="0.3">
      <c r="A84" s="10">
        <v>83</v>
      </c>
      <c r="B84" s="11">
        <v>9.3000000000000007</v>
      </c>
      <c r="C84" s="12">
        <v>0.39</v>
      </c>
      <c r="D84" s="13">
        <v>0.44</v>
      </c>
      <c r="E84" s="11">
        <v>2.1</v>
      </c>
      <c r="F84" s="12">
        <v>0.107</v>
      </c>
      <c r="G84" s="11">
        <v>34</v>
      </c>
      <c r="H84" s="11">
        <v>125</v>
      </c>
      <c r="I84" s="14">
        <v>0.99780000000000002</v>
      </c>
      <c r="J84" s="13">
        <v>3.14</v>
      </c>
      <c r="K84" s="13">
        <v>1.22</v>
      </c>
      <c r="L84" s="11">
        <v>9.5</v>
      </c>
      <c r="M84" s="10">
        <v>5</v>
      </c>
    </row>
    <row r="85" spans="1:13" x14ac:dyDescent="0.3">
      <c r="A85" s="10">
        <v>84</v>
      </c>
      <c r="B85" s="11">
        <v>7</v>
      </c>
      <c r="C85" s="12">
        <v>0.62</v>
      </c>
      <c r="D85" s="13">
        <v>0.08</v>
      </c>
      <c r="E85" s="11">
        <v>1.8</v>
      </c>
      <c r="F85" s="12">
        <v>7.5999999999999998E-2</v>
      </c>
      <c r="G85" s="11">
        <v>8</v>
      </c>
      <c r="H85" s="11">
        <v>24</v>
      </c>
      <c r="I85" s="14">
        <v>0.99780000000000002</v>
      </c>
      <c r="J85" s="13">
        <v>3.48</v>
      </c>
      <c r="K85" s="13">
        <v>0.53</v>
      </c>
      <c r="L85" s="11">
        <v>9</v>
      </c>
      <c r="M85" s="10">
        <v>5</v>
      </c>
    </row>
    <row r="86" spans="1:13" x14ac:dyDescent="0.3">
      <c r="A86" s="10">
        <v>85</v>
      </c>
      <c r="B86" s="11">
        <v>7.9</v>
      </c>
      <c r="C86" s="12">
        <v>0.52</v>
      </c>
      <c r="D86" s="13">
        <v>0.26</v>
      </c>
      <c r="E86" s="11">
        <v>1.9</v>
      </c>
      <c r="F86" s="12">
        <v>7.9000000000000001E-2</v>
      </c>
      <c r="G86" s="11">
        <v>42</v>
      </c>
      <c r="H86" s="11">
        <v>140</v>
      </c>
      <c r="I86" s="14">
        <v>0.99639999999999995</v>
      </c>
      <c r="J86" s="13">
        <v>3.23</v>
      </c>
      <c r="K86" s="13">
        <v>0.54</v>
      </c>
      <c r="L86" s="11">
        <v>9.5</v>
      </c>
      <c r="M86" s="10">
        <v>5</v>
      </c>
    </row>
    <row r="87" spans="1:13" x14ac:dyDescent="0.3">
      <c r="A87" s="10">
        <v>86</v>
      </c>
      <c r="B87" s="11">
        <v>8.6</v>
      </c>
      <c r="C87" s="12">
        <v>0.49</v>
      </c>
      <c r="D87" s="13">
        <v>0.28999999999999998</v>
      </c>
      <c r="E87" s="11">
        <v>2</v>
      </c>
      <c r="F87" s="12">
        <v>0.11</v>
      </c>
      <c r="G87" s="11">
        <v>19</v>
      </c>
      <c r="H87" s="11">
        <v>133</v>
      </c>
      <c r="I87" s="14">
        <v>0.99719999999999998</v>
      </c>
      <c r="J87" s="13">
        <v>2.93</v>
      </c>
      <c r="K87" s="13">
        <v>1.98</v>
      </c>
      <c r="L87" s="11">
        <v>9.8000000000000007</v>
      </c>
      <c r="M87" s="10">
        <v>5</v>
      </c>
    </row>
    <row r="88" spans="1:13" x14ac:dyDescent="0.3">
      <c r="A88" s="10">
        <v>87</v>
      </c>
      <c r="B88" s="11">
        <v>5</v>
      </c>
      <c r="C88" s="12">
        <v>1.02</v>
      </c>
      <c r="D88" s="13">
        <v>0.04</v>
      </c>
      <c r="E88" s="11">
        <v>1.4</v>
      </c>
      <c r="F88" s="12">
        <v>4.4999999999999998E-2</v>
      </c>
      <c r="G88" s="11">
        <v>41</v>
      </c>
      <c r="H88" s="11">
        <v>85</v>
      </c>
      <c r="I88" s="14">
        <v>0.99380000000000002</v>
      </c>
      <c r="J88" s="13">
        <v>3.75</v>
      </c>
      <c r="K88" s="13">
        <v>0.48</v>
      </c>
      <c r="L88" s="11">
        <v>10.5</v>
      </c>
      <c r="M88" s="10">
        <v>4</v>
      </c>
    </row>
    <row r="89" spans="1:13" x14ac:dyDescent="0.3">
      <c r="A89" s="10">
        <v>88</v>
      </c>
      <c r="B89" s="11">
        <v>4.7</v>
      </c>
      <c r="C89" s="12">
        <v>0.6</v>
      </c>
      <c r="D89" s="13">
        <v>0.17</v>
      </c>
      <c r="E89" s="11">
        <v>2.2999999999999998</v>
      </c>
      <c r="F89" s="12">
        <v>5.8000000000000003E-2</v>
      </c>
      <c r="G89" s="11">
        <v>17</v>
      </c>
      <c r="H89" s="11">
        <v>106</v>
      </c>
      <c r="I89" s="14">
        <v>0.99319999999999997</v>
      </c>
      <c r="J89" s="13">
        <v>3.85</v>
      </c>
      <c r="K89" s="13">
        <v>0.6</v>
      </c>
      <c r="L89" s="11">
        <v>12.9</v>
      </c>
      <c r="M89" s="10">
        <v>6</v>
      </c>
    </row>
    <row r="90" spans="1:13" x14ac:dyDescent="0.3">
      <c r="A90" s="10">
        <v>89</v>
      </c>
      <c r="B90" s="11">
        <v>6.8</v>
      </c>
      <c r="C90" s="12">
        <v>0.77500000000000002</v>
      </c>
      <c r="D90" s="13">
        <v>0</v>
      </c>
      <c r="E90" s="11">
        <v>3</v>
      </c>
      <c r="F90" s="12">
        <v>0.10199999999999999</v>
      </c>
      <c r="G90" s="11">
        <v>8</v>
      </c>
      <c r="H90" s="11">
        <v>23</v>
      </c>
      <c r="I90" s="14">
        <v>0.99650000000000005</v>
      </c>
      <c r="J90" s="13">
        <v>3.45</v>
      </c>
      <c r="K90" s="13">
        <v>0.56000000000000005</v>
      </c>
      <c r="L90" s="11">
        <v>10.7</v>
      </c>
      <c r="M90" s="10">
        <v>5</v>
      </c>
    </row>
    <row r="91" spans="1:13" x14ac:dyDescent="0.3">
      <c r="A91" s="10">
        <v>90</v>
      </c>
      <c r="B91" s="11">
        <v>7</v>
      </c>
      <c r="C91" s="12">
        <v>0.5</v>
      </c>
      <c r="D91" s="13">
        <v>0.25</v>
      </c>
      <c r="E91" s="11">
        <v>2</v>
      </c>
      <c r="F91" s="12">
        <v>7.0000000000000007E-2</v>
      </c>
      <c r="G91" s="11">
        <v>3</v>
      </c>
      <c r="H91" s="11">
        <v>22</v>
      </c>
      <c r="I91" s="14">
        <v>0.99629999999999996</v>
      </c>
      <c r="J91" s="13">
        <v>3.25</v>
      </c>
      <c r="K91" s="13">
        <v>0.63</v>
      </c>
      <c r="L91" s="11">
        <v>9.1999999999999993</v>
      </c>
      <c r="M91" s="10">
        <v>5</v>
      </c>
    </row>
    <row r="92" spans="1:13" x14ac:dyDescent="0.3">
      <c r="A92" s="10">
        <v>91</v>
      </c>
      <c r="B92" s="11">
        <v>7.6</v>
      </c>
      <c r="C92" s="12">
        <v>0.9</v>
      </c>
      <c r="D92" s="13">
        <v>0.06</v>
      </c>
      <c r="E92" s="11">
        <v>2.5</v>
      </c>
      <c r="F92" s="12">
        <v>7.9000000000000001E-2</v>
      </c>
      <c r="G92" s="11">
        <v>5</v>
      </c>
      <c r="H92" s="11">
        <v>10</v>
      </c>
      <c r="I92" s="14">
        <v>0.99670000000000003</v>
      </c>
      <c r="J92" s="13">
        <v>3.39</v>
      </c>
      <c r="K92" s="13">
        <v>0.56000000000000005</v>
      </c>
      <c r="L92" s="11">
        <v>9.8000000000000007</v>
      </c>
      <c r="M92" s="10">
        <v>5</v>
      </c>
    </row>
    <row r="93" spans="1:13" x14ac:dyDescent="0.3">
      <c r="A93" s="10">
        <v>92</v>
      </c>
      <c r="B93" s="11">
        <v>8.1</v>
      </c>
      <c r="C93" s="12">
        <v>0.54500000000000004</v>
      </c>
      <c r="D93" s="13">
        <v>0.18</v>
      </c>
      <c r="E93" s="11">
        <v>1.9</v>
      </c>
      <c r="F93" s="12">
        <v>0.08</v>
      </c>
      <c r="G93" s="11">
        <v>13</v>
      </c>
      <c r="H93" s="11">
        <v>35</v>
      </c>
      <c r="I93" s="14">
        <v>0.99719999999999998</v>
      </c>
      <c r="J93" s="13">
        <v>3.3</v>
      </c>
      <c r="K93" s="13">
        <v>0.59</v>
      </c>
      <c r="L93" s="11">
        <v>9</v>
      </c>
      <c r="M93" s="10">
        <v>6</v>
      </c>
    </row>
    <row r="94" spans="1:13" x14ac:dyDescent="0.3">
      <c r="A94" s="10">
        <v>93</v>
      </c>
      <c r="B94" s="11">
        <v>8.3000000000000007</v>
      </c>
      <c r="C94" s="12">
        <v>0.61</v>
      </c>
      <c r="D94" s="13">
        <v>0.3</v>
      </c>
      <c r="E94" s="11">
        <v>2.1</v>
      </c>
      <c r="F94" s="12">
        <v>8.4000000000000005E-2</v>
      </c>
      <c r="G94" s="11">
        <v>11</v>
      </c>
      <c r="H94" s="11">
        <v>50</v>
      </c>
      <c r="I94" s="14">
        <v>0.99719999999999998</v>
      </c>
      <c r="J94" s="13">
        <v>3.4</v>
      </c>
      <c r="K94" s="13">
        <v>0.61</v>
      </c>
      <c r="L94" s="11">
        <v>10.199999999999999</v>
      </c>
      <c r="M94" s="10">
        <v>6</v>
      </c>
    </row>
    <row r="95" spans="1:13" x14ac:dyDescent="0.3">
      <c r="A95" s="10">
        <v>94</v>
      </c>
      <c r="B95" s="11">
        <v>7.8</v>
      </c>
      <c r="C95" s="12">
        <v>0.5</v>
      </c>
      <c r="D95" s="13">
        <v>0.3</v>
      </c>
      <c r="E95" s="11">
        <v>1.9</v>
      </c>
      <c r="F95" s="12">
        <v>7.4999999999999997E-2</v>
      </c>
      <c r="G95" s="11">
        <v>8</v>
      </c>
      <c r="H95" s="11">
        <v>22</v>
      </c>
      <c r="I95" s="14">
        <v>0.99590000000000001</v>
      </c>
      <c r="J95" s="13">
        <v>3.31</v>
      </c>
      <c r="K95" s="13">
        <v>0.56000000000000005</v>
      </c>
      <c r="L95" s="11">
        <v>10.4</v>
      </c>
      <c r="M95" s="10">
        <v>6</v>
      </c>
    </row>
    <row r="96" spans="1:13" x14ac:dyDescent="0.3">
      <c r="A96" s="10">
        <v>95</v>
      </c>
      <c r="B96" s="11">
        <v>8.1</v>
      </c>
      <c r="C96" s="12">
        <v>0.57499999999999996</v>
      </c>
      <c r="D96" s="13">
        <v>0.22</v>
      </c>
      <c r="E96" s="11">
        <v>2.1</v>
      </c>
      <c r="F96" s="12">
        <v>7.6999999999999999E-2</v>
      </c>
      <c r="G96" s="11">
        <v>12</v>
      </c>
      <c r="H96" s="11">
        <v>65</v>
      </c>
      <c r="I96" s="14">
        <v>0.99670000000000003</v>
      </c>
      <c r="J96" s="13">
        <v>3.29</v>
      </c>
      <c r="K96" s="13">
        <v>0.51</v>
      </c>
      <c r="L96" s="11">
        <v>9.1999999999999993</v>
      </c>
      <c r="M96" s="10">
        <v>5</v>
      </c>
    </row>
    <row r="97" spans="1:13" x14ac:dyDescent="0.3">
      <c r="A97" s="10">
        <v>96</v>
      </c>
      <c r="B97" s="11">
        <v>7.2</v>
      </c>
      <c r="C97" s="12">
        <v>0.49</v>
      </c>
      <c r="D97" s="13">
        <v>0.24</v>
      </c>
      <c r="E97" s="11">
        <v>2.2000000000000002</v>
      </c>
      <c r="F97" s="12">
        <v>7.0000000000000007E-2</v>
      </c>
      <c r="G97" s="11">
        <v>5</v>
      </c>
      <c r="H97" s="11">
        <v>36</v>
      </c>
      <c r="I97" s="14">
        <v>0.996</v>
      </c>
      <c r="J97" s="13">
        <v>3.33</v>
      </c>
      <c r="K97" s="13">
        <v>0.48</v>
      </c>
      <c r="L97" s="11">
        <v>9.4</v>
      </c>
      <c r="M97" s="10">
        <v>5</v>
      </c>
    </row>
    <row r="98" spans="1:13" x14ac:dyDescent="0.3">
      <c r="A98" s="10">
        <v>97</v>
      </c>
      <c r="B98" s="11">
        <v>7.8</v>
      </c>
      <c r="C98" s="12">
        <v>0.41</v>
      </c>
      <c r="D98" s="13">
        <v>0.68</v>
      </c>
      <c r="E98" s="11">
        <v>1.7</v>
      </c>
      <c r="F98" s="12">
        <v>0.46700000000000003</v>
      </c>
      <c r="G98" s="11">
        <v>18</v>
      </c>
      <c r="H98" s="11">
        <v>69</v>
      </c>
      <c r="I98" s="14">
        <v>0.99729999999999996</v>
      </c>
      <c r="J98" s="13">
        <v>3.08</v>
      </c>
      <c r="K98" s="13">
        <v>1.31</v>
      </c>
      <c r="L98" s="11">
        <v>9.3000000000000007</v>
      </c>
      <c r="M98" s="10">
        <v>5</v>
      </c>
    </row>
    <row r="99" spans="1:13" x14ac:dyDescent="0.3">
      <c r="A99" s="10">
        <v>98</v>
      </c>
      <c r="B99" s="11">
        <v>6.2</v>
      </c>
      <c r="C99" s="12">
        <v>0.63</v>
      </c>
      <c r="D99" s="13">
        <v>0.31</v>
      </c>
      <c r="E99" s="11">
        <v>1.7</v>
      </c>
      <c r="F99" s="12">
        <v>8.7999999999999995E-2</v>
      </c>
      <c r="G99" s="11">
        <v>15</v>
      </c>
      <c r="H99" s="11">
        <v>64</v>
      </c>
      <c r="I99" s="14">
        <v>0.99690000000000001</v>
      </c>
      <c r="J99" s="13">
        <v>3.46</v>
      </c>
      <c r="K99" s="13">
        <v>0.79</v>
      </c>
      <c r="L99" s="11">
        <v>9.3000000000000007</v>
      </c>
      <c r="M99" s="10">
        <v>5</v>
      </c>
    </row>
    <row r="100" spans="1:13" x14ac:dyDescent="0.3">
      <c r="A100" s="10">
        <v>99</v>
      </c>
      <c r="B100" s="11">
        <v>8</v>
      </c>
      <c r="C100" s="12">
        <v>0.33</v>
      </c>
      <c r="D100" s="13">
        <v>0.53</v>
      </c>
      <c r="E100" s="11">
        <v>2.5</v>
      </c>
      <c r="F100" s="12">
        <v>9.0999999999999998E-2</v>
      </c>
      <c r="G100" s="11">
        <v>18</v>
      </c>
      <c r="H100" s="11">
        <v>80</v>
      </c>
      <c r="I100" s="14">
        <v>0.99760000000000004</v>
      </c>
      <c r="J100" s="13">
        <v>3.37</v>
      </c>
      <c r="K100" s="13">
        <v>0.8</v>
      </c>
      <c r="L100" s="11">
        <v>9.6</v>
      </c>
      <c r="M100" s="10">
        <v>6</v>
      </c>
    </row>
    <row r="101" spans="1:13" x14ac:dyDescent="0.3">
      <c r="A101" s="10">
        <v>100</v>
      </c>
      <c r="B101" s="11">
        <v>8.1</v>
      </c>
      <c r="C101" s="12">
        <v>0.78500000000000003</v>
      </c>
      <c r="D101" s="13">
        <v>0.52</v>
      </c>
      <c r="E101" s="11">
        <v>2</v>
      </c>
      <c r="F101" s="12">
        <v>0.122</v>
      </c>
      <c r="G101" s="11">
        <v>37</v>
      </c>
      <c r="H101" s="11">
        <v>153</v>
      </c>
      <c r="I101" s="14">
        <v>0.99690000000000001</v>
      </c>
      <c r="J101" s="13">
        <v>3.21</v>
      </c>
      <c r="K101" s="13">
        <v>0.69</v>
      </c>
      <c r="L101" s="11">
        <v>9.3000000000000007</v>
      </c>
      <c r="M101" s="10">
        <v>5</v>
      </c>
    </row>
    <row r="102" spans="1:13" x14ac:dyDescent="0.3">
      <c r="A102" s="10">
        <v>101</v>
      </c>
      <c r="B102" s="11">
        <v>7.8</v>
      </c>
      <c r="C102" s="12">
        <v>0.56000000000000005</v>
      </c>
      <c r="D102" s="13">
        <v>0.19</v>
      </c>
      <c r="E102" s="11">
        <v>1.8</v>
      </c>
      <c r="F102" s="12">
        <v>0.104</v>
      </c>
      <c r="G102" s="11">
        <v>12</v>
      </c>
      <c r="H102" s="11">
        <v>47</v>
      </c>
      <c r="I102" s="14">
        <v>0.99639999999999995</v>
      </c>
      <c r="J102" s="13">
        <v>3.19</v>
      </c>
      <c r="K102" s="13">
        <v>0.93</v>
      </c>
      <c r="L102" s="11">
        <v>9.5</v>
      </c>
      <c r="M102" s="10">
        <v>5</v>
      </c>
    </row>
    <row r="103" spans="1:13" x14ac:dyDescent="0.3">
      <c r="A103" s="10">
        <v>102</v>
      </c>
      <c r="B103" s="11">
        <v>8.4</v>
      </c>
      <c r="C103" s="12">
        <v>0.62</v>
      </c>
      <c r="D103" s="13">
        <v>0.09</v>
      </c>
      <c r="E103" s="11">
        <v>2.2000000000000002</v>
      </c>
      <c r="F103" s="12">
        <v>8.4000000000000005E-2</v>
      </c>
      <c r="G103" s="11">
        <v>11</v>
      </c>
      <c r="H103" s="11">
        <v>108</v>
      </c>
      <c r="I103" s="14">
        <v>0.99639999999999995</v>
      </c>
      <c r="J103" s="13">
        <v>3.15</v>
      </c>
      <c r="K103" s="13">
        <v>0.66</v>
      </c>
      <c r="L103" s="11">
        <v>9.8000000000000007</v>
      </c>
      <c r="M103" s="10">
        <v>5</v>
      </c>
    </row>
    <row r="104" spans="1:13" x14ac:dyDescent="0.3">
      <c r="A104" s="10">
        <v>103</v>
      </c>
      <c r="B104" s="11">
        <v>8.4</v>
      </c>
      <c r="C104" s="12">
        <v>0.6</v>
      </c>
      <c r="D104" s="13">
        <v>0.1</v>
      </c>
      <c r="E104" s="11">
        <v>2.2000000000000002</v>
      </c>
      <c r="F104" s="12">
        <v>8.5000000000000006E-2</v>
      </c>
      <c r="G104" s="11">
        <v>14</v>
      </c>
      <c r="H104" s="11">
        <v>111</v>
      </c>
      <c r="I104" s="14">
        <v>0.99639999999999995</v>
      </c>
      <c r="J104" s="13">
        <v>3.15</v>
      </c>
      <c r="K104" s="13">
        <v>0.66</v>
      </c>
      <c r="L104" s="11">
        <v>9.8000000000000007</v>
      </c>
      <c r="M104" s="10">
        <v>5</v>
      </c>
    </row>
    <row r="105" spans="1:13" x14ac:dyDescent="0.3">
      <c r="A105" s="10">
        <v>104</v>
      </c>
      <c r="B105" s="11">
        <v>10.1</v>
      </c>
      <c r="C105" s="12">
        <v>0.31</v>
      </c>
      <c r="D105" s="13">
        <v>0.44</v>
      </c>
      <c r="E105" s="11">
        <v>2.2999999999999998</v>
      </c>
      <c r="F105" s="12">
        <v>0.08</v>
      </c>
      <c r="G105" s="11">
        <v>22</v>
      </c>
      <c r="H105" s="11">
        <v>46</v>
      </c>
      <c r="I105" s="14">
        <v>0.99880000000000002</v>
      </c>
      <c r="J105" s="13">
        <v>3.32</v>
      </c>
      <c r="K105" s="13">
        <v>0.67</v>
      </c>
      <c r="L105" s="11">
        <v>9.6999999999999993</v>
      </c>
      <c r="M105" s="10">
        <v>6</v>
      </c>
    </row>
    <row r="106" spans="1:13" x14ac:dyDescent="0.3">
      <c r="A106" s="10">
        <v>105</v>
      </c>
      <c r="B106" s="11">
        <v>9.4</v>
      </c>
      <c r="C106" s="12">
        <v>0.4</v>
      </c>
      <c r="D106" s="13">
        <v>0.31</v>
      </c>
      <c r="E106" s="11">
        <v>2.2000000000000002</v>
      </c>
      <c r="F106" s="12">
        <v>0.09</v>
      </c>
      <c r="G106" s="11">
        <v>13</v>
      </c>
      <c r="H106" s="11">
        <v>62</v>
      </c>
      <c r="I106" s="14">
        <v>0.99660000000000004</v>
      </c>
      <c r="J106" s="13">
        <v>3.07</v>
      </c>
      <c r="K106" s="13">
        <v>0.63</v>
      </c>
      <c r="L106" s="11">
        <v>10.5</v>
      </c>
      <c r="M106" s="10">
        <v>6</v>
      </c>
    </row>
    <row r="107" spans="1:13" x14ac:dyDescent="0.3">
      <c r="A107" s="10">
        <v>106</v>
      </c>
      <c r="B107" s="11">
        <v>8.3000000000000007</v>
      </c>
      <c r="C107" s="12">
        <v>0.54</v>
      </c>
      <c r="D107" s="13">
        <v>0.28000000000000003</v>
      </c>
      <c r="E107" s="11">
        <v>1.9</v>
      </c>
      <c r="F107" s="12">
        <v>7.6999999999999999E-2</v>
      </c>
      <c r="G107" s="11">
        <v>11</v>
      </c>
      <c r="H107" s="11">
        <v>40</v>
      </c>
      <c r="I107" s="14">
        <v>0.99780000000000002</v>
      </c>
      <c r="J107" s="13">
        <v>3.39</v>
      </c>
      <c r="K107" s="13">
        <v>0.61</v>
      </c>
      <c r="L107" s="11">
        <v>10</v>
      </c>
      <c r="M107" s="10">
        <v>6</v>
      </c>
    </row>
    <row r="108" spans="1:13" x14ac:dyDescent="0.3">
      <c r="A108" s="10">
        <v>107</v>
      </c>
      <c r="B108" s="11">
        <v>7.8</v>
      </c>
      <c r="C108" s="12">
        <v>0.56000000000000005</v>
      </c>
      <c r="D108" s="13">
        <v>0.12</v>
      </c>
      <c r="E108" s="11">
        <v>2</v>
      </c>
      <c r="F108" s="12">
        <v>8.2000000000000003E-2</v>
      </c>
      <c r="G108" s="11">
        <v>7</v>
      </c>
      <c r="H108" s="11">
        <v>28</v>
      </c>
      <c r="I108" s="14">
        <v>0.997</v>
      </c>
      <c r="J108" s="13">
        <v>3.37</v>
      </c>
      <c r="K108" s="13">
        <v>0.5</v>
      </c>
      <c r="L108" s="11">
        <v>9.4</v>
      </c>
      <c r="M108" s="10">
        <v>6</v>
      </c>
    </row>
    <row r="109" spans="1:13" x14ac:dyDescent="0.3">
      <c r="A109" s="10">
        <v>108</v>
      </c>
      <c r="B109" s="11">
        <v>8.8000000000000007</v>
      </c>
      <c r="C109" s="12">
        <v>0.55000000000000004</v>
      </c>
      <c r="D109" s="13">
        <v>0.04</v>
      </c>
      <c r="E109" s="11">
        <v>2.2000000000000002</v>
      </c>
      <c r="F109" s="12">
        <v>0.11899999999999999</v>
      </c>
      <c r="G109" s="11">
        <v>14</v>
      </c>
      <c r="H109" s="11">
        <v>56</v>
      </c>
      <c r="I109" s="14">
        <v>0.99619999999999997</v>
      </c>
      <c r="J109" s="13">
        <v>3.21</v>
      </c>
      <c r="K109" s="13">
        <v>0.6</v>
      </c>
      <c r="L109" s="11">
        <v>10.9</v>
      </c>
      <c r="M109" s="10">
        <v>6</v>
      </c>
    </row>
    <row r="110" spans="1:13" x14ac:dyDescent="0.3">
      <c r="A110" s="10">
        <v>109</v>
      </c>
      <c r="B110" s="11">
        <v>7</v>
      </c>
      <c r="C110" s="12">
        <v>0.69</v>
      </c>
      <c r="D110" s="13">
        <v>0.08</v>
      </c>
      <c r="E110" s="11">
        <v>1.8</v>
      </c>
      <c r="F110" s="12">
        <v>9.7000000000000003E-2</v>
      </c>
      <c r="G110" s="11">
        <v>22</v>
      </c>
      <c r="H110" s="11">
        <v>89</v>
      </c>
      <c r="I110" s="14">
        <v>0.99590000000000001</v>
      </c>
      <c r="J110" s="13">
        <v>3.34</v>
      </c>
      <c r="K110" s="13">
        <v>0.54</v>
      </c>
      <c r="L110" s="11">
        <v>9.1999999999999993</v>
      </c>
      <c r="M110" s="10">
        <v>6</v>
      </c>
    </row>
    <row r="111" spans="1:13" x14ac:dyDescent="0.3">
      <c r="A111" s="10">
        <v>110</v>
      </c>
      <c r="B111" s="11">
        <v>7.3</v>
      </c>
      <c r="C111" s="12">
        <v>1.07</v>
      </c>
      <c r="D111" s="13">
        <v>0.09</v>
      </c>
      <c r="E111" s="11">
        <v>1.7</v>
      </c>
      <c r="F111" s="12">
        <v>0.17799999999999999</v>
      </c>
      <c r="G111" s="11">
        <v>10</v>
      </c>
      <c r="H111" s="11">
        <v>89</v>
      </c>
      <c r="I111" s="14">
        <v>0.99619999999999997</v>
      </c>
      <c r="J111" s="13">
        <v>3.3</v>
      </c>
      <c r="K111" s="13">
        <v>0.56999999999999995</v>
      </c>
      <c r="L111" s="11">
        <v>9</v>
      </c>
      <c r="M111" s="10">
        <v>5</v>
      </c>
    </row>
    <row r="112" spans="1:13" x14ac:dyDescent="0.3">
      <c r="A112" s="10">
        <v>111</v>
      </c>
      <c r="B112" s="11">
        <v>7.3</v>
      </c>
      <c r="C112" s="12">
        <v>0.69499999999999995</v>
      </c>
      <c r="D112" s="13">
        <v>0</v>
      </c>
      <c r="E112" s="11">
        <v>2.5</v>
      </c>
      <c r="F112" s="12">
        <v>7.4999999999999997E-2</v>
      </c>
      <c r="G112" s="11">
        <v>3</v>
      </c>
      <c r="H112" s="11">
        <v>13</v>
      </c>
      <c r="I112" s="14">
        <v>0.998</v>
      </c>
      <c r="J112" s="13">
        <v>3.49</v>
      </c>
      <c r="K112" s="13">
        <v>0.52</v>
      </c>
      <c r="L112" s="11">
        <v>9.1999999999999993</v>
      </c>
      <c r="M112" s="10">
        <v>5</v>
      </c>
    </row>
    <row r="113" spans="1:13" x14ac:dyDescent="0.3">
      <c r="A113" s="10">
        <v>112</v>
      </c>
      <c r="B113" s="11">
        <v>8</v>
      </c>
      <c r="C113" s="12">
        <v>0.71</v>
      </c>
      <c r="D113" s="13">
        <v>0</v>
      </c>
      <c r="E113" s="11">
        <v>2.6</v>
      </c>
      <c r="F113" s="12">
        <v>0.08</v>
      </c>
      <c r="G113" s="11">
        <v>11</v>
      </c>
      <c r="H113" s="11">
        <v>34</v>
      </c>
      <c r="I113" s="14">
        <v>0.99760000000000004</v>
      </c>
      <c r="J113" s="13">
        <v>3.44</v>
      </c>
      <c r="K113" s="13">
        <v>0.53</v>
      </c>
      <c r="L113" s="11">
        <v>9.5</v>
      </c>
      <c r="M113" s="10">
        <v>5</v>
      </c>
    </row>
    <row r="114" spans="1:13" x14ac:dyDescent="0.3">
      <c r="A114" s="10">
        <v>113</v>
      </c>
      <c r="B114" s="11">
        <v>7.8</v>
      </c>
      <c r="C114" s="12">
        <v>0.5</v>
      </c>
      <c r="D114" s="13">
        <v>0.17</v>
      </c>
      <c r="E114" s="11">
        <v>1.6</v>
      </c>
      <c r="F114" s="12">
        <v>8.2000000000000003E-2</v>
      </c>
      <c r="G114" s="11">
        <v>21</v>
      </c>
      <c r="H114" s="11">
        <v>102</v>
      </c>
      <c r="I114" s="14">
        <v>0.996</v>
      </c>
      <c r="J114" s="13">
        <v>3.39</v>
      </c>
      <c r="K114" s="13">
        <v>0.48</v>
      </c>
      <c r="L114" s="11">
        <v>9.5</v>
      </c>
      <c r="M114" s="10">
        <v>5</v>
      </c>
    </row>
    <row r="115" spans="1:13" x14ac:dyDescent="0.3">
      <c r="A115" s="10">
        <v>114</v>
      </c>
      <c r="B115" s="11">
        <v>9</v>
      </c>
      <c r="C115" s="12">
        <v>0.62</v>
      </c>
      <c r="D115" s="13">
        <v>0.04</v>
      </c>
      <c r="E115" s="11">
        <v>1.9</v>
      </c>
      <c r="F115" s="12">
        <v>0.14599999999999999</v>
      </c>
      <c r="G115" s="11">
        <v>27</v>
      </c>
      <c r="H115" s="11">
        <v>90</v>
      </c>
      <c r="I115" s="14">
        <v>0.99839999999999995</v>
      </c>
      <c r="J115" s="13">
        <v>3.16</v>
      </c>
      <c r="K115" s="13">
        <v>0.7</v>
      </c>
      <c r="L115" s="11">
        <v>9.4</v>
      </c>
      <c r="M115" s="10">
        <v>5</v>
      </c>
    </row>
    <row r="116" spans="1:13" x14ac:dyDescent="0.3">
      <c r="A116" s="10">
        <v>115</v>
      </c>
      <c r="B116" s="11">
        <v>8.1999999999999993</v>
      </c>
      <c r="C116" s="12">
        <v>1.33</v>
      </c>
      <c r="D116" s="13">
        <v>0</v>
      </c>
      <c r="E116" s="11">
        <v>1.7</v>
      </c>
      <c r="F116" s="12">
        <v>8.1000000000000003E-2</v>
      </c>
      <c r="G116" s="11">
        <v>3</v>
      </c>
      <c r="H116" s="11">
        <v>12</v>
      </c>
      <c r="I116" s="14">
        <v>0.99639999999999995</v>
      </c>
      <c r="J116" s="13">
        <v>3.53</v>
      </c>
      <c r="K116" s="13">
        <v>0.49</v>
      </c>
      <c r="L116" s="11">
        <v>10.9</v>
      </c>
      <c r="M116" s="10">
        <v>5</v>
      </c>
    </row>
    <row r="117" spans="1:13" x14ac:dyDescent="0.3">
      <c r="A117" s="10">
        <v>116</v>
      </c>
      <c r="B117" s="11">
        <v>8.1</v>
      </c>
      <c r="C117" s="12">
        <v>1.33</v>
      </c>
      <c r="D117" s="13">
        <v>0</v>
      </c>
      <c r="E117" s="11">
        <v>1.8</v>
      </c>
      <c r="F117" s="12">
        <v>8.2000000000000003E-2</v>
      </c>
      <c r="G117" s="11">
        <v>3</v>
      </c>
      <c r="H117" s="11">
        <v>12</v>
      </c>
      <c r="I117" s="14">
        <v>0.99639999999999995</v>
      </c>
      <c r="J117" s="13">
        <v>3.54</v>
      </c>
      <c r="K117" s="13">
        <v>0.48</v>
      </c>
      <c r="L117" s="11">
        <v>10.9</v>
      </c>
      <c r="M117" s="10">
        <v>5</v>
      </c>
    </row>
    <row r="118" spans="1:13" x14ac:dyDescent="0.3">
      <c r="A118" s="10">
        <v>117</v>
      </c>
      <c r="B118" s="11">
        <v>8</v>
      </c>
      <c r="C118" s="12">
        <v>0.59</v>
      </c>
      <c r="D118" s="13">
        <v>0.16</v>
      </c>
      <c r="E118" s="11">
        <v>1.8</v>
      </c>
      <c r="F118" s="12">
        <v>6.5000000000000002E-2</v>
      </c>
      <c r="G118" s="11">
        <v>3</v>
      </c>
      <c r="H118" s="11">
        <v>16</v>
      </c>
      <c r="I118" s="14">
        <v>0.99619999999999997</v>
      </c>
      <c r="J118" s="13">
        <v>3.42</v>
      </c>
      <c r="K118" s="13">
        <v>0.92</v>
      </c>
      <c r="L118" s="11">
        <v>10.5</v>
      </c>
      <c r="M118" s="10">
        <v>7</v>
      </c>
    </row>
    <row r="119" spans="1:13" x14ac:dyDescent="0.3">
      <c r="A119" s="10">
        <v>118</v>
      </c>
      <c r="B119" s="11">
        <v>6.1</v>
      </c>
      <c r="C119" s="12">
        <v>0.38</v>
      </c>
      <c r="D119" s="13">
        <v>0.15</v>
      </c>
      <c r="E119" s="11">
        <v>1.8</v>
      </c>
      <c r="F119" s="12">
        <v>7.1999999999999995E-2</v>
      </c>
      <c r="G119" s="11">
        <v>6</v>
      </c>
      <c r="H119" s="11">
        <v>19</v>
      </c>
      <c r="I119" s="14">
        <v>0.99550000000000005</v>
      </c>
      <c r="J119" s="13">
        <v>3.42</v>
      </c>
      <c r="K119" s="13">
        <v>0.56999999999999995</v>
      </c>
      <c r="L119" s="11">
        <v>9.4</v>
      </c>
      <c r="M119" s="10">
        <v>5</v>
      </c>
    </row>
    <row r="120" spans="1:13" x14ac:dyDescent="0.3">
      <c r="A120" s="10">
        <v>119</v>
      </c>
      <c r="B120" s="11">
        <v>8</v>
      </c>
      <c r="C120" s="12">
        <v>0.745</v>
      </c>
      <c r="D120" s="13">
        <v>0.56000000000000005</v>
      </c>
      <c r="E120" s="11">
        <v>2</v>
      </c>
      <c r="F120" s="12">
        <v>0.11799999999999999</v>
      </c>
      <c r="G120" s="11">
        <v>30</v>
      </c>
      <c r="H120" s="11">
        <v>134</v>
      </c>
      <c r="I120" s="14">
        <v>0.99680000000000002</v>
      </c>
      <c r="J120" s="13">
        <v>3.24</v>
      </c>
      <c r="K120" s="13">
        <v>0.66</v>
      </c>
      <c r="L120" s="11">
        <v>9.4</v>
      </c>
      <c r="M120" s="10">
        <v>5</v>
      </c>
    </row>
    <row r="121" spans="1:13" x14ac:dyDescent="0.3">
      <c r="A121" s="10">
        <v>120</v>
      </c>
      <c r="B121" s="11">
        <v>5.6</v>
      </c>
      <c r="C121" s="12">
        <v>0.5</v>
      </c>
      <c r="D121" s="13">
        <v>0.09</v>
      </c>
      <c r="E121" s="11">
        <v>2.2999999999999998</v>
      </c>
      <c r="F121" s="12">
        <v>4.9000000000000002E-2</v>
      </c>
      <c r="G121" s="11">
        <v>17</v>
      </c>
      <c r="H121" s="11">
        <v>99</v>
      </c>
      <c r="I121" s="14">
        <v>0.99370000000000003</v>
      </c>
      <c r="J121" s="13">
        <v>3.63</v>
      </c>
      <c r="K121" s="13">
        <v>0.63</v>
      </c>
      <c r="L121" s="11">
        <v>13</v>
      </c>
      <c r="M121" s="10">
        <v>5</v>
      </c>
    </row>
    <row r="122" spans="1:13" x14ac:dyDescent="0.3">
      <c r="A122" s="10">
        <v>121</v>
      </c>
      <c r="B122" s="11">
        <v>6.6</v>
      </c>
      <c r="C122" s="12">
        <v>0.5</v>
      </c>
      <c r="D122" s="13">
        <v>0.01</v>
      </c>
      <c r="E122" s="11">
        <v>1.5</v>
      </c>
      <c r="F122" s="12">
        <v>0.06</v>
      </c>
      <c r="G122" s="11">
        <v>17</v>
      </c>
      <c r="H122" s="11">
        <v>26</v>
      </c>
      <c r="I122" s="14">
        <v>0.99519999999999997</v>
      </c>
      <c r="J122" s="13">
        <v>3.4</v>
      </c>
      <c r="K122" s="13">
        <v>0.57999999999999996</v>
      </c>
      <c r="L122" s="11">
        <v>9.8000000000000007</v>
      </c>
      <c r="M122" s="10">
        <v>6</v>
      </c>
    </row>
    <row r="123" spans="1:13" x14ac:dyDescent="0.3">
      <c r="A123" s="10">
        <v>122</v>
      </c>
      <c r="B123" s="11">
        <v>7.9</v>
      </c>
      <c r="C123" s="12">
        <v>1.04</v>
      </c>
      <c r="D123" s="13">
        <v>0.05</v>
      </c>
      <c r="E123" s="11">
        <v>2.2000000000000002</v>
      </c>
      <c r="F123" s="12">
        <v>8.4000000000000005E-2</v>
      </c>
      <c r="G123" s="11">
        <v>13</v>
      </c>
      <c r="H123" s="11">
        <v>29</v>
      </c>
      <c r="I123" s="14">
        <v>0.99590000000000001</v>
      </c>
      <c r="J123" s="13">
        <v>3.22</v>
      </c>
      <c r="K123" s="13">
        <v>0.55000000000000004</v>
      </c>
      <c r="L123" s="11">
        <v>9.9</v>
      </c>
      <c r="M123" s="10">
        <v>6</v>
      </c>
    </row>
    <row r="124" spans="1:13" x14ac:dyDescent="0.3">
      <c r="A124" s="10">
        <v>123</v>
      </c>
      <c r="B124" s="11">
        <v>8.4</v>
      </c>
      <c r="C124" s="12">
        <v>0.745</v>
      </c>
      <c r="D124" s="13">
        <v>0.11</v>
      </c>
      <c r="E124" s="11">
        <v>1.9</v>
      </c>
      <c r="F124" s="12">
        <v>0.09</v>
      </c>
      <c r="G124" s="11">
        <v>16</v>
      </c>
      <c r="H124" s="11">
        <v>63</v>
      </c>
      <c r="I124" s="14">
        <v>0.99650000000000005</v>
      </c>
      <c r="J124" s="13">
        <v>3.19</v>
      </c>
      <c r="K124" s="13">
        <v>0.82</v>
      </c>
      <c r="L124" s="11">
        <v>9.6</v>
      </c>
      <c r="M124" s="10">
        <v>5</v>
      </c>
    </row>
    <row r="125" spans="1:13" x14ac:dyDescent="0.3">
      <c r="A125" s="10">
        <v>124</v>
      </c>
      <c r="B125" s="11">
        <v>8.3000000000000007</v>
      </c>
      <c r="C125" s="12">
        <v>0.71499999999999997</v>
      </c>
      <c r="D125" s="13">
        <v>0.15</v>
      </c>
      <c r="E125" s="11">
        <v>1.8</v>
      </c>
      <c r="F125" s="12">
        <v>8.8999999999999996E-2</v>
      </c>
      <c r="G125" s="11">
        <v>10</v>
      </c>
      <c r="H125" s="11">
        <v>52</v>
      </c>
      <c r="I125" s="14">
        <v>0.99680000000000002</v>
      </c>
      <c r="J125" s="13">
        <v>3.23</v>
      </c>
      <c r="K125" s="13">
        <v>0.77</v>
      </c>
      <c r="L125" s="11">
        <v>9.5</v>
      </c>
      <c r="M125" s="10">
        <v>5</v>
      </c>
    </row>
    <row r="126" spans="1:13" x14ac:dyDescent="0.3">
      <c r="A126" s="10">
        <v>125</v>
      </c>
      <c r="B126" s="11">
        <v>7.2</v>
      </c>
      <c r="C126" s="12">
        <v>0.41499999999999998</v>
      </c>
      <c r="D126" s="13">
        <v>0.36</v>
      </c>
      <c r="E126" s="11">
        <v>2</v>
      </c>
      <c r="F126" s="12">
        <v>8.1000000000000003E-2</v>
      </c>
      <c r="G126" s="11">
        <v>13</v>
      </c>
      <c r="H126" s="11">
        <v>45</v>
      </c>
      <c r="I126" s="14">
        <v>0.99719999999999998</v>
      </c>
      <c r="J126" s="13">
        <v>3.48</v>
      </c>
      <c r="K126" s="13">
        <v>0.64</v>
      </c>
      <c r="L126" s="11">
        <v>9.1999999999999993</v>
      </c>
      <c r="M126" s="10">
        <v>5</v>
      </c>
    </row>
    <row r="127" spans="1:13" x14ac:dyDescent="0.3">
      <c r="A127" s="10">
        <v>126</v>
      </c>
      <c r="B127" s="11">
        <v>7.8</v>
      </c>
      <c r="C127" s="12">
        <v>0.56000000000000005</v>
      </c>
      <c r="D127" s="13">
        <v>0.19</v>
      </c>
      <c r="E127" s="11">
        <v>2.1</v>
      </c>
      <c r="F127" s="12">
        <v>8.1000000000000003E-2</v>
      </c>
      <c r="G127" s="11">
        <v>15</v>
      </c>
      <c r="H127" s="11">
        <v>105</v>
      </c>
      <c r="I127" s="14">
        <v>0.99619999999999997</v>
      </c>
      <c r="J127" s="13">
        <v>3.33</v>
      </c>
      <c r="K127" s="13">
        <v>0.54</v>
      </c>
      <c r="L127" s="11">
        <v>9.5</v>
      </c>
      <c r="M127" s="10">
        <v>5</v>
      </c>
    </row>
    <row r="128" spans="1:13" x14ac:dyDescent="0.3">
      <c r="A128" s="10">
        <v>127</v>
      </c>
      <c r="B128" s="11">
        <v>7.8</v>
      </c>
      <c r="C128" s="12">
        <v>0.56000000000000005</v>
      </c>
      <c r="D128" s="13">
        <v>0.19</v>
      </c>
      <c r="E128" s="11">
        <v>2</v>
      </c>
      <c r="F128" s="12">
        <v>8.1000000000000003E-2</v>
      </c>
      <c r="G128" s="11">
        <v>17</v>
      </c>
      <c r="H128" s="11">
        <v>108</v>
      </c>
      <c r="I128" s="14">
        <v>0.99619999999999997</v>
      </c>
      <c r="J128" s="13">
        <v>3.32</v>
      </c>
      <c r="K128" s="13">
        <v>0.54</v>
      </c>
      <c r="L128" s="11">
        <v>9.5</v>
      </c>
      <c r="M128" s="10">
        <v>5</v>
      </c>
    </row>
    <row r="129" spans="1:13" x14ac:dyDescent="0.3">
      <c r="A129" s="10">
        <v>128</v>
      </c>
      <c r="B129" s="11">
        <v>5.2</v>
      </c>
      <c r="C129" s="12">
        <v>0.34</v>
      </c>
      <c r="D129" s="13">
        <v>0</v>
      </c>
      <c r="E129" s="11">
        <v>1.8</v>
      </c>
      <c r="F129" s="12">
        <v>0.05</v>
      </c>
      <c r="G129" s="11">
        <v>27</v>
      </c>
      <c r="H129" s="11">
        <v>63</v>
      </c>
      <c r="I129" s="14">
        <v>0.99160000000000004</v>
      </c>
      <c r="J129" s="13">
        <v>3.68</v>
      </c>
      <c r="K129" s="13">
        <v>0.79</v>
      </c>
      <c r="L129" s="11">
        <v>14</v>
      </c>
      <c r="M129" s="10">
        <v>6</v>
      </c>
    </row>
    <row r="130" spans="1:13" x14ac:dyDescent="0.3">
      <c r="A130" s="10">
        <v>129</v>
      </c>
      <c r="B130" s="11">
        <v>6.3</v>
      </c>
      <c r="C130" s="12">
        <v>0.39</v>
      </c>
      <c r="D130" s="13">
        <v>0.08</v>
      </c>
      <c r="E130" s="11">
        <v>1.7</v>
      </c>
      <c r="F130" s="12">
        <v>6.6000000000000003E-2</v>
      </c>
      <c r="G130" s="11">
        <v>3</v>
      </c>
      <c r="H130" s="11">
        <v>20</v>
      </c>
      <c r="I130" s="14">
        <v>0.99539999999999995</v>
      </c>
      <c r="J130" s="13">
        <v>3.34</v>
      </c>
      <c r="K130" s="13">
        <v>0.57999999999999996</v>
      </c>
      <c r="L130" s="11">
        <v>9.4</v>
      </c>
      <c r="M130" s="10">
        <v>5</v>
      </c>
    </row>
    <row r="131" spans="1:13" x14ac:dyDescent="0.3">
      <c r="A131" s="10">
        <v>130</v>
      </c>
      <c r="B131" s="11">
        <v>8.1</v>
      </c>
      <c r="C131" s="12">
        <v>0.67</v>
      </c>
      <c r="D131" s="13">
        <v>0.55000000000000004</v>
      </c>
      <c r="E131" s="11">
        <v>1.8</v>
      </c>
      <c r="F131" s="12">
        <v>0.11700000000000001</v>
      </c>
      <c r="G131" s="11">
        <v>32</v>
      </c>
      <c r="H131" s="11">
        <v>141</v>
      </c>
      <c r="I131" s="14">
        <v>0.99680000000000002</v>
      </c>
      <c r="J131" s="13">
        <v>3.17</v>
      </c>
      <c r="K131" s="13">
        <v>0.62</v>
      </c>
      <c r="L131" s="11">
        <v>9.4</v>
      </c>
      <c r="M131" s="10">
        <v>5</v>
      </c>
    </row>
    <row r="132" spans="1:13" x14ac:dyDescent="0.3">
      <c r="A132" s="10">
        <v>131</v>
      </c>
      <c r="B132" s="11">
        <v>5.8</v>
      </c>
      <c r="C132" s="12">
        <v>0.68</v>
      </c>
      <c r="D132" s="13">
        <v>0.02</v>
      </c>
      <c r="E132" s="11">
        <v>1.8</v>
      </c>
      <c r="F132" s="12">
        <v>8.6999999999999994E-2</v>
      </c>
      <c r="G132" s="11">
        <v>21</v>
      </c>
      <c r="H132" s="11">
        <v>94</v>
      </c>
      <c r="I132" s="14">
        <v>0.99439999999999995</v>
      </c>
      <c r="J132" s="13">
        <v>3.54</v>
      </c>
      <c r="K132" s="13">
        <v>0.52</v>
      </c>
      <c r="L132" s="11">
        <v>10</v>
      </c>
      <c r="M132" s="10">
        <v>5</v>
      </c>
    </row>
    <row r="133" spans="1:13" x14ac:dyDescent="0.3">
      <c r="A133" s="10">
        <v>132</v>
      </c>
      <c r="B133" s="11">
        <v>7.6</v>
      </c>
      <c r="C133" s="12">
        <v>0.49</v>
      </c>
      <c r="D133" s="13">
        <v>0.26</v>
      </c>
      <c r="E133" s="11">
        <v>1.6</v>
      </c>
      <c r="F133" s="12">
        <v>0.23599999999999999</v>
      </c>
      <c r="G133" s="11">
        <v>10</v>
      </c>
      <c r="H133" s="11">
        <v>88</v>
      </c>
      <c r="I133" s="14">
        <v>0.99680000000000002</v>
      </c>
      <c r="J133" s="13">
        <v>3.11</v>
      </c>
      <c r="K133" s="13">
        <v>0.8</v>
      </c>
      <c r="L133" s="11">
        <v>9.3000000000000007</v>
      </c>
      <c r="M133" s="10">
        <v>5</v>
      </c>
    </row>
    <row r="134" spans="1:13" x14ac:dyDescent="0.3">
      <c r="A134" s="10">
        <v>133</v>
      </c>
      <c r="B134" s="11">
        <v>6.9</v>
      </c>
      <c r="C134" s="12">
        <v>0.49</v>
      </c>
      <c r="D134" s="13">
        <v>0.1</v>
      </c>
      <c r="E134" s="11">
        <v>2.2999999999999998</v>
      </c>
      <c r="F134" s="12">
        <v>7.3999999999999996E-2</v>
      </c>
      <c r="G134" s="11">
        <v>12</v>
      </c>
      <c r="H134" s="11">
        <v>30</v>
      </c>
      <c r="I134" s="14">
        <v>0.99590000000000001</v>
      </c>
      <c r="J134" s="13">
        <v>3.42</v>
      </c>
      <c r="K134" s="13">
        <v>0.57999999999999996</v>
      </c>
      <c r="L134" s="11">
        <v>10.199999999999999</v>
      </c>
      <c r="M134" s="10">
        <v>6</v>
      </c>
    </row>
    <row r="135" spans="1:13" x14ac:dyDescent="0.3">
      <c r="A135" s="10">
        <v>134</v>
      </c>
      <c r="B135" s="11">
        <v>8.1999999999999993</v>
      </c>
      <c r="C135" s="12">
        <v>0.4</v>
      </c>
      <c r="D135" s="13">
        <v>0.44</v>
      </c>
      <c r="E135" s="11">
        <v>2.8</v>
      </c>
      <c r="F135" s="12">
        <v>8.8999999999999996E-2</v>
      </c>
      <c r="G135" s="11">
        <v>11</v>
      </c>
      <c r="H135" s="11">
        <v>43</v>
      </c>
      <c r="I135" s="14">
        <v>0.99750000000000005</v>
      </c>
      <c r="J135" s="13">
        <v>3.53</v>
      </c>
      <c r="K135" s="13">
        <v>0.61</v>
      </c>
      <c r="L135" s="11">
        <v>10.5</v>
      </c>
      <c r="M135" s="10">
        <v>6</v>
      </c>
    </row>
    <row r="136" spans="1:13" x14ac:dyDescent="0.3">
      <c r="A136" s="10">
        <v>135</v>
      </c>
      <c r="B136" s="11">
        <v>7.3</v>
      </c>
      <c r="C136" s="12">
        <v>0.33</v>
      </c>
      <c r="D136" s="13">
        <v>0.47</v>
      </c>
      <c r="E136" s="11">
        <v>2.1</v>
      </c>
      <c r="F136" s="12">
        <v>7.6999999999999999E-2</v>
      </c>
      <c r="G136" s="11">
        <v>5</v>
      </c>
      <c r="H136" s="11">
        <v>11</v>
      </c>
      <c r="I136" s="14">
        <v>0.99580000000000002</v>
      </c>
      <c r="J136" s="13">
        <v>3.33</v>
      </c>
      <c r="K136" s="13">
        <v>0.53</v>
      </c>
      <c r="L136" s="11">
        <v>10.3</v>
      </c>
      <c r="M136" s="10">
        <v>6</v>
      </c>
    </row>
    <row r="137" spans="1:13" x14ac:dyDescent="0.3">
      <c r="A137" s="10">
        <v>136</v>
      </c>
      <c r="B137" s="11">
        <v>9.1999999999999993</v>
      </c>
      <c r="C137" s="12">
        <v>0.52</v>
      </c>
      <c r="D137" s="13">
        <v>1</v>
      </c>
      <c r="E137" s="11">
        <v>3.4</v>
      </c>
      <c r="F137" s="12">
        <v>0.61</v>
      </c>
      <c r="G137" s="11">
        <v>32</v>
      </c>
      <c r="H137" s="11">
        <v>69</v>
      </c>
      <c r="I137" s="14">
        <v>0.99960000000000004</v>
      </c>
      <c r="J137" s="13">
        <v>2.74</v>
      </c>
      <c r="K137" s="13">
        <v>2</v>
      </c>
      <c r="L137" s="11">
        <v>9.4</v>
      </c>
      <c r="M137" s="10">
        <v>4</v>
      </c>
    </row>
    <row r="138" spans="1:13" x14ac:dyDescent="0.3">
      <c r="A138" s="10">
        <v>137</v>
      </c>
      <c r="B138" s="11">
        <v>7.5</v>
      </c>
      <c r="C138" s="12">
        <v>0.6</v>
      </c>
      <c r="D138" s="13">
        <v>0.03</v>
      </c>
      <c r="E138" s="11">
        <v>1.8</v>
      </c>
      <c r="F138" s="12">
        <v>9.5000000000000001E-2</v>
      </c>
      <c r="G138" s="11">
        <v>25</v>
      </c>
      <c r="H138" s="11">
        <v>99</v>
      </c>
      <c r="I138" s="14">
        <v>0.995</v>
      </c>
      <c r="J138" s="13">
        <v>3.35</v>
      </c>
      <c r="K138" s="13">
        <v>0.54</v>
      </c>
      <c r="L138" s="11">
        <v>10.1</v>
      </c>
      <c r="M138" s="10">
        <v>5</v>
      </c>
    </row>
    <row r="139" spans="1:13" x14ac:dyDescent="0.3">
      <c r="A139" s="10">
        <v>138</v>
      </c>
      <c r="B139" s="11">
        <v>7.1</v>
      </c>
      <c r="C139" s="12">
        <v>0.43</v>
      </c>
      <c r="D139" s="13">
        <v>0.42</v>
      </c>
      <c r="E139" s="11">
        <v>5.5</v>
      </c>
      <c r="F139" s="12">
        <v>7.0000000000000007E-2</v>
      </c>
      <c r="G139" s="11">
        <v>29</v>
      </c>
      <c r="H139" s="11">
        <v>129</v>
      </c>
      <c r="I139" s="14">
        <v>0.99729999999999996</v>
      </c>
      <c r="J139" s="13">
        <v>3.42</v>
      </c>
      <c r="K139" s="13">
        <v>0.72</v>
      </c>
      <c r="L139" s="11">
        <v>10.5</v>
      </c>
      <c r="M139" s="10">
        <v>5</v>
      </c>
    </row>
    <row r="140" spans="1:13" x14ac:dyDescent="0.3">
      <c r="A140" s="10">
        <v>139</v>
      </c>
      <c r="B140" s="11">
        <v>7.1</v>
      </c>
      <c r="C140" s="12">
        <v>0.43</v>
      </c>
      <c r="D140" s="13">
        <v>0.42</v>
      </c>
      <c r="E140" s="11">
        <v>5.5</v>
      </c>
      <c r="F140" s="12">
        <v>7.0999999999999994E-2</v>
      </c>
      <c r="G140" s="11">
        <v>28</v>
      </c>
      <c r="H140" s="11">
        <v>128</v>
      </c>
      <c r="I140" s="14">
        <v>0.99729999999999996</v>
      </c>
      <c r="J140" s="13">
        <v>3.42</v>
      </c>
      <c r="K140" s="13">
        <v>0.71</v>
      </c>
      <c r="L140" s="11">
        <v>10.5</v>
      </c>
      <c r="M140" s="10">
        <v>5</v>
      </c>
    </row>
    <row r="141" spans="1:13" x14ac:dyDescent="0.3">
      <c r="A141" s="10">
        <v>140</v>
      </c>
      <c r="B141" s="11">
        <v>7.1</v>
      </c>
      <c r="C141" s="12">
        <v>0.68</v>
      </c>
      <c r="D141" s="13">
        <v>0</v>
      </c>
      <c r="E141" s="11">
        <v>2.2000000000000002</v>
      </c>
      <c r="F141" s="12">
        <v>7.2999999999999995E-2</v>
      </c>
      <c r="G141" s="11">
        <v>12</v>
      </c>
      <c r="H141" s="11">
        <v>22</v>
      </c>
      <c r="I141" s="14">
        <v>0.99690000000000001</v>
      </c>
      <c r="J141" s="13">
        <v>3.48</v>
      </c>
      <c r="K141" s="13">
        <v>0.5</v>
      </c>
      <c r="L141" s="11">
        <v>9.3000000000000007</v>
      </c>
      <c r="M141" s="10">
        <v>5</v>
      </c>
    </row>
    <row r="142" spans="1:13" x14ac:dyDescent="0.3">
      <c r="A142" s="10">
        <v>141</v>
      </c>
      <c r="B142" s="11">
        <v>6.8</v>
      </c>
      <c r="C142" s="12">
        <v>0.6</v>
      </c>
      <c r="D142" s="13">
        <v>0.18</v>
      </c>
      <c r="E142" s="11">
        <v>1.9</v>
      </c>
      <c r="F142" s="12">
        <v>7.9000000000000001E-2</v>
      </c>
      <c r="G142" s="11">
        <v>18</v>
      </c>
      <c r="H142" s="11">
        <v>86</v>
      </c>
      <c r="I142" s="14">
        <v>0.99680000000000002</v>
      </c>
      <c r="J142" s="13">
        <v>3.59</v>
      </c>
      <c r="K142" s="13">
        <v>0.56999999999999995</v>
      </c>
      <c r="L142" s="11">
        <v>9.3000000000000007</v>
      </c>
      <c r="M142" s="10">
        <v>6</v>
      </c>
    </row>
    <row r="143" spans="1:13" x14ac:dyDescent="0.3">
      <c r="A143" s="10">
        <v>142</v>
      </c>
      <c r="B143" s="11">
        <v>7.6</v>
      </c>
      <c r="C143" s="12">
        <v>0.95</v>
      </c>
      <c r="D143" s="13">
        <v>0.03</v>
      </c>
      <c r="E143" s="11">
        <v>2</v>
      </c>
      <c r="F143" s="12">
        <v>0.09</v>
      </c>
      <c r="G143" s="11">
        <v>7</v>
      </c>
      <c r="H143" s="11">
        <v>20</v>
      </c>
      <c r="I143" s="14">
        <v>0.99590000000000001</v>
      </c>
      <c r="J143" s="13">
        <v>3.2</v>
      </c>
      <c r="K143" s="13">
        <v>0.56000000000000005</v>
      </c>
      <c r="L143" s="11">
        <v>9.6</v>
      </c>
      <c r="M143" s="10">
        <v>5</v>
      </c>
    </row>
    <row r="144" spans="1:13" x14ac:dyDescent="0.3">
      <c r="A144" s="10">
        <v>143</v>
      </c>
      <c r="B144" s="11">
        <v>7.6</v>
      </c>
      <c r="C144" s="12">
        <v>0.68</v>
      </c>
      <c r="D144" s="13">
        <v>0.02</v>
      </c>
      <c r="E144" s="11">
        <v>1.3</v>
      </c>
      <c r="F144" s="12">
        <v>7.1999999999999995E-2</v>
      </c>
      <c r="G144" s="11">
        <v>9</v>
      </c>
      <c r="H144" s="11">
        <v>20</v>
      </c>
      <c r="I144" s="14">
        <v>0.99650000000000005</v>
      </c>
      <c r="J144" s="13">
        <v>3.17</v>
      </c>
      <c r="K144" s="13">
        <v>1.08</v>
      </c>
      <c r="L144" s="11">
        <v>9.1999999999999993</v>
      </c>
      <c r="M144" s="10">
        <v>4</v>
      </c>
    </row>
    <row r="145" spans="1:13" x14ac:dyDescent="0.3">
      <c r="A145" s="10">
        <v>144</v>
      </c>
      <c r="B145" s="11">
        <v>7.8</v>
      </c>
      <c r="C145" s="12">
        <v>0.53</v>
      </c>
      <c r="D145" s="13">
        <v>0.04</v>
      </c>
      <c r="E145" s="11">
        <v>1.7</v>
      </c>
      <c r="F145" s="12">
        <v>7.5999999999999998E-2</v>
      </c>
      <c r="G145" s="11">
        <v>17</v>
      </c>
      <c r="H145" s="11">
        <v>31</v>
      </c>
      <c r="I145" s="14">
        <v>0.99639999999999995</v>
      </c>
      <c r="J145" s="13">
        <v>3.33</v>
      </c>
      <c r="K145" s="13">
        <v>0.56000000000000005</v>
      </c>
      <c r="L145" s="11">
        <v>10</v>
      </c>
      <c r="M145" s="10">
        <v>6</v>
      </c>
    </row>
    <row r="146" spans="1:13" x14ac:dyDescent="0.3">
      <c r="A146" s="10">
        <v>145</v>
      </c>
      <c r="B146" s="11">
        <v>7.4</v>
      </c>
      <c r="C146" s="12">
        <v>0.6</v>
      </c>
      <c r="D146" s="13">
        <v>0.26</v>
      </c>
      <c r="E146" s="11">
        <v>7.3</v>
      </c>
      <c r="F146" s="12">
        <v>7.0000000000000007E-2</v>
      </c>
      <c r="G146" s="11">
        <v>36</v>
      </c>
      <c r="H146" s="11">
        <v>121</v>
      </c>
      <c r="I146" s="14">
        <v>0.99819999999999998</v>
      </c>
      <c r="J146" s="13">
        <v>3.37</v>
      </c>
      <c r="K146" s="13">
        <v>0.49</v>
      </c>
      <c r="L146" s="11">
        <v>9.4</v>
      </c>
      <c r="M146" s="10">
        <v>5</v>
      </c>
    </row>
    <row r="147" spans="1:13" x14ac:dyDescent="0.3">
      <c r="A147" s="10">
        <v>146</v>
      </c>
      <c r="B147" s="11">
        <v>7.3</v>
      </c>
      <c r="C147" s="12">
        <v>0.59</v>
      </c>
      <c r="D147" s="13">
        <v>0.26</v>
      </c>
      <c r="E147" s="11">
        <v>7.2</v>
      </c>
      <c r="F147" s="12">
        <v>7.0000000000000007E-2</v>
      </c>
      <c r="G147" s="11">
        <v>35</v>
      </c>
      <c r="H147" s="11">
        <v>121</v>
      </c>
      <c r="I147" s="14">
        <v>0.99809999999999999</v>
      </c>
      <c r="J147" s="13">
        <v>3.37</v>
      </c>
      <c r="K147" s="13">
        <v>0.49</v>
      </c>
      <c r="L147" s="11">
        <v>9.4</v>
      </c>
      <c r="M147" s="10">
        <v>5</v>
      </c>
    </row>
    <row r="148" spans="1:13" x14ac:dyDescent="0.3">
      <c r="A148" s="10">
        <v>147</v>
      </c>
      <c r="B148" s="11">
        <v>7.8</v>
      </c>
      <c r="C148" s="12">
        <v>0.63</v>
      </c>
      <c r="D148" s="13">
        <v>0.48</v>
      </c>
      <c r="E148" s="11">
        <v>1.7</v>
      </c>
      <c r="F148" s="12">
        <v>0.1</v>
      </c>
      <c r="G148" s="11">
        <v>14</v>
      </c>
      <c r="H148" s="11">
        <v>96</v>
      </c>
      <c r="I148" s="14">
        <v>0.99609999999999999</v>
      </c>
      <c r="J148" s="13">
        <v>3.19</v>
      </c>
      <c r="K148" s="13">
        <v>0.62</v>
      </c>
      <c r="L148" s="11">
        <v>9.5</v>
      </c>
      <c r="M148" s="10">
        <v>5</v>
      </c>
    </row>
    <row r="149" spans="1:13" x14ac:dyDescent="0.3">
      <c r="A149" s="10">
        <v>148</v>
      </c>
      <c r="B149" s="11">
        <v>6.8</v>
      </c>
      <c r="C149" s="12">
        <v>0.64</v>
      </c>
      <c r="D149" s="13">
        <v>0.1</v>
      </c>
      <c r="E149" s="11">
        <v>2.1</v>
      </c>
      <c r="F149" s="12">
        <v>8.5000000000000006E-2</v>
      </c>
      <c r="G149" s="11">
        <v>18</v>
      </c>
      <c r="H149" s="11">
        <v>101</v>
      </c>
      <c r="I149" s="14">
        <v>0.99560000000000004</v>
      </c>
      <c r="J149" s="13">
        <v>3.34</v>
      </c>
      <c r="K149" s="13">
        <v>0.52</v>
      </c>
      <c r="L149" s="11">
        <v>10.199999999999999</v>
      </c>
      <c r="M149" s="10">
        <v>5</v>
      </c>
    </row>
    <row r="150" spans="1:13" x14ac:dyDescent="0.3">
      <c r="A150" s="10">
        <v>149</v>
      </c>
      <c r="B150" s="11">
        <v>7.3</v>
      </c>
      <c r="C150" s="12">
        <v>0.55000000000000004</v>
      </c>
      <c r="D150" s="13">
        <v>0.03</v>
      </c>
      <c r="E150" s="11">
        <v>1.6</v>
      </c>
      <c r="F150" s="12">
        <v>7.1999999999999995E-2</v>
      </c>
      <c r="G150" s="11">
        <v>17</v>
      </c>
      <c r="H150" s="11">
        <v>42</v>
      </c>
      <c r="I150" s="14">
        <v>0.99560000000000004</v>
      </c>
      <c r="J150" s="13">
        <v>3.37</v>
      </c>
      <c r="K150" s="13">
        <v>0.48</v>
      </c>
      <c r="L150" s="11">
        <v>9</v>
      </c>
      <c r="M150" s="10">
        <v>4</v>
      </c>
    </row>
    <row r="151" spans="1:13" x14ac:dyDescent="0.3">
      <c r="A151" s="10">
        <v>150</v>
      </c>
      <c r="B151" s="11">
        <v>6.8</v>
      </c>
      <c r="C151" s="12">
        <v>0.63</v>
      </c>
      <c r="D151" s="13">
        <v>7.0000000000000007E-2</v>
      </c>
      <c r="E151" s="11">
        <v>2.1</v>
      </c>
      <c r="F151" s="12">
        <v>8.8999999999999996E-2</v>
      </c>
      <c r="G151" s="11">
        <v>11</v>
      </c>
      <c r="H151" s="11">
        <v>44</v>
      </c>
      <c r="I151" s="14">
        <v>0.99529999999999996</v>
      </c>
      <c r="J151" s="13">
        <v>3.47</v>
      </c>
      <c r="K151" s="13">
        <v>0.55000000000000004</v>
      </c>
      <c r="L151" s="11">
        <v>10.4</v>
      </c>
      <c r="M151" s="10">
        <v>6</v>
      </c>
    </row>
    <row r="152" spans="1:13" x14ac:dyDescent="0.3">
      <c r="A152" s="10">
        <v>151</v>
      </c>
      <c r="B152" s="11">
        <v>7.5</v>
      </c>
      <c r="C152" s="12">
        <v>0.70499999999999996</v>
      </c>
      <c r="D152" s="13">
        <v>0.24</v>
      </c>
      <c r="E152" s="11">
        <v>1.8</v>
      </c>
      <c r="F152" s="12">
        <v>0.36</v>
      </c>
      <c r="G152" s="11">
        <v>15</v>
      </c>
      <c r="H152" s="11">
        <v>63</v>
      </c>
      <c r="I152" s="14">
        <v>0.99639999999999995</v>
      </c>
      <c r="J152" s="13">
        <v>3</v>
      </c>
      <c r="K152" s="13">
        <v>1.59</v>
      </c>
      <c r="L152" s="11">
        <v>9.5</v>
      </c>
      <c r="M152" s="10">
        <v>5</v>
      </c>
    </row>
    <row r="153" spans="1:13" x14ac:dyDescent="0.3">
      <c r="A153" s="10">
        <v>152</v>
      </c>
      <c r="B153" s="11">
        <v>7.9</v>
      </c>
      <c r="C153" s="12">
        <v>0.88500000000000001</v>
      </c>
      <c r="D153" s="13">
        <v>0.03</v>
      </c>
      <c r="E153" s="11">
        <v>1.8</v>
      </c>
      <c r="F153" s="12">
        <v>5.8000000000000003E-2</v>
      </c>
      <c r="G153" s="11">
        <v>4</v>
      </c>
      <c r="H153" s="11">
        <v>8</v>
      </c>
      <c r="I153" s="14">
        <v>0.99719999999999998</v>
      </c>
      <c r="J153" s="13">
        <v>3.36</v>
      </c>
      <c r="K153" s="13">
        <v>0.33</v>
      </c>
      <c r="L153" s="11">
        <v>9.1</v>
      </c>
      <c r="M153" s="10">
        <v>4</v>
      </c>
    </row>
    <row r="154" spans="1:13" x14ac:dyDescent="0.3">
      <c r="A154" s="10">
        <v>153</v>
      </c>
      <c r="B154" s="11">
        <v>8</v>
      </c>
      <c r="C154" s="12">
        <v>0.42</v>
      </c>
      <c r="D154" s="13">
        <v>0.17</v>
      </c>
      <c r="E154" s="11">
        <v>2</v>
      </c>
      <c r="F154" s="12">
        <v>7.2999999999999995E-2</v>
      </c>
      <c r="G154" s="11">
        <v>6</v>
      </c>
      <c r="H154" s="11">
        <v>18</v>
      </c>
      <c r="I154" s="14">
        <v>0.99719999999999998</v>
      </c>
      <c r="J154" s="13">
        <v>3.29</v>
      </c>
      <c r="K154" s="13">
        <v>0.61</v>
      </c>
      <c r="L154" s="11">
        <v>9.1999999999999993</v>
      </c>
      <c r="M154" s="10">
        <v>6</v>
      </c>
    </row>
    <row r="155" spans="1:13" x14ac:dyDescent="0.3">
      <c r="A155" s="10">
        <v>154</v>
      </c>
      <c r="B155" s="11">
        <v>7.4</v>
      </c>
      <c r="C155" s="12">
        <v>0.62</v>
      </c>
      <c r="D155" s="13">
        <v>0.05</v>
      </c>
      <c r="E155" s="11">
        <v>1.9</v>
      </c>
      <c r="F155" s="12">
        <v>6.8000000000000005E-2</v>
      </c>
      <c r="G155" s="11">
        <v>24</v>
      </c>
      <c r="H155" s="11">
        <v>42</v>
      </c>
      <c r="I155" s="14">
        <v>0.99609999999999999</v>
      </c>
      <c r="J155" s="13">
        <v>3.42</v>
      </c>
      <c r="K155" s="13">
        <v>0.56999999999999995</v>
      </c>
      <c r="L155" s="11">
        <v>11.5</v>
      </c>
      <c r="M155" s="10">
        <v>6</v>
      </c>
    </row>
    <row r="156" spans="1:13" x14ac:dyDescent="0.3">
      <c r="A156" s="10">
        <v>155</v>
      </c>
      <c r="B156" s="11">
        <v>7.3</v>
      </c>
      <c r="C156" s="12">
        <v>0.38</v>
      </c>
      <c r="D156" s="13">
        <v>0.21</v>
      </c>
      <c r="E156" s="11">
        <v>2</v>
      </c>
      <c r="F156" s="12">
        <v>0.08</v>
      </c>
      <c r="G156" s="11">
        <v>7</v>
      </c>
      <c r="H156" s="11">
        <v>35</v>
      </c>
      <c r="I156" s="14">
        <v>0.99609999999999999</v>
      </c>
      <c r="J156" s="13">
        <v>3.33</v>
      </c>
      <c r="K156" s="13">
        <v>0.47</v>
      </c>
      <c r="L156" s="11">
        <v>9.5</v>
      </c>
      <c r="M156" s="10">
        <v>5</v>
      </c>
    </row>
    <row r="157" spans="1:13" x14ac:dyDescent="0.3">
      <c r="A157" s="10">
        <v>156</v>
      </c>
      <c r="B157" s="11">
        <v>6.9</v>
      </c>
      <c r="C157" s="12">
        <v>0.5</v>
      </c>
      <c r="D157" s="13">
        <v>0.04</v>
      </c>
      <c r="E157" s="11">
        <v>1.5</v>
      </c>
      <c r="F157" s="12">
        <v>8.5000000000000006E-2</v>
      </c>
      <c r="G157" s="11">
        <v>19</v>
      </c>
      <c r="H157" s="11">
        <v>49</v>
      </c>
      <c r="I157" s="14">
        <v>0.99580000000000002</v>
      </c>
      <c r="J157" s="13">
        <v>3.35</v>
      </c>
      <c r="K157" s="13">
        <v>0.78</v>
      </c>
      <c r="L157" s="11">
        <v>9.5</v>
      </c>
      <c r="M157" s="10">
        <v>5</v>
      </c>
    </row>
    <row r="158" spans="1:13" x14ac:dyDescent="0.3">
      <c r="A158" s="10">
        <v>157</v>
      </c>
      <c r="B158" s="11">
        <v>7.5</v>
      </c>
      <c r="C158" s="12">
        <v>0.52</v>
      </c>
      <c r="D158" s="13">
        <v>0.42</v>
      </c>
      <c r="E158" s="11">
        <v>2.2999999999999998</v>
      </c>
      <c r="F158" s="12">
        <v>8.6999999999999994E-2</v>
      </c>
      <c r="G158" s="11">
        <v>8</v>
      </c>
      <c r="H158" s="11">
        <v>38</v>
      </c>
      <c r="I158" s="14">
        <v>0.99719999999999998</v>
      </c>
      <c r="J158" s="13">
        <v>3.58</v>
      </c>
      <c r="K158" s="13">
        <v>0.61</v>
      </c>
      <c r="L158" s="11">
        <v>10.5</v>
      </c>
      <c r="M158" s="10">
        <v>6</v>
      </c>
    </row>
    <row r="159" spans="1:13" x14ac:dyDescent="0.3">
      <c r="A159" s="10">
        <v>158</v>
      </c>
      <c r="B159" s="11">
        <v>7</v>
      </c>
      <c r="C159" s="12">
        <v>0.80500000000000005</v>
      </c>
      <c r="D159" s="13">
        <v>0</v>
      </c>
      <c r="E159" s="11">
        <v>2.5</v>
      </c>
      <c r="F159" s="12">
        <v>6.8000000000000005E-2</v>
      </c>
      <c r="G159" s="11">
        <v>7</v>
      </c>
      <c r="H159" s="11">
        <v>20</v>
      </c>
      <c r="I159" s="14">
        <v>0.99690000000000001</v>
      </c>
      <c r="J159" s="13">
        <v>3.48</v>
      </c>
      <c r="K159" s="13">
        <v>0.56000000000000005</v>
      </c>
      <c r="L159" s="11">
        <v>9.6</v>
      </c>
      <c r="M159" s="10">
        <v>5</v>
      </c>
    </row>
    <row r="160" spans="1:13" x14ac:dyDescent="0.3">
      <c r="A160" s="10">
        <v>159</v>
      </c>
      <c r="B160" s="11">
        <v>8.8000000000000007</v>
      </c>
      <c r="C160" s="12">
        <v>0.61</v>
      </c>
      <c r="D160" s="13">
        <v>0.14000000000000001</v>
      </c>
      <c r="E160" s="11">
        <v>2.4</v>
      </c>
      <c r="F160" s="12">
        <v>6.7000000000000004E-2</v>
      </c>
      <c r="G160" s="11">
        <v>10</v>
      </c>
      <c r="H160" s="11">
        <v>42</v>
      </c>
      <c r="I160" s="14">
        <v>0.99690000000000001</v>
      </c>
      <c r="J160" s="13">
        <v>3.19</v>
      </c>
      <c r="K160" s="13">
        <v>0.59</v>
      </c>
      <c r="L160" s="11">
        <v>9.5</v>
      </c>
      <c r="M160" s="10">
        <v>5</v>
      </c>
    </row>
    <row r="161" spans="1:13" x14ac:dyDescent="0.3">
      <c r="A161" s="10">
        <v>160</v>
      </c>
      <c r="B161" s="11">
        <v>8.9</v>
      </c>
      <c r="C161" s="12">
        <v>0.61</v>
      </c>
      <c r="D161" s="13">
        <v>0.49</v>
      </c>
      <c r="E161" s="11">
        <v>2</v>
      </c>
      <c r="F161" s="12">
        <v>0.27</v>
      </c>
      <c r="G161" s="11">
        <v>23</v>
      </c>
      <c r="H161" s="11">
        <v>110</v>
      </c>
      <c r="I161" s="14">
        <v>0.99719999999999998</v>
      </c>
      <c r="J161" s="13">
        <v>3.12</v>
      </c>
      <c r="K161" s="13">
        <v>1.02</v>
      </c>
      <c r="L161" s="11">
        <v>9.3000000000000007</v>
      </c>
      <c r="M161" s="10">
        <v>5</v>
      </c>
    </row>
    <row r="162" spans="1:13" x14ac:dyDescent="0.3">
      <c r="A162" s="10">
        <v>161</v>
      </c>
      <c r="B162" s="11">
        <v>7.2</v>
      </c>
      <c r="C162" s="12">
        <v>0.73</v>
      </c>
      <c r="D162" s="13">
        <v>0.02</v>
      </c>
      <c r="E162" s="11">
        <v>2.5</v>
      </c>
      <c r="F162" s="12">
        <v>7.5999999999999998E-2</v>
      </c>
      <c r="G162" s="11">
        <v>16</v>
      </c>
      <c r="H162" s="11">
        <v>42</v>
      </c>
      <c r="I162" s="14">
        <v>0.99719999999999998</v>
      </c>
      <c r="J162" s="13">
        <v>3.44</v>
      </c>
      <c r="K162" s="13">
        <v>0.52</v>
      </c>
      <c r="L162" s="11">
        <v>9.3000000000000007</v>
      </c>
      <c r="M162" s="10">
        <v>5</v>
      </c>
    </row>
    <row r="163" spans="1:13" x14ac:dyDescent="0.3">
      <c r="A163" s="10">
        <v>162</v>
      </c>
      <c r="B163" s="11">
        <v>6.8</v>
      </c>
      <c r="C163" s="12">
        <v>0.61</v>
      </c>
      <c r="D163" s="13">
        <v>0.2</v>
      </c>
      <c r="E163" s="11">
        <v>1.8</v>
      </c>
      <c r="F163" s="12">
        <v>7.6999999999999999E-2</v>
      </c>
      <c r="G163" s="11">
        <v>11</v>
      </c>
      <c r="H163" s="11">
        <v>65</v>
      </c>
      <c r="I163" s="14">
        <v>0.99709999999999999</v>
      </c>
      <c r="J163" s="13">
        <v>3.54</v>
      </c>
      <c r="K163" s="13">
        <v>0.57999999999999996</v>
      </c>
      <c r="L163" s="11">
        <v>9.3000000000000007</v>
      </c>
      <c r="M163" s="10">
        <v>5</v>
      </c>
    </row>
    <row r="164" spans="1:13" x14ac:dyDescent="0.3">
      <c r="A164" s="10">
        <v>163</v>
      </c>
      <c r="B164" s="11">
        <v>6.7</v>
      </c>
      <c r="C164" s="12">
        <v>0.62</v>
      </c>
      <c r="D164" s="13">
        <v>0.21</v>
      </c>
      <c r="E164" s="11">
        <v>1.9</v>
      </c>
      <c r="F164" s="12">
        <v>7.9000000000000001E-2</v>
      </c>
      <c r="G164" s="11">
        <v>8</v>
      </c>
      <c r="H164" s="11">
        <v>62</v>
      </c>
      <c r="I164" s="14">
        <v>0.997</v>
      </c>
      <c r="J164" s="13">
        <v>3.52</v>
      </c>
      <c r="K164" s="13">
        <v>0.57999999999999996</v>
      </c>
      <c r="L164" s="11">
        <v>9.3000000000000007</v>
      </c>
      <c r="M164" s="10">
        <v>6</v>
      </c>
    </row>
    <row r="165" spans="1:13" x14ac:dyDescent="0.3">
      <c r="A165" s="10">
        <v>164</v>
      </c>
      <c r="B165" s="11">
        <v>8.9</v>
      </c>
      <c r="C165" s="12">
        <v>0.31</v>
      </c>
      <c r="D165" s="13">
        <v>0.56999999999999995</v>
      </c>
      <c r="E165" s="11">
        <v>2</v>
      </c>
      <c r="F165" s="12">
        <v>0.111</v>
      </c>
      <c r="G165" s="11">
        <v>26</v>
      </c>
      <c r="H165" s="11">
        <v>85</v>
      </c>
      <c r="I165" s="14">
        <v>0.99709999999999999</v>
      </c>
      <c r="J165" s="13">
        <v>3.26</v>
      </c>
      <c r="K165" s="13">
        <v>0.53</v>
      </c>
      <c r="L165" s="11">
        <v>9.6999999999999993</v>
      </c>
      <c r="M165" s="10">
        <v>5</v>
      </c>
    </row>
    <row r="166" spans="1:13" x14ac:dyDescent="0.3">
      <c r="A166" s="10">
        <v>165</v>
      </c>
      <c r="B166" s="11">
        <v>7.4</v>
      </c>
      <c r="C166" s="12">
        <v>0.39</v>
      </c>
      <c r="D166" s="13">
        <v>0.48</v>
      </c>
      <c r="E166" s="11">
        <v>2</v>
      </c>
      <c r="F166" s="12">
        <v>8.2000000000000003E-2</v>
      </c>
      <c r="G166" s="11">
        <v>14</v>
      </c>
      <c r="H166" s="11">
        <v>67</v>
      </c>
      <c r="I166" s="14">
        <v>0.99719999999999998</v>
      </c>
      <c r="J166" s="13">
        <v>3.34</v>
      </c>
      <c r="K166" s="13">
        <v>0.55000000000000004</v>
      </c>
      <c r="L166" s="11">
        <v>9.1999999999999993</v>
      </c>
      <c r="M166" s="10">
        <v>5</v>
      </c>
    </row>
    <row r="167" spans="1:13" x14ac:dyDescent="0.3">
      <c r="A167" s="10">
        <v>166</v>
      </c>
      <c r="B167" s="11">
        <v>7.7</v>
      </c>
      <c r="C167" s="12">
        <v>0.70499999999999996</v>
      </c>
      <c r="D167" s="13">
        <v>0.1</v>
      </c>
      <c r="E167" s="11">
        <v>2.6</v>
      </c>
      <c r="F167" s="12">
        <v>8.4000000000000005E-2</v>
      </c>
      <c r="G167" s="11">
        <v>9</v>
      </c>
      <c r="H167" s="11">
        <v>26</v>
      </c>
      <c r="I167" s="14">
        <v>0.99760000000000004</v>
      </c>
      <c r="J167" s="13">
        <v>3.39</v>
      </c>
      <c r="K167" s="13">
        <v>0.49</v>
      </c>
      <c r="L167" s="11">
        <v>9.6999999999999993</v>
      </c>
      <c r="M167" s="10">
        <v>5</v>
      </c>
    </row>
    <row r="168" spans="1:13" x14ac:dyDescent="0.3">
      <c r="A168" s="10">
        <v>167</v>
      </c>
      <c r="B168" s="11">
        <v>7.9</v>
      </c>
      <c r="C168" s="12">
        <v>0.5</v>
      </c>
      <c r="D168" s="13">
        <v>0.33</v>
      </c>
      <c r="E168" s="11">
        <v>2</v>
      </c>
      <c r="F168" s="12">
        <v>8.4000000000000005E-2</v>
      </c>
      <c r="G168" s="11">
        <v>15</v>
      </c>
      <c r="H168" s="11">
        <v>143</v>
      </c>
      <c r="I168" s="14">
        <v>0.99680000000000002</v>
      </c>
      <c r="J168" s="13">
        <v>3.2</v>
      </c>
      <c r="K168" s="13">
        <v>0.55000000000000004</v>
      </c>
      <c r="L168" s="11">
        <v>9.5</v>
      </c>
      <c r="M168" s="10">
        <v>5</v>
      </c>
    </row>
    <row r="169" spans="1:13" x14ac:dyDescent="0.3">
      <c r="A169" s="10">
        <v>168</v>
      </c>
      <c r="B169" s="11">
        <v>7.9</v>
      </c>
      <c r="C169" s="12">
        <v>0.49</v>
      </c>
      <c r="D169" s="13">
        <v>0.32</v>
      </c>
      <c r="E169" s="11">
        <v>1.9</v>
      </c>
      <c r="F169" s="12">
        <v>8.2000000000000003E-2</v>
      </c>
      <c r="G169" s="11">
        <v>17</v>
      </c>
      <c r="H169" s="11">
        <v>144</v>
      </c>
      <c r="I169" s="14">
        <v>0.99680000000000002</v>
      </c>
      <c r="J169" s="13">
        <v>3.2</v>
      </c>
      <c r="K169" s="13">
        <v>0.55000000000000004</v>
      </c>
      <c r="L169" s="11">
        <v>9.5</v>
      </c>
      <c r="M169" s="10">
        <v>5</v>
      </c>
    </row>
    <row r="170" spans="1:13" x14ac:dyDescent="0.3">
      <c r="A170" s="10">
        <v>169</v>
      </c>
      <c r="B170" s="11">
        <v>8.1999999999999993</v>
      </c>
      <c r="C170" s="12">
        <v>0.5</v>
      </c>
      <c r="D170" s="13">
        <v>0.35</v>
      </c>
      <c r="E170" s="11">
        <v>2.9</v>
      </c>
      <c r="F170" s="12">
        <v>7.6999999999999999E-2</v>
      </c>
      <c r="G170" s="11">
        <v>21</v>
      </c>
      <c r="H170" s="11">
        <v>127</v>
      </c>
      <c r="I170" s="14">
        <v>0.99760000000000004</v>
      </c>
      <c r="J170" s="13">
        <v>3.23</v>
      </c>
      <c r="K170" s="13">
        <v>0.62</v>
      </c>
      <c r="L170" s="11">
        <v>9.4</v>
      </c>
      <c r="M170" s="10">
        <v>5</v>
      </c>
    </row>
    <row r="171" spans="1:13" x14ac:dyDescent="0.3">
      <c r="A171" s="10">
        <v>170</v>
      </c>
      <c r="B171" s="11">
        <v>6.4</v>
      </c>
      <c r="C171" s="12">
        <v>0.37</v>
      </c>
      <c r="D171" s="13">
        <v>0.25</v>
      </c>
      <c r="E171" s="11">
        <v>1.9</v>
      </c>
      <c r="F171" s="12">
        <v>7.3999999999999996E-2</v>
      </c>
      <c r="G171" s="11">
        <v>21</v>
      </c>
      <c r="H171" s="11">
        <v>49</v>
      </c>
      <c r="I171" s="14">
        <v>0.99739999999999995</v>
      </c>
      <c r="J171" s="13">
        <v>3.57</v>
      </c>
      <c r="K171" s="13">
        <v>0.62</v>
      </c>
      <c r="L171" s="11">
        <v>9.8000000000000007</v>
      </c>
      <c r="M171" s="10">
        <v>6</v>
      </c>
    </row>
    <row r="172" spans="1:13" x14ac:dyDescent="0.3">
      <c r="A172" s="10">
        <v>171</v>
      </c>
      <c r="B172" s="11">
        <v>6.8</v>
      </c>
      <c r="C172" s="12">
        <v>0.63</v>
      </c>
      <c r="D172" s="13">
        <v>0.12</v>
      </c>
      <c r="E172" s="11">
        <v>3.8</v>
      </c>
      <c r="F172" s="12">
        <v>9.9000000000000005E-2</v>
      </c>
      <c r="G172" s="11">
        <v>16</v>
      </c>
      <c r="H172" s="11">
        <v>126</v>
      </c>
      <c r="I172" s="14">
        <v>0.99690000000000001</v>
      </c>
      <c r="J172" s="13">
        <v>3.28</v>
      </c>
      <c r="K172" s="13">
        <v>0.61</v>
      </c>
      <c r="L172" s="11">
        <v>9.5</v>
      </c>
      <c r="M172" s="10">
        <v>5</v>
      </c>
    </row>
    <row r="173" spans="1:13" x14ac:dyDescent="0.3">
      <c r="A173" s="10">
        <v>172</v>
      </c>
      <c r="B173" s="11">
        <v>7.6</v>
      </c>
      <c r="C173" s="12">
        <v>0.55000000000000004</v>
      </c>
      <c r="D173" s="13">
        <v>0.21</v>
      </c>
      <c r="E173" s="11">
        <v>2.2000000000000002</v>
      </c>
      <c r="F173" s="12">
        <v>7.0999999999999994E-2</v>
      </c>
      <c r="G173" s="11">
        <v>7</v>
      </c>
      <c r="H173" s="11">
        <v>28</v>
      </c>
      <c r="I173" s="14">
        <v>0.99639999999999995</v>
      </c>
      <c r="J173" s="13">
        <v>3.28</v>
      </c>
      <c r="K173" s="13">
        <v>0.55000000000000004</v>
      </c>
      <c r="L173" s="11">
        <v>9.6999999999999993</v>
      </c>
      <c r="M173" s="10">
        <v>5</v>
      </c>
    </row>
    <row r="174" spans="1:13" x14ac:dyDescent="0.3">
      <c r="A174" s="10">
        <v>173</v>
      </c>
      <c r="B174" s="11">
        <v>7.8</v>
      </c>
      <c r="C174" s="12">
        <v>0.59</v>
      </c>
      <c r="D174" s="13">
        <v>0.33</v>
      </c>
      <c r="E174" s="11">
        <v>2</v>
      </c>
      <c r="F174" s="12">
        <v>7.3999999999999996E-2</v>
      </c>
      <c r="G174" s="11">
        <v>24</v>
      </c>
      <c r="H174" s="11">
        <v>120</v>
      </c>
      <c r="I174" s="14">
        <v>0.99680000000000002</v>
      </c>
      <c r="J174" s="13">
        <v>3.25</v>
      </c>
      <c r="K174" s="13">
        <v>0.54</v>
      </c>
      <c r="L174" s="11">
        <v>9.4</v>
      </c>
      <c r="M174" s="10">
        <v>5</v>
      </c>
    </row>
    <row r="175" spans="1:13" x14ac:dyDescent="0.3">
      <c r="A175" s="10">
        <v>174</v>
      </c>
      <c r="B175" s="11">
        <v>7.3</v>
      </c>
      <c r="C175" s="12">
        <v>0.57999999999999996</v>
      </c>
      <c r="D175" s="13">
        <v>0.3</v>
      </c>
      <c r="E175" s="11">
        <v>2.4</v>
      </c>
      <c r="F175" s="12">
        <v>7.3999999999999996E-2</v>
      </c>
      <c r="G175" s="11">
        <v>15</v>
      </c>
      <c r="H175" s="11">
        <v>55</v>
      </c>
      <c r="I175" s="14">
        <v>0.99680000000000002</v>
      </c>
      <c r="J175" s="13">
        <v>3.46</v>
      </c>
      <c r="K175" s="13">
        <v>0.59</v>
      </c>
      <c r="L175" s="11">
        <v>10.199999999999999</v>
      </c>
      <c r="M175" s="10">
        <v>5</v>
      </c>
    </row>
    <row r="176" spans="1:13" x14ac:dyDescent="0.3">
      <c r="A176" s="10">
        <v>175</v>
      </c>
      <c r="B176" s="11">
        <v>11.5</v>
      </c>
      <c r="C176" s="12">
        <v>0.3</v>
      </c>
      <c r="D176" s="13">
        <v>0.6</v>
      </c>
      <c r="E176" s="11">
        <v>2</v>
      </c>
      <c r="F176" s="12">
        <v>6.7000000000000004E-2</v>
      </c>
      <c r="G176" s="11">
        <v>12</v>
      </c>
      <c r="H176" s="11">
        <v>27</v>
      </c>
      <c r="I176" s="14">
        <v>0.99809999999999999</v>
      </c>
      <c r="J176" s="13">
        <v>3.11</v>
      </c>
      <c r="K176" s="13">
        <v>0.97</v>
      </c>
      <c r="L176" s="11">
        <v>10.1</v>
      </c>
      <c r="M176" s="10">
        <v>6</v>
      </c>
    </row>
    <row r="177" spans="1:13" x14ac:dyDescent="0.3">
      <c r="A177" s="10">
        <v>176</v>
      </c>
      <c r="B177" s="11">
        <v>5.4</v>
      </c>
      <c r="C177" s="12">
        <v>0.83499999999999996</v>
      </c>
      <c r="D177" s="13">
        <v>0.08</v>
      </c>
      <c r="E177" s="11">
        <v>1.2</v>
      </c>
      <c r="F177" s="12">
        <v>4.5999999999999999E-2</v>
      </c>
      <c r="G177" s="11">
        <v>13</v>
      </c>
      <c r="H177" s="11">
        <v>93</v>
      </c>
      <c r="I177" s="14">
        <v>0.99239999999999995</v>
      </c>
      <c r="J177" s="13">
        <v>3.57</v>
      </c>
      <c r="K177" s="13">
        <v>0.85</v>
      </c>
      <c r="L177" s="11">
        <v>13</v>
      </c>
      <c r="M177" s="10">
        <v>7</v>
      </c>
    </row>
    <row r="178" spans="1:13" x14ac:dyDescent="0.3">
      <c r="A178" s="10">
        <v>177</v>
      </c>
      <c r="B178" s="11">
        <v>6.9</v>
      </c>
      <c r="C178" s="12">
        <v>1.0900000000000001</v>
      </c>
      <c r="D178" s="13">
        <v>0.06</v>
      </c>
      <c r="E178" s="11">
        <v>2.1</v>
      </c>
      <c r="F178" s="12">
        <v>6.0999999999999999E-2</v>
      </c>
      <c r="G178" s="11">
        <v>12</v>
      </c>
      <c r="H178" s="11">
        <v>31</v>
      </c>
      <c r="I178" s="14">
        <v>0.99480000000000002</v>
      </c>
      <c r="J178" s="13">
        <v>3.51</v>
      </c>
      <c r="K178" s="13">
        <v>0.43</v>
      </c>
      <c r="L178" s="11">
        <v>11.4</v>
      </c>
      <c r="M178" s="10">
        <v>4</v>
      </c>
    </row>
    <row r="179" spans="1:13" x14ac:dyDescent="0.3">
      <c r="A179" s="10">
        <v>178</v>
      </c>
      <c r="B179" s="11">
        <v>9.6</v>
      </c>
      <c r="C179" s="12">
        <v>0.32</v>
      </c>
      <c r="D179" s="13">
        <v>0.47</v>
      </c>
      <c r="E179" s="11">
        <v>1.4</v>
      </c>
      <c r="F179" s="12">
        <v>5.6000000000000001E-2</v>
      </c>
      <c r="G179" s="11">
        <v>9</v>
      </c>
      <c r="H179" s="11">
        <v>24</v>
      </c>
      <c r="I179" s="14">
        <v>0.99695</v>
      </c>
      <c r="J179" s="13">
        <v>3.22</v>
      </c>
      <c r="K179" s="13">
        <v>0.82</v>
      </c>
      <c r="L179" s="11">
        <v>10.3</v>
      </c>
      <c r="M179" s="10">
        <v>7</v>
      </c>
    </row>
    <row r="180" spans="1:13" x14ac:dyDescent="0.3">
      <c r="A180" s="10">
        <v>179</v>
      </c>
      <c r="B180" s="11">
        <v>8.8000000000000007</v>
      </c>
      <c r="C180" s="12">
        <v>0.37</v>
      </c>
      <c r="D180" s="13">
        <v>0.48</v>
      </c>
      <c r="E180" s="11">
        <v>2.1</v>
      </c>
      <c r="F180" s="12">
        <v>9.7000000000000003E-2</v>
      </c>
      <c r="G180" s="11">
        <v>39</v>
      </c>
      <c r="H180" s="11">
        <v>145</v>
      </c>
      <c r="I180" s="14">
        <v>0.99750000000000005</v>
      </c>
      <c r="J180" s="13">
        <v>3.04</v>
      </c>
      <c r="K180" s="13">
        <v>1.03</v>
      </c>
      <c r="L180" s="11">
        <v>9.3000000000000007</v>
      </c>
      <c r="M180" s="10">
        <v>5</v>
      </c>
    </row>
    <row r="181" spans="1:13" x14ac:dyDescent="0.3">
      <c r="A181" s="10">
        <v>180</v>
      </c>
      <c r="B181" s="11">
        <v>6.8</v>
      </c>
      <c r="C181" s="12">
        <v>0.5</v>
      </c>
      <c r="D181" s="13">
        <v>0.11</v>
      </c>
      <c r="E181" s="11">
        <v>1.5</v>
      </c>
      <c r="F181" s="12">
        <v>7.4999999999999997E-2</v>
      </c>
      <c r="G181" s="11">
        <v>16</v>
      </c>
      <c r="H181" s="11">
        <v>49</v>
      </c>
      <c r="I181" s="14">
        <v>0.99544999999999995</v>
      </c>
      <c r="J181" s="13">
        <v>3.36</v>
      </c>
      <c r="K181" s="13">
        <v>0.79</v>
      </c>
      <c r="L181" s="11">
        <v>9.5</v>
      </c>
      <c r="M181" s="10">
        <v>5</v>
      </c>
    </row>
    <row r="182" spans="1:13" x14ac:dyDescent="0.3">
      <c r="A182" s="10">
        <v>181</v>
      </c>
      <c r="B182" s="11">
        <v>7</v>
      </c>
      <c r="C182" s="12">
        <v>0.42</v>
      </c>
      <c r="D182" s="13">
        <v>0.35</v>
      </c>
      <c r="E182" s="11">
        <v>1.6</v>
      </c>
      <c r="F182" s="12">
        <v>8.7999999999999995E-2</v>
      </c>
      <c r="G182" s="11">
        <v>16</v>
      </c>
      <c r="H182" s="11">
        <v>39</v>
      </c>
      <c r="I182" s="14">
        <v>0.99609999999999999</v>
      </c>
      <c r="J182" s="13">
        <v>3.34</v>
      </c>
      <c r="K182" s="13">
        <v>0.55000000000000004</v>
      </c>
      <c r="L182" s="11">
        <v>9.1999999999999993</v>
      </c>
      <c r="M182" s="10">
        <v>5</v>
      </c>
    </row>
    <row r="183" spans="1:13" x14ac:dyDescent="0.3">
      <c r="A183" s="10">
        <v>182</v>
      </c>
      <c r="B183" s="11">
        <v>7</v>
      </c>
      <c r="C183" s="12">
        <v>0.43</v>
      </c>
      <c r="D183" s="13">
        <v>0.36</v>
      </c>
      <c r="E183" s="11">
        <v>1.6</v>
      </c>
      <c r="F183" s="12">
        <v>8.8999999999999996E-2</v>
      </c>
      <c r="G183" s="11">
        <v>14</v>
      </c>
      <c r="H183" s="11">
        <v>37</v>
      </c>
      <c r="I183" s="14">
        <v>0.99614999999999998</v>
      </c>
      <c r="J183" s="13">
        <v>3.34</v>
      </c>
      <c r="K183" s="13">
        <v>0.56000000000000005</v>
      </c>
      <c r="L183" s="11">
        <v>9.1999999999999993</v>
      </c>
      <c r="M183" s="10">
        <v>6</v>
      </c>
    </row>
    <row r="184" spans="1:13" x14ac:dyDescent="0.3">
      <c r="A184" s="10">
        <v>183</v>
      </c>
      <c r="B184" s="11">
        <v>12.8</v>
      </c>
      <c r="C184" s="12">
        <v>0.3</v>
      </c>
      <c r="D184" s="13">
        <v>0.74</v>
      </c>
      <c r="E184" s="11">
        <v>2.6</v>
      </c>
      <c r="F184" s="12">
        <v>9.5000000000000001E-2</v>
      </c>
      <c r="G184" s="11">
        <v>9</v>
      </c>
      <c r="H184" s="11">
        <v>28</v>
      </c>
      <c r="I184" s="14">
        <v>0.99939999999999996</v>
      </c>
      <c r="J184" s="13">
        <v>3.2</v>
      </c>
      <c r="K184" s="13">
        <v>0.77</v>
      </c>
      <c r="L184" s="11">
        <v>10.8</v>
      </c>
      <c r="M184" s="10">
        <v>7</v>
      </c>
    </row>
    <row r="185" spans="1:13" x14ac:dyDescent="0.3">
      <c r="A185" s="10">
        <v>184</v>
      </c>
      <c r="B185" s="11">
        <v>7.8</v>
      </c>
      <c r="C185" s="12">
        <v>0.56999999999999995</v>
      </c>
      <c r="D185" s="13">
        <v>0.31</v>
      </c>
      <c r="E185" s="11">
        <v>1.8</v>
      </c>
      <c r="F185" s="12">
        <v>6.9000000000000006E-2</v>
      </c>
      <c r="G185" s="11">
        <v>26</v>
      </c>
      <c r="H185" s="11">
        <v>120</v>
      </c>
      <c r="I185" s="14">
        <v>0.99624999999999997</v>
      </c>
      <c r="J185" s="13">
        <v>3.29</v>
      </c>
      <c r="K185" s="13">
        <v>0.53</v>
      </c>
      <c r="L185" s="11">
        <v>9.3000000000000007</v>
      </c>
      <c r="M185" s="10">
        <v>5</v>
      </c>
    </row>
    <row r="186" spans="1:13" x14ac:dyDescent="0.3">
      <c r="A186" s="10">
        <v>185</v>
      </c>
      <c r="B186" s="11">
        <v>7.8</v>
      </c>
      <c r="C186" s="12">
        <v>0.44</v>
      </c>
      <c r="D186" s="13">
        <v>0.28000000000000003</v>
      </c>
      <c r="E186" s="11">
        <v>2.7</v>
      </c>
      <c r="F186" s="12">
        <v>0.1</v>
      </c>
      <c r="G186" s="11">
        <v>18</v>
      </c>
      <c r="H186" s="11">
        <v>95</v>
      </c>
      <c r="I186" s="14">
        <v>0.99660000000000004</v>
      </c>
      <c r="J186" s="13">
        <v>3.22</v>
      </c>
      <c r="K186" s="13">
        <v>0.67</v>
      </c>
      <c r="L186" s="11">
        <v>9.4</v>
      </c>
      <c r="M186" s="10">
        <v>5</v>
      </c>
    </row>
    <row r="187" spans="1:13" x14ac:dyDescent="0.3">
      <c r="A187" s="10">
        <v>186</v>
      </c>
      <c r="B187" s="11">
        <v>11</v>
      </c>
      <c r="C187" s="12">
        <v>0.3</v>
      </c>
      <c r="D187" s="13">
        <v>0.57999999999999996</v>
      </c>
      <c r="E187" s="11">
        <v>2.1</v>
      </c>
      <c r="F187" s="12">
        <v>5.3999999999999999E-2</v>
      </c>
      <c r="G187" s="11">
        <v>7</v>
      </c>
      <c r="H187" s="11">
        <v>19</v>
      </c>
      <c r="I187" s="14">
        <v>0.998</v>
      </c>
      <c r="J187" s="13">
        <v>3.31</v>
      </c>
      <c r="K187" s="13">
        <v>0.88</v>
      </c>
      <c r="L187" s="11">
        <v>10.5</v>
      </c>
      <c r="M187" s="10">
        <v>7</v>
      </c>
    </row>
    <row r="188" spans="1:13" x14ac:dyDescent="0.3">
      <c r="A188" s="10">
        <v>187</v>
      </c>
      <c r="B188" s="11">
        <v>9.6999999999999993</v>
      </c>
      <c r="C188" s="12">
        <v>0.53</v>
      </c>
      <c r="D188" s="13">
        <v>0.6</v>
      </c>
      <c r="E188" s="11">
        <v>2</v>
      </c>
      <c r="F188" s="12">
        <v>3.9E-2</v>
      </c>
      <c r="G188" s="11">
        <v>5</v>
      </c>
      <c r="H188" s="11">
        <v>19</v>
      </c>
      <c r="I188" s="14">
        <v>0.99585000000000001</v>
      </c>
      <c r="J188" s="13">
        <v>3.3</v>
      </c>
      <c r="K188" s="13">
        <v>0.86</v>
      </c>
      <c r="L188" s="11">
        <v>12.4</v>
      </c>
      <c r="M188" s="10">
        <v>6</v>
      </c>
    </row>
    <row r="189" spans="1:13" x14ac:dyDescent="0.3">
      <c r="A189" s="10">
        <v>188</v>
      </c>
      <c r="B189" s="11">
        <v>8</v>
      </c>
      <c r="C189" s="12">
        <v>0.72499999999999998</v>
      </c>
      <c r="D189" s="13">
        <v>0.24</v>
      </c>
      <c r="E189" s="11">
        <v>2.8</v>
      </c>
      <c r="F189" s="12">
        <v>8.3000000000000004E-2</v>
      </c>
      <c r="G189" s="11">
        <v>10</v>
      </c>
      <c r="H189" s="11">
        <v>62</v>
      </c>
      <c r="I189" s="14">
        <v>0.99685000000000001</v>
      </c>
      <c r="J189" s="13">
        <v>3.35</v>
      </c>
      <c r="K189" s="13">
        <v>0.56000000000000005</v>
      </c>
      <c r="L189" s="11">
        <v>10</v>
      </c>
      <c r="M189" s="10">
        <v>6</v>
      </c>
    </row>
    <row r="190" spans="1:13" x14ac:dyDescent="0.3">
      <c r="A190" s="10">
        <v>189</v>
      </c>
      <c r="B190" s="11">
        <v>11.6</v>
      </c>
      <c r="C190" s="12">
        <v>0.44</v>
      </c>
      <c r="D190" s="13">
        <v>0.64</v>
      </c>
      <c r="E190" s="11">
        <v>2.1</v>
      </c>
      <c r="F190" s="12">
        <v>5.8999999999999997E-2</v>
      </c>
      <c r="G190" s="11">
        <v>5</v>
      </c>
      <c r="H190" s="11">
        <v>15</v>
      </c>
      <c r="I190" s="14">
        <v>0.998</v>
      </c>
      <c r="J190" s="13">
        <v>3.21</v>
      </c>
      <c r="K190" s="13">
        <v>0.67</v>
      </c>
      <c r="L190" s="11">
        <v>10.199999999999999</v>
      </c>
      <c r="M190" s="10">
        <v>6</v>
      </c>
    </row>
    <row r="191" spans="1:13" x14ac:dyDescent="0.3">
      <c r="A191" s="10">
        <v>190</v>
      </c>
      <c r="B191" s="11">
        <v>8.1999999999999993</v>
      </c>
      <c r="C191" s="12">
        <v>0.56999999999999995</v>
      </c>
      <c r="D191" s="13">
        <v>0.26</v>
      </c>
      <c r="E191" s="11">
        <v>2.2000000000000002</v>
      </c>
      <c r="F191" s="12">
        <v>0.06</v>
      </c>
      <c r="G191" s="11">
        <v>28</v>
      </c>
      <c r="H191" s="11">
        <v>65</v>
      </c>
      <c r="I191" s="14">
        <v>0.99590000000000001</v>
      </c>
      <c r="J191" s="13">
        <v>3.3</v>
      </c>
      <c r="K191" s="13">
        <v>0.43</v>
      </c>
      <c r="L191" s="11">
        <v>10.1</v>
      </c>
      <c r="M191" s="10">
        <v>5</v>
      </c>
    </row>
    <row r="192" spans="1:13" x14ac:dyDescent="0.3">
      <c r="A192" s="10">
        <v>191</v>
      </c>
      <c r="B192" s="11">
        <v>7.8</v>
      </c>
      <c r="C192" s="12">
        <v>0.73499999999999999</v>
      </c>
      <c r="D192" s="13">
        <v>0.08</v>
      </c>
      <c r="E192" s="11">
        <v>2.4</v>
      </c>
      <c r="F192" s="12">
        <v>9.1999999999999998E-2</v>
      </c>
      <c r="G192" s="11">
        <v>10</v>
      </c>
      <c r="H192" s="11">
        <v>41</v>
      </c>
      <c r="I192" s="14">
        <v>0.99739999999999995</v>
      </c>
      <c r="J192" s="13">
        <v>3.24</v>
      </c>
      <c r="K192" s="13">
        <v>0.71</v>
      </c>
      <c r="L192" s="11">
        <v>9.8000000000000007</v>
      </c>
      <c r="M192" s="10">
        <v>6</v>
      </c>
    </row>
    <row r="193" spans="1:13" x14ac:dyDescent="0.3">
      <c r="A193" s="10">
        <v>192</v>
      </c>
      <c r="B193" s="11">
        <v>7</v>
      </c>
      <c r="C193" s="12">
        <v>0.49</v>
      </c>
      <c r="D193" s="13">
        <v>0.49</v>
      </c>
      <c r="E193" s="11">
        <v>5.6</v>
      </c>
      <c r="F193" s="12">
        <v>0.06</v>
      </c>
      <c r="G193" s="11">
        <v>26</v>
      </c>
      <c r="H193" s="11">
        <v>121</v>
      </c>
      <c r="I193" s="14">
        <v>0.99739999999999995</v>
      </c>
      <c r="J193" s="13">
        <v>3.34</v>
      </c>
      <c r="K193" s="13">
        <v>0.76</v>
      </c>
      <c r="L193" s="11">
        <v>10.5</v>
      </c>
      <c r="M193" s="10">
        <v>5</v>
      </c>
    </row>
    <row r="194" spans="1:13" x14ac:dyDescent="0.3">
      <c r="A194" s="10">
        <v>193</v>
      </c>
      <c r="B194" s="11">
        <v>8.6999999999999993</v>
      </c>
      <c r="C194" s="12">
        <v>0.625</v>
      </c>
      <c r="D194" s="13">
        <v>0.16</v>
      </c>
      <c r="E194" s="11">
        <v>2</v>
      </c>
      <c r="F194" s="12">
        <v>0.10100000000000001</v>
      </c>
      <c r="G194" s="11">
        <v>13</v>
      </c>
      <c r="H194" s="11">
        <v>49</v>
      </c>
      <c r="I194" s="14">
        <v>0.99619999999999997</v>
      </c>
      <c r="J194" s="13">
        <v>3.14</v>
      </c>
      <c r="K194" s="13">
        <v>0.56999999999999995</v>
      </c>
      <c r="L194" s="11">
        <v>11</v>
      </c>
      <c r="M194" s="10">
        <v>5</v>
      </c>
    </row>
    <row r="195" spans="1:13" x14ac:dyDescent="0.3">
      <c r="A195" s="10">
        <v>194</v>
      </c>
      <c r="B195" s="11">
        <v>8.1</v>
      </c>
      <c r="C195" s="12">
        <v>0.72499999999999998</v>
      </c>
      <c r="D195" s="13">
        <v>0.22</v>
      </c>
      <c r="E195" s="11">
        <v>2.2000000000000002</v>
      </c>
      <c r="F195" s="12">
        <v>7.1999999999999995E-2</v>
      </c>
      <c r="G195" s="11">
        <v>11</v>
      </c>
      <c r="H195" s="11">
        <v>41</v>
      </c>
      <c r="I195" s="14">
        <v>0.99670000000000003</v>
      </c>
      <c r="J195" s="13">
        <v>3.36</v>
      </c>
      <c r="K195" s="13">
        <v>0.55000000000000004</v>
      </c>
      <c r="L195" s="11">
        <v>9.1</v>
      </c>
      <c r="M195" s="10">
        <v>5</v>
      </c>
    </row>
    <row r="196" spans="1:13" x14ac:dyDescent="0.3">
      <c r="A196" s="10">
        <v>195</v>
      </c>
      <c r="B196" s="11">
        <v>7.5</v>
      </c>
      <c r="C196" s="12">
        <v>0.49</v>
      </c>
      <c r="D196" s="13">
        <v>0.19</v>
      </c>
      <c r="E196" s="11">
        <v>1.9</v>
      </c>
      <c r="F196" s="12">
        <v>7.5999999999999998E-2</v>
      </c>
      <c r="G196" s="11">
        <v>10</v>
      </c>
      <c r="H196" s="11">
        <v>44</v>
      </c>
      <c r="I196" s="14">
        <v>0.99570000000000003</v>
      </c>
      <c r="J196" s="13">
        <v>3.39</v>
      </c>
      <c r="K196" s="13">
        <v>0.54</v>
      </c>
      <c r="L196" s="11">
        <v>9.6999999999999993</v>
      </c>
      <c r="M196" s="10">
        <v>5</v>
      </c>
    </row>
    <row r="197" spans="1:13" x14ac:dyDescent="0.3">
      <c r="A197" s="10">
        <v>196</v>
      </c>
      <c r="B197" s="11">
        <v>7.8</v>
      </c>
      <c r="C197" s="12">
        <v>0.53</v>
      </c>
      <c r="D197" s="13">
        <v>0.33</v>
      </c>
      <c r="E197" s="11">
        <v>2.4</v>
      </c>
      <c r="F197" s="12">
        <v>0.08</v>
      </c>
      <c r="G197" s="11">
        <v>24</v>
      </c>
      <c r="H197" s="11">
        <v>144</v>
      </c>
      <c r="I197" s="14">
        <v>0.99655000000000005</v>
      </c>
      <c r="J197" s="13">
        <v>3.3</v>
      </c>
      <c r="K197" s="13">
        <v>0.6</v>
      </c>
      <c r="L197" s="11">
        <v>9.5</v>
      </c>
      <c r="M197" s="10">
        <v>5</v>
      </c>
    </row>
    <row r="198" spans="1:13" x14ac:dyDescent="0.3">
      <c r="A198" s="10">
        <v>197</v>
      </c>
      <c r="B198" s="11">
        <v>7.8</v>
      </c>
      <c r="C198" s="12">
        <v>0.34</v>
      </c>
      <c r="D198" s="13">
        <v>0.37</v>
      </c>
      <c r="E198" s="11">
        <v>2</v>
      </c>
      <c r="F198" s="12">
        <v>8.2000000000000003E-2</v>
      </c>
      <c r="G198" s="11">
        <v>24</v>
      </c>
      <c r="H198" s="11">
        <v>58</v>
      </c>
      <c r="I198" s="14">
        <v>0.99639999999999995</v>
      </c>
      <c r="J198" s="13">
        <v>3.34</v>
      </c>
      <c r="K198" s="13">
        <v>0.59</v>
      </c>
      <c r="L198" s="11">
        <v>9.4</v>
      </c>
      <c r="M198" s="10">
        <v>6</v>
      </c>
    </row>
    <row r="199" spans="1:13" x14ac:dyDescent="0.3">
      <c r="A199" s="10">
        <v>198</v>
      </c>
      <c r="B199" s="11">
        <v>7.4</v>
      </c>
      <c r="C199" s="12">
        <v>0.53</v>
      </c>
      <c r="D199" s="13">
        <v>0.26</v>
      </c>
      <c r="E199" s="11">
        <v>2</v>
      </c>
      <c r="F199" s="12">
        <v>0.10100000000000001</v>
      </c>
      <c r="G199" s="11">
        <v>16</v>
      </c>
      <c r="H199" s="11">
        <v>72</v>
      </c>
      <c r="I199" s="14">
        <v>0.99570000000000003</v>
      </c>
      <c r="J199" s="13">
        <v>3.15</v>
      </c>
      <c r="K199" s="13">
        <v>0.56999999999999995</v>
      </c>
      <c r="L199" s="11">
        <v>9.4</v>
      </c>
      <c r="M199" s="10">
        <v>5</v>
      </c>
    </row>
    <row r="200" spans="1:13" x14ac:dyDescent="0.3">
      <c r="A200" s="10">
        <v>199</v>
      </c>
      <c r="B200" s="11">
        <v>6.8</v>
      </c>
      <c r="C200" s="12">
        <v>0.61</v>
      </c>
      <c r="D200" s="13">
        <v>0.04</v>
      </c>
      <c r="E200" s="11">
        <v>1.5</v>
      </c>
      <c r="F200" s="12">
        <v>5.7000000000000002E-2</v>
      </c>
      <c r="G200" s="11">
        <v>5</v>
      </c>
      <c r="H200" s="11">
        <v>10</v>
      </c>
      <c r="I200" s="14">
        <v>0.99524999999999997</v>
      </c>
      <c r="J200" s="13">
        <v>3.42</v>
      </c>
      <c r="K200" s="13">
        <v>0.6</v>
      </c>
      <c r="L200" s="11">
        <v>9.5</v>
      </c>
      <c r="M200" s="10">
        <v>5</v>
      </c>
    </row>
    <row r="201" spans="1:13" x14ac:dyDescent="0.3">
      <c r="A201" s="10">
        <v>200</v>
      </c>
      <c r="B201" s="11">
        <v>8.6</v>
      </c>
      <c r="C201" s="12">
        <v>0.64500000000000002</v>
      </c>
      <c r="D201" s="13">
        <v>0.25</v>
      </c>
      <c r="E201" s="11">
        <v>2</v>
      </c>
      <c r="F201" s="12">
        <v>8.3000000000000004E-2</v>
      </c>
      <c r="G201" s="11">
        <v>8</v>
      </c>
      <c r="H201" s="11">
        <v>28</v>
      </c>
      <c r="I201" s="14">
        <v>0.99814999999999998</v>
      </c>
      <c r="J201" s="13">
        <v>3.28</v>
      </c>
      <c r="K201" s="13">
        <v>0.6</v>
      </c>
      <c r="L201" s="11">
        <v>10</v>
      </c>
      <c r="M201" s="10">
        <v>6</v>
      </c>
    </row>
    <row r="202" spans="1:13" x14ac:dyDescent="0.3">
      <c r="A202" s="10">
        <v>201</v>
      </c>
      <c r="B202" s="11">
        <v>8.4</v>
      </c>
      <c r="C202" s="12">
        <v>0.63500000000000001</v>
      </c>
      <c r="D202" s="13">
        <v>0.36</v>
      </c>
      <c r="E202" s="11">
        <v>2</v>
      </c>
      <c r="F202" s="12">
        <v>8.8999999999999996E-2</v>
      </c>
      <c r="G202" s="11">
        <v>15</v>
      </c>
      <c r="H202" s="11">
        <v>55</v>
      </c>
      <c r="I202" s="14">
        <v>0.99744999999999995</v>
      </c>
      <c r="J202" s="13">
        <v>3.31</v>
      </c>
      <c r="K202" s="13">
        <v>0.56999999999999995</v>
      </c>
      <c r="L202" s="11">
        <v>10.4</v>
      </c>
      <c r="M202" s="10">
        <v>4</v>
      </c>
    </row>
    <row r="203" spans="1:13" x14ac:dyDescent="0.3">
      <c r="A203" s="10">
        <v>202</v>
      </c>
      <c r="B203" s="11">
        <v>7.7</v>
      </c>
      <c r="C203" s="12">
        <v>0.43</v>
      </c>
      <c r="D203" s="13">
        <v>0.25</v>
      </c>
      <c r="E203" s="11">
        <v>2.6</v>
      </c>
      <c r="F203" s="12">
        <v>7.2999999999999995E-2</v>
      </c>
      <c r="G203" s="11">
        <v>29</v>
      </c>
      <c r="H203" s="11">
        <v>63</v>
      </c>
      <c r="I203" s="14">
        <v>0.99614999999999998</v>
      </c>
      <c r="J203" s="13">
        <v>3.37</v>
      </c>
      <c r="K203" s="13">
        <v>0.57999999999999996</v>
      </c>
      <c r="L203" s="11">
        <v>10.5</v>
      </c>
      <c r="M203" s="10">
        <v>6</v>
      </c>
    </row>
    <row r="204" spans="1:13" x14ac:dyDescent="0.3">
      <c r="A204" s="10">
        <v>203</v>
      </c>
      <c r="B204" s="11">
        <v>8.9</v>
      </c>
      <c r="C204" s="12">
        <v>0.59</v>
      </c>
      <c r="D204" s="13">
        <v>0.5</v>
      </c>
      <c r="E204" s="11">
        <v>2</v>
      </c>
      <c r="F204" s="12">
        <v>0.33700000000000002</v>
      </c>
      <c r="G204" s="11">
        <v>27</v>
      </c>
      <c r="H204" s="11">
        <v>81</v>
      </c>
      <c r="I204" s="14">
        <v>0.99639999999999995</v>
      </c>
      <c r="J204" s="13">
        <v>3.04</v>
      </c>
      <c r="K204" s="13">
        <v>1.61</v>
      </c>
      <c r="L204" s="11">
        <v>9.5</v>
      </c>
      <c r="M204" s="10">
        <v>6</v>
      </c>
    </row>
    <row r="205" spans="1:13" x14ac:dyDescent="0.3">
      <c r="A205" s="10">
        <v>204</v>
      </c>
      <c r="B205" s="11">
        <v>9</v>
      </c>
      <c r="C205" s="12">
        <v>0.82</v>
      </c>
      <c r="D205" s="13">
        <v>0.14000000000000001</v>
      </c>
      <c r="E205" s="11">
        <v>2.6</v>
      </c>
      <c r="F205" s="12">
        <v>8.8999999999999996E-2</v>
      </c>
      <c r="G205" s="11">
        <v>9</v>
      </c>
      <c r="H205" s="11">
        <v>23</v>
      </c>
      <c r="I205" s="14">
        <v>0.99839999999999995</v>
      </c>
      <c r="J205" s="13">
        <v>3.39</v>
      </c>
      <c r="K205" s="13">
        <v>0.63</v>
      </c>
      <c r="L205" s="11">
        <v>9.8000000000000007</v>
      </c>
      <c r="M205" s="10">
        <v>5</v>
      </c>
    </row>
    <row r="206" spans="1:13" x14ac:dyDescent="0.3">
      <c r="A206" s="10">
        <v>205</v>
      </c>
      <c r="B206" s="11">
        <v>6.9</v>
      </c>
      <c r="C206" s="12">
        <v>0.52</v>
      </c>
      <c r="D206" s="13">
        <v>0.25</v>
      </c>
      <c r="E206" s="11">
        <v>2.6</v>
      </c>
      <c r="F206" s="12">
        <v>8.1000000000000003E-2</v>
      </c>
      <c r="G206" s="11">
        <v>10</v>
      </c>
      <c r="H206" s="11">
        <v>37</v>
      </c>
      <c r="I206" s="14">
        <v>0.99685000000000001</v>
      </c>
      <c r="J206" s="13">
        <v>3.46</v>
      </c>
      <c r="K206" s="13">
        <v>0.5</v>
      </c>
      <c r="L206" s="11">
        <v>11</v>
      </c>
      <c r="M206" s="10">
        <v>5</v>
      </c>
    </row>
    <row r="207" spans="1:13" x14ac:dyDescent="0.3">
      <c r="A207" s="10">
        <v>206</v>
      </c>
      <c r="B207" s="11">
        <v>5.2</v>
      </c>
      <c r="C207" s="12">
        <v>0.48</v>
      </c>
      <c r="D207" s="13">
        <v>0.04</v>
      </c>
      <c r="E207" s="11">
        <v>1.6</v>
      </c>
      <c r="F207" s="12">
        <v>5.3999999999999999E-2</v>
      </c>
      <c r="G207" s="11">
        <v>19</v>
      </c>
      <c r="H207" s="11">
        <v>106</v>
      </c>
      <c r="I207" s="14">
        <v>0.99270000000000003</v>
      </c>
      <c r="J207" s="13">
        <v>3.54</v>
      </c>
      <c r="K207" s="13">
        <v>0.62</v>
      </c>
      <c r="L207" s="11">
        <v>12.2</v>
      </c>
      <c r="M207" s="10">
        <v>7</v>
      </c>
    </row>
    <row r="208" spans="1:13" x14ac:dyDescent="0.3">
      <c r="A208" s="10">
        <v>207</v>
      </c>
      <c r="B208" s="11">
        <v>8</v>
      </c>
      <c r="C208" s="12">
        <v>0.38</v>
      </c>
      <c r="D208" s="13">
        <v>0.06</v>
      </c>
      <c r="E208" s="11">
        <v>1.8</v>
      </c>
      <c r="F208" s="12">
        <v>7.8E-2</v>
      </c>
      <c r="G208" s="11">
        <v>12</v>
      </c>
      <c r="H208" s="11">
        <v>49</v>
      </c>
      <c r="I208" s="14">
        <v>0.99624999999999997</v>
      </c>
      <c r="J208" s="13">
        <v>3.37</v>
      </c>
      <c r="K208" s="13">
        <v>0.52</v>
      </c>
      <c r="L208" s="11">
        <v>9.9</v>
      </c>
      <c r="M208" s="10">
        <v>6</v>
      </c>
    </row>
    <row r="209" spans="1:13" x14ac:dyDescent="0.3">
      <c r="A209" s="10">
        <v>208</v>
      </c>
      <c r="B209" s="11">
        <v>8.5</v>
      </c>
      <c r="C209" s="12">
        <v>0.37</v>
      </c>
      <c r="D209" s="13">
        <v>0.2</v>
      </c>
      <c r="E209" s="11">
        <v>2.8</v>
      </c>
      <c r="F209" s="12">
        <v>0.09</v>
      </c>
      <c r="G209" s="11">
        <v>18</v>
      </c>
      <c r="H209" s="11">
        <v>58</v>
      </c>
      <c r="I209" s="14">
        <v>0.998</v>
      </c>
      <c r="J209" s="13">
        <v>3.34</v>
      </c>
      <c r="K209" s="13">
        <v>0.7</v>
      </c>
      <c r="L209" s="11">
        <v>9.6</v>
      </c>
      <c r="M209" s="10">
        <v>6</v>
      </c>
    </row>
    <row r="210" spans="1:13" x14ac:dyDescent="0.3">
      <c r="A210" s="10">
        <v>209</v>
      </c>
      <c r="B210" s="11">
        <v>8.1999999999999993</v>
      </c>
      <c r="C210" s="12">
        <v>1</v>
      </c>
      <c r="D210" s="13">
        <v>0.09</v>
      </c>
      <c r="E210" s="11">
        <v>2.2999999999999998</v>
      </c>
      <c r="F210" s="12">
        <v>6.5000000000000002E-2</v>
      </c>
      <c r="G210" s="11">
        <v>7</v>
      </c>
      <c r="H210" s="11">
        <v>37</v>
      </c>
      <c r="I210" s="14">
        <v>0.99685000000000001</v>
      </c>
      <c r="J210" s="13">
        <v>3.32</v>
      </c>
      <c r="K210" s="13">
        <v>0.55000000000000004</v>
      </c>
      <c r="L210" s="11">
        <v>9</v>
      </c>
      <c r="M210" s="10">
        <v>6</v>
      </c>
    </row>
    <row r="211" spans="1:13" x14ac:dyDescent="0.3">
      <c r="A211" s="10">
        <v>210</v>
      </c>
      <c r="B211" s="11">
        <v>7.2</v>
      </c>
      <c r="C211" s="12">
        <v>0.63</v>
      </c>
      <c r="D211" s="13">
        <v>0</v>
      </c>
      <c r="E211" s="11">
        <v>1.9</v>
      </c>
      <c r="F211" s="12">
        <v>9.7000000000000003E-2</v>
      </c>
      <c r="G211" s="11">
        <v>14</v>
      </c>
      <c r="H211" s="11">
        <v>38</v>
      </c>
      <c r="I211" s="14">
        <v>0.99675000000000002</v>
      </c>
      <c r="J211" s="13">
        <v>3.37</v>
      </c>
      <c r="K211" s="13">
        <v>0.57999999999999996</v>
      </c>
      <c r="L211" s="11">
        <v>9</v>
      </c>
      <c r="M211" s="10">
        <v>6</v>
      </c>
    </row>
    <row r="212" spans="1:13" x14ac:dyDescent="0.3">
      <c r="A212" s="10">
        <v>211</v>
      </c>
      <c r="B212" s="11">
        <v>7.2</v>
      </c>
      <c r="C212" s="12">
        <v>0.64500000000000002</v>
      </c>
      <c r="D212" s="13">
        <v>0</v>
      </c>
      <c r="E212" s="11">
        <v>1.9</v>
      </c>
      <c r="F212" s="12">
        <v>9.7000000000000003E-2</v>
      </c>
      <c r="G212" s="11">
        <v>15</v>
      </c>
      <c r="H212" s="11">
        <v>39</v>
      </c>
      <c r="I212" s="14">
        <v>0.99675000000000002</v>
      </c>
      <c r="J212" s="13">
        <v>3.37</v>
      </c>
      <c r="K212" s="13">
        <v>0.57999999999999996</v>
      </c>
      <c r="L212" s="11">
        <v>9.1999999999999993</v>
      </c>
      <c r="M212" s="10">
        <v>6</v>
      </c>
    </row>
    <row r="213" spans="1:13" x14ac:dyDescent="0.3">
      <c r="A213" s="10">
        <v>212</v>
      </c>
      <c r="B213" s="11">
        <v>8.9</v>
      </c>
      <c r="C213" s="12">
        <v>0.63500000000000001</v>
      </c>
      <c r="D213" s="13">
        <v>0.37</v>
      </c>
      <c r="E213" s="11">
        <v>1.7</v>
      </c>
      <c r="F213" s="12">
        <v>0.26300000000000001</v>
      </c>
      <c r="G213" s="11">
        <v>5</v>
      </c>
      <c r="H213" s="11">
        <v>62</v>
      </c>
      <c r="I213" s="14">
        <v>0.99709999999999999</v>
      </c>
      <c r="J213" s="13">
        <v>3</v>
      </c>
      <c r="K213" s="13">
        <v>1.0900000000000001</v>
      </c>
      <c r="L213" s="11">
        <v>9.3000000000000007</v>
      </c>
      <c r="M213" s="10">
        <v>5</v>
      </c>
    </row>
    <row r="214" spans="1:13" x14ac:dyDescent="0.3">
      <c r="A214" s="10">
        <v>213</v>
      </c>
      <c r="B214" s="11">
        <v>12</v>
      </c>
      <c r="C214" s="12">
        <v>0.38</v>
      </c>
      <c r="D214" s="13">
        <v>0.56000000000000005</v>
      </c>
      <c r="E214" s="11">
        <v>2.1</v>
      </c>
      <c r="F214" s="12">
        <v>9.2999999999999999E-2</v>
      </c>
      <c r="G214" s="11">
        <v>6</v>
      </c>
      <c r="H214" s="11">
        <v>24</v>
      </c>
      <c r="I214" s="14">
        <v>0.99924999999999997</v>
      </c>
      <c r="J214" s="13">
        <v>3.14</v>
      </c>
      <c r="K214" s="13">
        <v>0.71</v>
      </c>
      <c r="L214" s="11">
        <v>10.9</v>
      </c>
      <c r="M214" s="10">
        <v>6</v>
      </c>
    </row>
    <row r="215" spans="1:13" x14ac:dyDescent="0.3">
      <c r="A215" s="10">
        <v>214</v>
      </c>
      <c r="B215" s="11">
        <v>7.7</v>
      </c>
      <c r="C215" s="12">
        <v>0.57999999999999996</v>
      </c>
      <c r="D215" s="13">
        <v>0.1</v>
      </c>
      <c r="E215" s="11">
        <v>1.8</v>
      </c>
      <c r="F215" s="12">
        <v>0.10199999999999999</v>
      </c>
      <c r="G215" s="11">
        <v>28</v>
      </c>
      <c r="H215" s="11">
        <v>109</v>
      </c>
      <c r="I215" s="14">
        <v>0.99565000000000003</v>
      </c>
      <c r="J215" s="13">
        <v>3.08</v>
      </c>
      <c r="K215" s="13">
        <v>0.49</v>
      </c>
      <c r="L215" s="11">
        <v>9.8000000000000007</v>
      </c>
      <c r="M215" s="10">
        <v>6</v>
      </c>
    </row>
    <row r="216" spans="1:13" x14ac:dyDescent="0.3">
      <c r="A216" s="10">
        <v>215</v>
      </c>
      <c r="B216" s="11">
        <v>15</v>
      </c>
      <c r="C216" s="12">
        <v>0.21</v>
      </c>
      <c r="D216" s="13">
        <v>0.44</v>
      </c>
      <c r="E216" s="11">
        <v>2.2000000000000002</v>
      </c>
      <c r="F216" s="12">
        <v>7.4999999999999997E-2</v>
      </c>
      <c r="G216" s="11">
        <v>10</v>
      </c>
      <c r="H216" s="11">
        <v>24</v>
      </c>
      <c r="I216" s="14">
        <v>1.0000500000000001</v>
      </c>
      <c r="J216" s="13">
        <v>3.07</v>
      </c>
      <c r="K216" s="13">
        <v>0.84</v>
      </c>
      <c r="L216" s="11">
        <v>9.1999999999999993</v>
      </c>
      <c r="M216" s="10">
        <v>7</v>
      </c>
    </row>
    <row r="217" spans="1:13" x14ac:dyDescent="0.3">
      <c r="A217" s="10">
        <v>216</v>
      </c>
      <c r="B217" s="11">
        <v>7.3</v>
      </c>
      <c r="C217" s="12">
        <v>0.66</v>
      </c>
      <c r="D217" s="13">
        <v>0</v>
      </c>
      <c r="E217" s="11">
        <v>2</v>
      </c>
      <c r="F217" s="12">
        <v>8.4000000000000005E-2</v>
      </c>
      <c r="G217" s="11">
        <v>6</v>
      </c>
      <c r="H217" s="11">
        <v>23</v>
      </c>
      <c r="I217" s="14">
        <v>0.99829999999999997</v>
      </c>
      <c r="J217" s="13">
        <v>3.61</v>
      </c>
      <c r="K217" s="13">
        <v>0.96</v>
      </c>
      <c r="L217" s="11">
        <v>9.9</v>
      </c>
      <c r="M217" s="10">
        <v>6</v>
      </c>
    </row>
    <row r="218" spans="1:13" x14ac:dyDescent="0.3">
      <c r="A218" s="10">
        <v>217</v>
      </c>
      <c r="B218" s="11">
        <v>7.1</v>
      </c>
      <c r="C218" s="12">
        <v>0.68</v>
      </c>
      <c r="D218" s="13">
        <v>7.0000000000000007E-2</v>
      </c>
      <c r="E218" s="11">
        <v>1.9</v>
      </c>
      <c r="F218" s="12">
        <v>7.4999999999999997E-2</v>
      </c>
      <c r="G218" s="11">
        <v>16</v>
      </c>
      <c r="H218" s="11">
        <v>51</v>
      </c>
      <c r="I218" s="14">
        <v>0.99685000000000001</v>
      </c>
      <c r="J218" s="13">
        <v>3.38</v>
      </c>
      <c r="K218" s="13">
        <v>0.52</v>
      </c>
      <c r="L218" s="11">
        <v>9.5</v>
      </c>
      <c r="M218" s="10">
        <v>5</v>
      </c>
    </row>
    <row r="219" spans="1:13" x14ac:dyDescent="0.3">
      <c r="A219" s="10">
        <v>218</v>
      </c>
      <c r="B219" s="11">
        <v>8.1999999999999993</v>
      </c>
      <c r="C219" s="12">
        <v>0.6</v>
      </c>
      <c r="D219" s="13">
        <v>0.17</v>
      </c>
      <c r="E219" s="11">
        <v>2.2999999999999998</v>
      </c>
      <c r="F219" s="12">
        <v>7.1999999999999995E-2</v>
      </c>
      <c r="G219" s="11">
        <v>11</v>
      </c>
      <c r="H219" s="11">
        <v>73</v>
      </c>
      <c r="I219" s="14">
        <v>0.99629999999999996</v>
      </c>
      <c r="J219" s="13">
        <v>3.2</v>
      </c>
      <c r="K219" s="13">
        <v>0.45</v>
      </c>
      <c r="L219" s="11">
        <v>9.3000000000000007</v>
      </c>
      <c r="M219" s="10">
        <v>5</v>
      </c>
    </row>
    <row r="220" spans="1:13" x14ac:dyDescent="0.3">
      <c r="A220" s="10">
        <v>219</v>
      </c>
      <c r="B220" s="11">
        <v>7.7</v>
      </c>
      <c r="C220" s="12">
        <v>0.53</v>
      </c>
      <c r="D220" s="13">
        <v>0.06</v>
      </c>
      <c r="E220" s="11">
        <v>1.7</v>
      </c>
      <c r="F220" s="12">
        <v>7.3999999999999996E-2</v>
      </c>
      <c r="G220" s="11">
        <v>9</v>
      </c>
      <c r="H220" s="11">
        <v>39</v>
      </c>
      <c r="I220" s="14">
        <v>0.99614999999999998</v>
      </c>
      <c r="J220" s="13">
        <v>3.35</v>
      </c>
      <c r="K220" s="13">
        <v>0.48</v>
      </c>
      <c r="L220" s="11">
        <v>9.8000000000000007</v>
      </c>
      <c r="M220" s="10">
        <v>6</v>
      </c>
    </row>
    <row r="221" spans="1:13" x14ac:dyDescent="0.3">
      <c r="A221" s="10">
        <v>220</v>
      </c>
      <c r="B221" s="11">
        <v>10.8</v>
      </c>
      <c r="C221" s="12">
        <v>0.32</v>
      </c>
      <c r="D221" s="13">
        <v>0.44</v>
      </c>
      <c r="E221" s="11">
        <v>1.6</v>
      </c>
      <c r="F221" s="12">
        <v>6.3E-2</v>
      </c>
      <c r="G221" s="11">
        <v>16</v>
      </c>
      <c r="H221" s="11">
        <v>37</v>
      </c>
      <c r="I221" s="14">
        <v>0.99850000000000005</v>
      </c>
      <c r="J221" s="13">
        <v>3.22</v>
      </c>
      <c r="K221" s="13">
        <v>0.78</v>
      </c>
      <c r="L221" s="11">
        <v>10</v>
      </c>
      <c r="M221" s="10">
        <v>6</v>
      </c>
    </row>
    <row r="222" spans="1:13" x14ac:dyDescent="0.3">
      <c r="A222" s="10">
        <v>221</v>
      </c>
      <c r="B222" s="11">
        <v>7.1</v>
      </c>
      <c r="C222" s="12">
        <v>0.6</v>
      </c>
      <c r="D222" s="13">
        <v>0</v>
      </c>
      <c r="E222" s="11">
        <v>1.8</v>
      </c>
      <c r="F222" s="12">
        <v>7.3999999999999996E-2</v>
      </c>
      <c r="G222" s="11">
        <v>16</v>
      </c>
      <c r="H222" s="11">
        <v>34</v>
      </c>
      <c r="I222" s="14">
        <v>0.99719999999999998</v>
      </c>
      <c r="J222" s="13">
        <v>3.47</v>
      </c>
      <c r="K222" s="13">
        <v>0.7</v>
      </c>
      <c r="L222" s="11">
        <v>9.9</v>
      </c>
      <c r="M222" s="10">
        <v>6</v>
      </c>
    </row>
    <row r="223" spans="1:13" x14ac:dyDescent="0.3">
      <c r="A223" s="10">
        <v>222</v>
      </c>
      <c r="B223" s="11">
        <v>11.1</v>
      </c>
      <c r="C223" s="12">
        <v>0.35</v>
      </c>
      <c r="D223" s="13">
        <v>0.48</v>
      </c>
      <c r="E223" s="11">
        <v>3.1</v>
      </c>
      <c r="F223" s="12">
        <v>0.09</v>
      </c>
      <c r="G223" s="11">
        <v>5</v>
      </c>
      <c r="H223" s="11">
        <v>21</v>
      </c>
      <c r="I223" s="14">
        <v>0.99860000000000004</v>
      </c>
      <c r="J223" s="13">
        <v>3.17</v>
      </c>
      <c r="K223" s="13">
        <v>0.53</v>
      </c>
      <c r="L223" s="11">
        <v>10.5</v>
      </c>
      <c r="M223" s="10">
        <v>5</v>
      </c>
    </row>
    <row r="224" spans="1:13" x14ac:dyDescent="0.3">
      <c r="A224" s="10">
        <v>223</v>
      </c>
      <c r="B224" s="11">
        <v>7.7</v>
      </c>
      <c r="C224" s="12">
        <v>0.77500000000000002</v>
      </c>
      <c r="D224" s="13">
        <v>0.42</v>
      </c>
      <c r="E224" s="11">
        <v>1.9</v>
      </c>
      <c r="F224" s="12">
        <v>9.1999999999999998E-2</v>
      </c>
      <c r="G224" s="11">
        <v>8</v>
      </c>
      <c r="H224" s="11">
        <v>86</v>
      </c>
      <c r="I224" s="14">
        <v>0.99590000000000001</v>
      </c>
      <c r="J224" s="13">
        <v>3.23</v>
      </c>
      <c r="K224" s="13">
        <v>0.59</v>
      </c>
      <c r="L224" s="11">
        <v>9.5</v>
      </c>
      <c r="M224" s="10">
        <v>5</v>
      </c>
    </row>
    <row r="225" spans="1:13" x14ac:dyDescent="0.3">
      <c r="A225" s="10">
        <v>224</v>
      </c>
      <c r="B225" s="11">
        <v>8</v>
      </c>
      <c r="C225" s="12">
        <v>0.56999999999999995</v>
      </c>
      <c r="D225" s="13">
        <v>0.23</v>
      </c>
      <c r="E225" s="11">
        <v>3.2</v>
      </c>
      <c r="F225" s="12">
        <v>7.2999999999999995E-2</v>
      </c>
      <c r="G225" s="11">
        <v>17</v>
      </c>
      <c r="H225" s="11">
        <v>119</v>
      </c>
      <c r="I225" s="14">
        <v>0.99675000000000002</v>
      </c>
      <c r="J225" s="13">
        <v>3.26</v>
      </c>
      <c r="K225" s="13">
        <v>0.56999999999999995</v>
      </c>
      <c r="L225" s="11">
        <v>9.3000000000000007</v>
      </c>
      <c r="M225" s="10">
        <v>5</v>
      </c>
    </row>
    <row r="226" spans="1:13" x14ac:dyDescent="0.3">
      <c r="A226" s="10">
        <v>225</v>
      </c>
      <c r="B226" s="11">
        <v>9.4</v>
      </c>
      <c r="C226" s="12">
        <v>0.34</v>
      </c>
      <c r="D226" s="13">
        <v>0.37</v>
      </c>
      <c r="E226" s="11">
        <v>2.2000000000000002</v>
      </c>
      <c r="F226" s="12">
        <v>7.4999999999999997E-2</v>
      </c>
      <c r="G226" s="11">
        <v>5</v>
      </c>
      <c r="H226" s="11">
        <v>13</v>
      </c>
      <c r="I226" s="14">
        <v>0.998</v>
      </c>
      <c r="J226" s="13">
        <v>3.22</v>
      </c>
      <c r="K226" s="13">
        <v>0.62</v>
      </c>
      <c r="L226" s="11">
        <v>9.1999999999999993</v>
      </c>
      <c r="M226" s="10">
        <v>5</v>
      </c>
    </row>
    <row r="227" spans="1:13" x14ac:dyDescent="0.3">
      <c r="A227" s="10">
        <v>226</v>
      </c>
      <c r="B227" s="11">
        <v>6.6</v>
      </c>
      <c r="C227" s="12">
        <v>0.69499999999999995</v>
      </c>
      <c r="D227" s="13">
        <v>0</v>
      </c>
      <c r="E227" s="11">
        <v>2.1</v>
      </c>
      <c r="F227" s="12">
        <v>7.4999999999999997E-2</v>
      </c>
      <c r="G227" s="11">
        <v>12</v>
      </c>
      <c r="H227" s="11">
        <v>56</v>
      </c>
      <c r="I227" s="14">
        <v>0.99680000000000002</v>
      </c>
      <c r="J227" s="13">
        <v>3.49</v>
      </c>
      <c r="K227" s="13">
        <v>0.67</v>
      </c>
      <c r="L227" s="11">
        <v>9.1999999999999993</v>
      </c>
      <c r="M227" s="10">
        <v>5</v>
      </c>
    </row>
    <row r="228" spans="1:13" x14ac:dyDescent="0.3">
      <c r="A228" s="10">
        <v>227</v>
      </c>
      <c r="B228" s="11">
        <v>7.7</v>
      </c>
      <c r="C228" s="12">
        <v>0.41</v>
      </c>
      <c r="D228" s="13">
        <v>0.76</v>
      </c>
      <c r="E228" s="11">
        <v>1.8</v>
      </c>
      <c r="F228" s="12">
        <v>0.61099999999999999</v>
      </c>
      <c r="G228" s="11">
        <v>8</v>
      </c>
      <c r="H228" s="11">
        <v>45</v>
      </c>
      <c r="I228" s="14">
        <v>0.99680000000000002</v>
      </c>
      <c r="J228" s="13">
        <v>3.06</v>
      </c>
      <c r="K228" s="13">
        <v>1.26</v>
      </c>
      <c r="L228" s="11">
        <v>9.4</v>
      </c>
      <c r="M228" s="10">
        <v>5</v>
      </c>
    </row>
    <row r="229" spans="1:13" x14ac:dyDescent="0.3">
      <c r="A229" s="10">
        <v>228</v>
      </c>
      <c r="B229" s="11">
        <v>10</v>
      </c>
      <c r="C229" s="12">
        <v>0.31</v>
      </c>
      <c r="D229" s="13">
        <v>0.47</v>
      </c>
      <c r="E229" s="11">
        <v>2.6</v>
      </c>
      <c r="F229" s="12">
        <v>8.5000000000000006E-2</v>
      </c>
      <c r="G229" s="11">
        <v>14</v>
      </c>
      <c r="H229" s="11">
        <v>33</v>
      </c>
      <c r="I229" s="14">
        <v>0.99965000000000004</v>
      </c>
      <c r="J229" s="13">
        <v>3.36</v>
      </c>
      <c r="K229" s="13">
        <v>0.8</v>
      </c>
      <c r="L229" s="11">
        <v>10.5</v>
      </c>
      <c r="M229" s="10">
        <v>7</v>
      </c>
    </row>
    <row r="230" spans="1:13" x14ac:dyDescent="0.3">
      <c r="A230" s="10">
        <v>229</v>
      </c>
      <c r="B230" s="11">
        <v>7.9</v>
      </c>
      <c r="C230" s="12">
        <v>0.33</v>
      </c>
      <c r="D230" s="13">
        <v>0.23</v>
      </c>
      <c r="E230" s="11">
        <v>1.7</v>
      </c>
      <c r="F230" s="12">
        <v>7.6999999999999999E-2</v>
      </c>
      <c r="G230" s="11">
        <v>18</v>
      </c>
      <c r="H230" s="11">
        <v>45</v>
      </c>
      <c r="I230" s="14">
        <v>0.99624999999999997</v>
      </c>
      <c r="J230" s="13">
        <v>3.29</v>
      </c>
      <c r="K230" s="13">
        <v>0.65</v>
      </c>
      <c r="L230" s="11">
        <v>9.3000000000000007</v>
      </c>
      <c r="M230" s="10">
        <v>5</v>
      </c>
    </row>
    <row r="231" spans="1:13" x14ac:dyDescent="0.3">
      <c r="A231" s="10">
        <v>230</v>
      </c>
      <c r="B231" s="11">
        <v>7</v>
      </c>
      <c r="C231" s="12">
        <v>0.97499999999999998</v>
      </c>
      <c r="D231" s="13">
        <v>0.04</v>
      </c>
      <c r="E231" s="11">
        <v>2</v>
      </c>
      <c r="F231" s="12">
        <v>8.6999999999999994E-2</v>
      </c>
      <c r="G231" s="11">
        <v>12</v>
      </c>
      <c r="H231" s="11">
        <v>67</v>
      </c>
      <c r="I231" s="14">
        <v>0.99565000000000003</v>
      </c>
      <c r="J231" s="13">
        <v>3.35</v>
      </c>
      <c r="K231" s="13">
        <v>0.6</v>
      </c>
      <c r="L231" s="11">
        <v>9.4</v>
      </c>
      <c r="M231" s="10">
        <v>4</v>
      </c>
    </row>
    <row r="232" spans="1:13" x14ac:dyDescent="0.3">
      <c r="A232" s="10">
        <v>231</v>
      </c>
      <c r="B232" s="11">
        <v>8</v>
      </c>
      <c r="C232" s="12">
        <v>0.52</v>
      </c>
      <c r="D232" s="13">
        <v>0.03</v>
      </c>
      <c r="E232" s="11">
        <v>1.7</v>
      </c>
      <c r="F232" s="12">
        <v>7.0000000000000007E-2</v>
      </c>
      <c r="G232" s="11">
        <v>10</v>
      </c>
      <c r="H232" s="11">
        <v>35</v>
      </c>
      <c r="I232" s="14">
        <v>0.99575000000000002</v>
      </c>
      <c r="J232" s="13">
        <v>3.34</v>
      </c>
      <c r="K232" s="13">
        <v>0.56999999999999995</v>
      </c>
      <c r="L232" s="11">
        <v>10</v>
      </c>
      <c r="M232" s="10">
        <v>5</v>
      </c>
    </row>
    <row r="233" spans="1:13" x14ac:dyDescent="0.3">
      <c r="A233" s="10">
        <v>232</v>
      </c>
      <c r="B233" s="11">
        <v>7.9</v>
      </c>
      <c r="C233" s="12">
        <v>0.37</v>
      </c>
      <c r="D233" s="13">
        <v>0.23</v>
      </c>
      <c r="E233" s="11">
        <v>1.8</v>
      </c>
      <c r="F233" s="12">
        <v>7.6999999999999999E-2</v>
      </c>
      <c r="G233" s="11">
        <v>23</v>
      </c>
      <c r="H233" s="11">
        <v>49</v>
      </c>
      <c r="I233" s="14">
        <v>0.99629999999999996</v>
      </c>
      <c r="J233" s="13">
        <v>3.28</v>
      </c>
      <c r="K233" s="13">
        <v>0.67</v>
      </c>
      <c r="L233" s="11">
        <v>9.3000000000000007</v>
      </c>
      <c r="M233" s="10">
        <v>5</v>
      </c>
    </row>
    <row r="234" spans="1:13" x14ac:dyDescent="0.3">
      <c r="A234" s="10">
        <v>233</v>
      </c>
      <c r="B234" s="11">
        <v>12.5</v>
      </c>
      <c r="C234" s="12">
        <v>0.56000000000000005</v>
      </c>
      <c r="D234" s="13">
        <v>0.49</v>
      </c>
      <c r="E234" s="11">
        <v>2.4</v>
      </c>
      <c r="F234" s="12">
        <v>6.4000000000000001E-2</v>
      </c>
      <c r="G234" s="11">
        <v>5</v>
      </c>
      <c r="H234" s="11">
        <v>27</v>
      </c>
      <c r="I234" s="14">
        <v>0.99990000000000001</v>
      </c>
      <c r="J234" s="13">
        <v>3.08</v>
      </c>
      <c r="K234" s="13">
        <v>0.87</v>
      </c>
      <c r="L234" s="11">
        <v>10.9</v>
      </c>
      <c r="M234" s="10">
        <v>5</v>
      </c>
    </row>
    <row r="235" spans="1:13" x14ac:dyDescent="0.3">
      <c r="A235" s="10">
        <v>234</v>
      </c>
      <c r="B235" s="11">
        <v>11.8</v>
      </c>
      <c r="C235" s="12">
        <v>0.26</v>
      </c>
      <c r="D235" s="13">
        <v>0.52</v>
      </c>
      <c r="E235" s="11">
        <v>1.8</v>
      </c>
      <c r="F235" s="12">
        <v>7.0999999999999994E-2</v>
      </c>
      <c r="G235" s="11">
        <v>6</v>
      </c>
      <c r="H235" s="11">
        <v>10</v>
      </c>
      <c r="I235" s="14">
        <v>0.99680000000000002</v>
      </c>
      <c r="J235" s="13">
        <v>3.2</v>
      </c>
      <c r="K235" s="13">
        <v>0.72</v>
      </c>
      <c r="L235" s="11">
        <v>10.199999999999999</v>
      </c>
      <c r="M235" s="10">
        <v>7</v>
      </c>
    </row>
    <row r="236" spans="1:13" x14ac:dyDescent="0.3">
      <c r="A236" s="10">
        <v>235</v>
      </c>
      <c r="B236" s="11">
        <v>8.1</v>
      </c>
      <c r="C236" s="12">
        <v>0.87</v>
      </c>
      <c r="D236" s="13">
        <v>0</v>
      </c>
      <c r="E236" s="11">
        <v>3.3</v>
      </c>
      <c r="F236" s="12">
        <v>9.6000000000000002E-2</v>
      </c>
      <c r="G236" s="11">
        <v>26</v>
      </c>
      <c r="H236" s="11">
        <v>61</v>
      </c>
      <c r="I236" s="14">
        <v>1.0002500000000001</v>
      </c>
      <c r="J236" s="13">
        <v>3.6</v>
      </c>
      <c r="K236" s="13">
        <v>0.72</v>
      </c>
      <c r="L236" s="11">
        <v>9.8000000000000007</v>
      </c>
      <c r="M236" s="10">
        <v>4</v>
      </c>
    </row>
    <row r="237" spans="1:13" x14ac:dyDescent="0.3">
      <c r="A237" s="10">
        <v>236</v>
      </c>
      <c r="B237" s="11">
        <v>7.9</v>
      </c>
      <c r="C237" s="12">
        <v>0.35</v>
      </c>
      <c r="D237" s="13">
        <v>0.46</v>
      </c>
      <c r="E237" s="11">
        <v>3.6</v>
      </c>
      <c r="F237" s="12">
        <v>7.8E-2</v>
      </c>
      <c r="G237" s="11">
        <v>15</v>
      </c>
      <c r="H237" s="11">
        <v>37</v>
      </c>
      <c r="I237" s="14">
        <v>0.99729999999999996</v>
      </c>
      <c r="J237" s="13">
        <v>3.35</v>
      </c>
      <c r="K237" s="13">
        <v>0.86</v>
      </c>
      <c r="L237" s="11">
        <v>12.8</v>
      </c>
      <c r="M237" s="10">
        <v>8</v>
      </c>
    </row>
    <row r="238" spans="1:13" x14ac:dyDescent="0.3">
      <c r="A238" s="10">
        <v>237</v>
      </c>
      <c r="B238" s="11">
        <v>6.9</v>
      </c>
      <c r="C238" s="12">
        <v>0.54</v>
      </c>
      <c r="D238" s="13">
        <v>0.04</v>
      </c>
      <c r="E238" s="11">
        <v>3</v>
      </c>
      <c r="F238" s="12">
        <v>7.6999999999999999E-2</v>
      </c>
      <c r="G238" s="11">
        <v>7</v>
      </c>
      <c r="H238" s="11">
        <v>27</v>
      </c>
      <c r="I238" s="14">
        <v>0.99870000000000003</v>
      </c>
      <c r="J238" s="13">
        <v>3.69</v>
      </c>
      <c r="K238" s="13">
        <v>0.91</v>
      </c>
      <c r="L238" s="11">
        <v>9.4</v>
      </c>
      <c r="M238" s="10">
        <v>6</v>
      </c>
    </row>
    <row r="239" spans="1:13" x14ac:dyDescent="0.3">
      <c r="A239" s="10">
        <v>238</v>
      </c>
      <c r="B239" s="11">
        <v>11.5</v>
      </c>
      <c r="C239" s="12">
        <v>0.18</v>
      </c>
      <c r="D239" s="13">
        <v>0.51</v>
      </c>
      <c r="E239" s="11">
        <v>4</v>
      </c>
      <c r="F239" s="12">
        <v>0.104</v>
      </c>
      <c r="G239" s="11">
        <v>4</v>
      </c>
      <c r="H239" s="11">
        <v>23</v>
      </c>
      <c r="I239" s="14">
        <v>0.99960000000000004</v>
      </c>
      <c r="J239" s="13">
        <v>3.28</v>
      </c>
      <c r="K239" s="13">
        <v>0.97</v>
      </c>
      <c r="L239" s="11">
        <v>10.1</v>
      </c>
      <c r="M239" s="10">
        <v>6</v>
      </c>
    </row>
    <row r="240" spans="1:13" x14ac:dyDescent="0.3">
      <c r="A240" s="10">
        <v>239</v>
      </c>
      <c r="B240" s="11">
        <v>7.9</v>
      </c>
      <c r="C240" s="12">
        <v>0.54500000000000004</v>
      </c>
      <c r="D240" s="13">
        <v>0.06</v>
      </c>
      <c r="E240" s="11">
        <v>4</v>
      </c>
      <c r="F240" s="12">
        <v>8.6999999999999994E-2</v>
      </c>
      <c r="G240" s="11">
        <v>27</v>
      </c>
      <c r="H240" s="11">
        <v>61</v>
      </c>
      <c r="I240" s="14">
        <v>0.99650000000000005</v>
      </c>
      <c r="J240" s="13">
        <v>3.36</v>
      </c>
      <c r="K240" s="13">
        <v>0.67</v>
      </c>
      <c r="L240" s="11">
        <v>10.7</v>
      </c>
      <c r="M240" s="10">
        <v>6</v>
      </c>
    </row>
    <row r="241" spans="1:13" x14ac:dyDescent="0.3">
      <c r="A241" s="10">
        <v>240</v>
      </c>
      <c r="B241" s="11">
        <v>10.9</v>
      </c>
      <c r="C241" s="12">
        <v>0.37</v>
      </c>
      <c r="D241" s="13">
        <v>0.57999999999999996</v>
      </c>
      <c r="E241" s="11">
        <v>4</v>
      </c>
      <c r="F241" s="12">
        <v>7.0999999999999994E-2</v>
      </c>
      <c r="G241" s="11">
        <v>17</v>
      </c>
      <c r="H241" s="11">
        <v>65</v>
      </c>
      <c r="I241" s="14">
        <v>0.99934999999999996</v>
      </c>
      <c r="J241" s="13">
        <v>3.22</v>
      </c>
      <c r="K241" s="13">
        <v>0.78</v>
      </c>
      <c r="L241" s="11">
        <v>10.1</v>
      </c>
      <c r="M241" s="10">
        <v>5</v>
      </c>
    </row>
    <row r="242" spans="1:13" x14ac:dyDescent="0.3">
      <c r="A242" s="10">
        <v>241</v>
      </c>
      <c r="B242" s="11">
        <v>8.4</v>
      </c>
      <c r="C242" s="12">
        <v>0.71499999999999997</v>
      </c>
      <c r="D242" s="13">
        <v>0.2</v>
      </c>
      <c r="E242" s="11">
        <v>2.4</v>
      </c>
      <c r="F242" s="12">
        <v>7.5999999999999998E-2</v>
      </c>
      <c r="G242" s="11">
        <v>10</v>
      </c>
      <c r="H242" s="11">
        <v>38</v>
      </c>
      <c r="I242" s="14">
        <v>0.99734999999999996</v>
      </c>
      <c r="J242" s="13">
        <v>3.31</v>
      </c>
      <c r="K242" s="13">
        <v>0.64</v>
      </c>
      <c r="L242" s="11">
        <v>9.4</v>
      </c>
      <c r="M242" s="10">
        <v>5</v>
      </c>
    </row>
    <row r="243" spans="1:13" x14ac:dyDescent="0.3">
      <c r="A243" s="10">
        <v>242</v>
      </c>
      <c r="B243" s="11">
        <v>7.5</v>
      </c>
      <c r="C243" s="12">
        <v>0.65</v>
      </c>
      <c r="D243" s="13">
        <v>0.18</v>
      </c>
      <c r="E243" s="11">
        <v>7</v>
      </c>
      <c r="F243" s="12">
        <v>8.7999999999999995E-2</v>
      </c>
      <c r="G243" s="11">
        <v>27</v>
      </c>
      <c r="H243" s="11">
        <v>94</v>
      </c>
      <c r="I243" s="14">
        <v>0.99914999999999998</v>
      </c>
      <c r="J243" s="13">
        <v>3.38</v>
      </c>
      <c r="K243" s="13">
        <v>0.77</v>
      </c>
      <c r="L243" s="11">
        <v>9.4</v>
      </c>
      <c r="M243" s="10">
        <v>5</v>
      </c>
    </row>
    <row r="244" spans="1:13" x14ac:dyDescent="0.3">
      <c r="A244" s="10">
        <v>243</v>
      </c>
      <c r="B244" s="11">
        <v>10.3</v>
      </c>
      <c r="C244" s="12">
        <v>0.32</v>
      </c>
      <c r="D244" s="13">
        <v>0.45</v>
      </c>
      <c r="E244" s="11">
        <v>6.4</v>
      </c>
      <c r="F244" s="12">
        <v>7.2999999999999995E-2</v>
      </c>
      <c r="G244" s="11">
        <v>5</v>
      </c>
      <c r="H244" s="11">
        <v>13</v>
      </c>
      <c r="I244" s="14">
        <v>0.99760000000000004</v>
      </c>
      <c r="J244" s="13">
        <v>3.23</v>
      </c>
      <c r="K244" s="13">
        <v>0.82</v>
      </c>
      <c r="L244" s="11">
        <v>12.6</v>
      </c>
      <c r="M244" s="10">
        <v>8</v>
      </c>
    </row>
    <row r="245" spans="1:13" x14ac:dyDescent="0.3">
      <c r="A245" s="10">
        <v>244</v>
      </c>
      <c r="B245" s="11">
        <v>8.9</v>
      </c>
      <c r="C245" s="12">
        <v>0.4</v>
      </c>
      <c r="D245" s="13">
        <v>0.32</v>
      </c>
      <c r="E245" s="11">
        <v>5.6</v>
      </c>
      <c r="F245" s="12">
        <v>8.6999999999999994E-2</v>
      </c>
      <c r="G245" s="11">
        <v>10</v>
      </c>
      <c r="H245" s="11">
        <v>47</v>
      </c>
      <c r="I245" s="14">
        <v>0.99909999999999999</v>
      </c>
      <c r="J245" s="13">
        <v>3.38</v>
      </c>
      <c r="K245" s="13">
        <v>0.77</v>
      </c>
      <c r="L245" s="11">
        <v>10.5</v>
      </c>
      <c r="M245" s="10">
        <v>7</v>
      </c>
    </row>
    <row r="246" spans="1:13" x14ac:dyDescent="0.3">
      <c r="A246" s="10">
        <v>245</v>
      </c>
      <c r="B246" s="11">
        <v>11.4</v>
      </c>
      <c r="C246" s="12">
        <v>0.26</v>
      </c>
      <c r="D246" s="13">
        <v>0.44</v>
      </c>
      <c r="E246" s="11">
        <v>3.6</v>
      </c>
      <c r="F246" s="12">
        <v>7.0999999999999994E-2</v>
      </c>
      <c r="G246" s="11">
        <v>6</v>
      </c>
      <c r="H246" s="11">
        <v>19</v>
      </c>
      <c r="I246" s="14">
        <v>0.99860000000000004</v>
      </c>
      <c r="J246" s="13">
        <v>3.12</v>
      </c>
      <c r="K246" s="13">
        <v>0.82</v>
      </c>
      <c r="L246" s="11">
        <v>9.3000000000000007</v>
      </c>
      <c r="M246" s="10">
        <v>6</v>
      </c>
    </row>
    <row r="247" spans="1:13" x14ac:dyDescent="0.3">
      <c r="A247" s="10">
        <v>246</v>
      </c>
      <c r="B247" s="11">
        <v>7.7</v>
      </c>
      <c r="C247" s="12">
        <v>0.27</v>
      </c>
      <c r="D247" s="13">
        <v>0.68</v>
      </c>
      <c r="E247" s="11">
        <v>3.5</v>
      </c>
      <c r="F247" s="12">
        <v>0.35799999999999998</v>
      </c>
      <c r="G247" s="11">
        <v>5</v>
      </c>
      <c r="H247" s="11">
        <v>10</v>
      </c>
      <c r="I247" s="14">
        <v>0.99719999999999998</v>
      </c>
      <c r="J247" s="13">
        <v>3.25</v>
      </c>
      <c r="K247" s="13">
        <v>1.08</v>
      </c>
      <c r="L247" s="11">
        <v>9.9</v>
      </c>
      <c r="M247" s="10">
        <v>7</v>
      </c>
    </row>
    <row r="248" spans="1:13" x14ac:dyDescent="0.3">
      <c r="A248" s="10">
        <v>247</v>
      </c>
      <c r="B248" s="11">
        <v>7.6</v>
      </c>
      <c r="C248" s="12">
        <v>0.52</v>
      </c>
      <c r="D248" s="13">
        <v>0.12</v>
      </c>
      <c r="E248" s="11">
        <v>3</v>
      </c>
      <c r="F248" s="12">
        <v>6.7000000000000004E-2</v>
      </c>
      <c r="G248" s="11">
        <v>12</v>
      </c>
      <c r="H248" s="11">
        <v>53</v>
      </c>
      <c r="I248" s="14">
        <v>0.99709999999999999</v>
      </c>
      <c r="J248" s="13">
        <v>3.36</v>
      </c>
      <c r="K248" s="13">
        <v>0.56999999999999995</v>
      </c>
      <c r="L248" s="11">
        <v>9.1</v>
      </c>
      <c r="M248" s="10">
        <v>5</v>
      </c>
    </row>
    <row r="249" spans="1:13" x14ac:dyDescent="0.3">
      <c r="A249" s="10">
        <v>248</v>
      </c>
      <c r="B249" s="11">
        <v>9.9</v>
      </c>
      <c r="C249" s="12">
        <v>0.59</v>
      </c>
      <c r="D249" s="13">
        <v>7.0000000000000007E-2</v>
      </c>
      <c r="E249" s="11">
        <v>3.4</v>
      </c>
      <c r="F249" s="12">
        <v>0.10199999999999999</v>
      </c>
      <c r="G249" s="11">
        <v>32</v>
      </c>
      <c r="H249" s="11">
        <v>71</v>
      </c>
      <c r="I249" s="14">
        <v>1.0001500000000001</v>
      </c>
      <c r="J249" s="13">
        <v>3.31</v>
      </c>
      <c r="K249" s="13">
        <v>0.71</v>
      </c>
      <c r="L249" s="11">
        <v>9.8000000000000007</v>
      </c>
      <c r="M249" s="10">
        <v>5</v>
      </c>
    </row>
    <row r="250" spans="1:13" x14ac:dyDescent="0.3">
      <c r="A250" s="10">
        <v>249</v>
      </c>
      <c r="B250" s="11">
        <v>12</v>
      </c>
      <c r="C250" s="12">
        <v>0.45</v>
      </c>
      <c r="D250" s="13">
        <v>0.55000000000000004</v>
      </c>
      <c r="E250" s="11">
        <v>2</v>
      </c>
      <c r="F250" s="12">
        <v>7.2999999999999995E-2</v>
      </c>
      <c r="G250" s="11">
        <v>25</v>
      </c>
      <c r="H250" s="11">
        <v>49</v>
      </c>
      <c r="I250" s="14">
        <v>0.99970000000000003</v>
      </c>
      <c r="J250" s="13">
        <v>3.1</v>
      </c>
      <c r="K250" s="13">
        <v>0.76</v>
      </c>
      <c r="L250" s="11">
        <v>10.3</v>
      </c>
      <c r="M250" s="10">
        <v>6</v>
      </c>
    </row>
    <row r="251" spans="1:13" x14ac:dyDescent="0.3">
      <c r="A251" s="10">
        <v>250</v>
      </c>
      <c r="B251" s="11">
        <v>7.5</v>
      </c>
      <c r="C251" s="12">
        <v>0.4</v>
      </c>
      <c r="D251" s="13">
        <v>0.12</v>
      </c>
      <c r="E251" s="11">
        <v>3</v>
      </c>
      <c r="F251" s="12">
        <v>9.1999999999999998E-2</v>
      </c>
      <c r="G251" s="11">
        <v>29</v>
      </c>
      <c r="H251" s="11">
        <v>53</v>
      </c>
      <c r="I251" s="14">
        <v>0.99670000000000003</v>
      </c>
      <c r="J251" s="13">
        <v>3.37</v>
      </c>
      <c r="K251" s="13">
        <v>0.7</v>
      </c>
      <c r="L251" s="11">
        <v>10.3</v>
      </c>
      <c r="M251" s="10">
        <v>6</v>
      </c>
    </row>
    <row r="252" spans="1:13" x14ac:dyDescent="0.3">
      <c r="A252" s="10">
        <v>251</v>
      </c>
      <c r="B252" s="11">
        <v>8.6999999999999993</v>
      </c>
      <c r="C252" s="12">
        <v>0.52</v>
      </c>
      <c r="D252" s="13">
        <v>0.09</v>
      </c>
      <c r="E252" s="11">
        <v>2.5</v>
      </c>
      <c r="F252" s="12">
        <v>9.0999999999999998E-2</v>
      </c>
      <c r="G252" s="11">
        <v>20</v>
      </c>
      <c r="H252" s="11">
        <v>49</v>
      </c>
      <c r="I252" s="14">
        <v>0.99760000000000004</v>
      </c>
      <c r="J252" s="13">
        <v>3.34</v>
      </c>
      <c r="K252" s="13">
        <v>0.86</v>
      </c>
      <c r="L252" s="11">
        <v>10.6</v>
      </c>
      <c r="M252" s="10">
        <v>7</v>
      </c>
    </row>
    <row r="253" spans="1:13" x14ac:dyDescent="0.3">
      <c r="A253" s="10">
        <v>252</v>
      </c>
      <c r="B253" s="11">
        <v>11.6</v>
      </c>
      <c r="C253" s="12">
        <v>0.42</v>
      </c>
      <c r="D253" s="13">
        <v>0.53</v>
      </c>
      <c r="E253" s="11">
        <v>3.3</v>
      </c>
      <c r="F253" s="12">
        <v>0.105</v>
      </c>
      <c r="G253" s="11">
        <v>33</v>
      </c>
      <c r="H253" s="11">
        <v>98</v>
      </c>
      <c r="I253" s="14">
        <v>1.0009999999999999</v>
      </c>
      <c r="J253" s="13">
        <v>3.2</v>
      </c>
      <c r="K253" s="13">
        <v>0.95</v>
      </c>
      <c r="L253" s="11">
        <v>9.1999999999999993</v>
      </c>
      <c r="M253" s="10">
        <v>5</v>
      </c>
    </row>
    <row r="254" spans="1:13" x14ac:dyDescent="0.3">
      <c r="A254" s="10">
        <v>253</v>
      </c>
      <c r="B254" s="11">
        <v>11</v>
      </c>
      <c r="C254" s="12">
        <v>0.2</v>
      </c>
      <c r="D254" s="13">
        <v>0.48</v>
      </c>
      <c r="E254" s="11">
        <v>2</v>
      </c>
      <c r="F254" s="12">
        <v>0.34300000000000003</v>
      </c>
      <c r="G254" s="11">
        <v>6</v>
      </c>
      <c r="H254" s="11">
        <v>18</v>
      </c>
      <c r="I254" s="14">
        <v>0.99790000000000001</v>
      </c>
      <c r="J254" s="13">
        <v>3.3</v>
      </c>
      <c r="K254" s="13">
        <v>0.71</v>
      </c>
      <c r="L254" s="11">
        <v>10.5</v>
      </c>
      <c r="M254" s="10">
        <v>5</v>
      </c>
    </row>
    <row r="255" spans="1:13" x14ac:dyDescent="0.3">
      <c r="A255" s="10">
        <v>254</v>
      </c>
      <c r="B255" s="11">
        <v>10.4</v>
      </c>
      <c r="C255" s="12">
        <v>0.55000000000000004</v>
      </c>
      <c r="D255" s="13">
        <v>0.23</v>
      </c>
      <c r="E255" s="11">
        <v>2.7</v>
      </c>
      <c r="F255" s="12">
        <v>9.0999999999999998E-2</v>
      </c>
      <c r="G255" s="11">
        <v>18</v>
      </c>
      <c r="H255" s="11">
        <v>48</v>
      </c>
      <c r="I255" s="14">
        <v>0.99939999999999996</v>
      </c>
      <c r="J255" s="13">
        <v>3.22</v>
      </c>
      <c r="K255" s="13">
        <v>0.64</v>
      </c>
      <c r="L255" s="11">
        <v>10.3</v>
      </c>
      <c r="M255" s="10">
        <v>6</v>
      </c>
    </row>
    <row r="256" spans="1:13" x14ac:dyDescent="0.3">
      <c r="A256" s="10">
        <v>255</v>
      </c>
      <c r="B256" s="11">
        <v>6.9</v>
      </c>
      <c r="C256" s="12">
        <v>0.36</v>
      </c>
      <c r="D256" s="13">
        <v>0.25</v>
      </c>
      <c r="E256" s="11">
        <v>2.4</v>
      </c>
      <c r="F256" s="12">
        <v>9.8000000000000004E-2</v>
      </c>
      <c r="G256" s="11">
        <v>5</v>
      </c>
      <c r="H256" s="11">
        <v>16</v>
      </c>
      <c r="I256" s="14">
        <v>0.99639999999999995</v>
      </c>
      <c r="J256" s="13">
        <v>3.41</v>
      </c>
      <c r="K256" s="13">
        <v>0.6</v>
      </c>
      <c r="L256" s="11">
        <v>10.1</v>
      </c>
      <c r="M256" s="10">
        <v>6</v>
      </c>
    </row>
    <row r="257" spans="1:13" x14ac:dyDescent="0.3">
      <c r="A257" s="10">
        <v>256</v>
      </c>
      <c r="B257" s="11">
        <v>13.3</v>
      </c>
      <c r="C257" s="12">
        <v>0.34</v>
      </c>
      <c r="D257" s="13">
        <v>0.52</v>
      </c>
      <c r="E257" s="11">
        <v>3.2</v>
      </c>
      <c r="F257" s="12">
        <v>9.4E-2</v>
      </c>
      <c r="G257" s="11">
        <v>17</v>
      </c>
      <c r="H257" s="11">
        <v>53</v>
      </c>
      <c r="I257" s="14">
        <v>1.0014000000000001</v>
      </c>
      <c r="J257" s="13">
        <v>3.05</v>
      </c>
      <c r="K257" s="13">
        <v>0.81</v>
      </c>
      <c r="L257" s="11">
        <v>9.5</v>
      </c>
      <c r="M257" s="10">
        <v>6</v>
      </c>
    </row>
    <row r="258" spans="1:13" x14ac:dyDescent="0.3">
      <c r="A258" s="10">
        <v>257</v>
      </c>
      <c r="B258" s="11">
        <v>10.8</v>
      </c>
      <c r="C258" s="12">
        <v>0.5</v>
      </c>
      <c r="D258" s="13">
        <v>0.46</v>
      </c>
      <c r="E258" s="11">
        <v>2.5</v>
      </c>
      <c r="F258" s="12">
        <v>7.2999999999999995E-2</v>
      </c>
      <c r="G258" s="11">
        <v>5</v>
      </c>
      <c r="H258" s="11">
        <v>27</v>
      </c>
      <c r="I258" s="14">
        <v>1.0001</v>
      </c>
      <c r="J258" s="13">
        <v>3.05</v>
      </c>
      <c r="K258" s="13">
        <v>0.64</v>
      </c>
      <c r="L258" s="11">
        <v>9.5</v>
      </c>
      <c r="M258" s="10">
        <v>5</v>
      </c>
    </row>
    <row r="259" spans="1:13" x14ac:dyDescent="0.3">
      <c r="A259" s="10">
        <v>258</v>
      </c>
      <c r="B259" s="11">
        <v>10.6</v>
      </c>
      <c r="C259" s="12">
        <v>0.83</v>
      </c>
      <c r="D259" s="13">
        <v>0.37</v>
      </c>
      <c r="E259" s="11">
        <v>2.6</v>
      </c>
      <c r="F259" s="12">
        <v>8.5999999999999993E-2</v>
      </c>
      <c r="G259" s="11">
        <v>26</v>
      </c>
      <c r="H259" s="11">
        <v>70</v>
      </c>
      <c r="I259" s="14">
        <v>0.99809999999999999</v>
      </c>
      <c r="J259" s="13">
        <v>3.16</v>
      </c>
      <c r="K259" s="13">
        <v>0.52</v>
      </c>
      <c r="L259" s="11">
        <v>9.9</v>
      </c>
      <c r="M259" s="10">
        <v>5</v>
      </c>
    </row>
    <row r="260" spans="1:13" x14ac:dyDescent="0.3">
      <c r="A260" s="10">
        <v>259</v>
      </c>
      <c r="B260" s="11">
        <v>7.1</v>
      </c>
      <c r="C260" s="12">
        <v>0.63</v>
      </c>
      <c r="D260" s="13">
        <v>0.06</v>
      </c>
      <c r="E260" s="11">
        <v>2</v>
      </c>
      <c r="F260" s="12">
        <v>8.3000000000000004E-2</v>
      </c>
      <c r="G260" s="11">
        <v>8</v>
      </c>
      <c r="H260" s="11">
        <v>29</v>
      </c>
      <c r="I260" s="14">
        <v>0.99855000000000005</v>
      </c>
      <c r="J260" s="13">
        <v>3.67</v>
      </c>
      <c r="K260" s="13">
        <v>0.73</v>
      </c>
      <c r="L260" s="11">
        <v>9.6</v>
      </c>
      <c r="M260" s="10">
        <v>5</v>
      </c>
    </row>
    <row r="261" spans="1:13" x14ac:dyDescent="0.3">
      <c r="A261" s="10">
        <v>260</v>
      </c>
      <c r="B261" s="11">
        <v>7.2</v>
      </c>
      <c r="C261" s="12">
        <v>0.65</v>
      </c>
      <c r="D261" s="13">
        <v>0.02</v>
      </c>
      <c r="E261" s="11">
        <v>2.2999999999999998</v>
      </c>
      <c r="F261" s="12">
        <v>9.4E-2</v>
      </c>
      <c r="G261" s="11">
        <v>5</v>
      </c>
      <c r="H261" s="11">
        <v>31</v>
      </c>
      <c r="I261" s="14">
        <v>0.99929999999999997</v>
      </c>
      <c r="J261" s="13">
        <v>3.67</v>
      </c>
      <c r="K261" s="13">
        <v>0.8</v>
      </c>
      <c r="L261" s="11">
        <v>9.6999999999999993</v>
      </c>
      <c r="M261" s="10">
        <v>5</v>
      </c>
    </row>
    <row r="262" spans="1:13" x14ac:dyDescent="0.3">
      <c r="A262" s="10">
        <v>261</v>
      </c>
      <c r="B262" s="11">
        <v>6.9</v>
      </c>
      <c r="C262" s="12">
        <v>0.67</v>
      </c>
      <c r="D262" s="13">
        <v>0.06</v>
      </c>
      <c r="E262" s="11">
        <v>2.1</v>
      </c>
      <c r="F262" s="12">
        <v>0.08</v>
      </c>
      <c r="G262" s="11">
        <v>8</v>
      </c>
      <c r="H262" s="11">
        <v>33</v>
      </c>
      <c r="I262" s="14">
        <v>0.99844999999999995</v>
      </c>
      <c r="J262" s="13">
        <v>3.68</v>
      </c>
      <c r="K262" s="13">
        <v>0.71</v>
      </c>
      <c r="L262" s="11">
        <v>9.6</v>
      </c>
      <c r="M262" s="10">
        <v>5</v>
      </c>
    </row>
    <row r="263" spans="1:13" x14ac:dyDescent="0.3">
      <c r="A263" s="10">
        <v>262</v>
      </c>
      <c r="B263" s="11">
        <v>7.5</v>
      </c>
      <c r="C263" s="12">
        <v>0.53</v>
      </c>
      <c r="D263" s="13">
        <v>0.06</v>
      </c>
      <c r="E263" s="11">
        <v>2.6</v>
      </c>
      <c r="F263" s="12">
        <v>8.5999999999999993E-2</v>
      </c>
      <c r="G263" s="11">
        <v>20</v>
      </c>
      <c r="H263" s="11">
        <v>44</v>
      </c>
      <c r="I263" s="14">
        <v>0.99650000000000005</v>
      </c>
      <c r="J263" s="13">
        <v>3.38</v>
      </c>
      <c r="K263" s="13">
        <v>0.59</v>
      </c>
      <c r="L263" s="11">
        <v>10.7</v>
      </c>
      <c r="M263" s="10">
        <v>6</v>
      </c>
    </row>
    <row r="264" spans="1:13" x14ac:dyDescent="0.3">
      <c r="A264" s="10">
        <v>263</v>
      </c>
      <c r="B264" s="11">
        <v>11.1</v>
      </c>
      <c r="C264" s="12">
        <v>0.18</v>
      </c>
      <c r="D264" s="13">
        <v>0.48</v>
      </c>
      <c r="E264" s="11">
        <v>1.5</v>
      </c>
      <c r="F264" s="12">
        <v>6.8000000000000005E-2</v>
      </c>
      <c r="G264" s="11">
        <v>7</v>
      </c>
      <c r="H264" s="11">
        <v>15</v>
      </c>
      <c r="I264" s="14">
        <v>0.99729999999999996</v>
      </c>
      <c r="J264" s="13">
        <v>3.22</v>
      </c>
      <c r="K264" s="13">
        <v>0.64</v>
      </c>
      <c r="L264" s="11">
        <v>10.1</v>
      </c>
      <c r="M264" s="10">
        <v>6</v>
      </c>
    </row>
    <row r="265" spans="1:13" x14ac:dyDescent="0.3">
      <c r="A265" s="10">
        <v>264</v>
      </c>
      <c r="B265" s="11">
        <v>8.3000000000000007</v>
      </c>
      <c r="C265" s="12">
        <v>0.70499999999999996</v>
      </c>
      <c r="D265" s="13">
        <v>0.12</v>
      </c>
      <c r="E265" s="11">
        <v>2.6</v>
      </c>
      <c r="F265" s="12">
        <v>9.1999999999999998E-2</v>
      </c>
      <c r="G265" s="11">
        <v>12</v>
      </c>
      <c r="H265" s="11">
        <v>28</v>
      </c>
      <c r="I265" s="14">
        <v>0.99939999999999996</v>
      </c>
      <c r="J265" s="13">
        <v>3.51</v>
      </c>
      <c r="K265" s="13">
        <v>0.72</v>
      </c>
      <c r="L265" s="11">
        <v>10</v>
      </c>
      <c r="M265" s="10">
        <v>5</v>
      </c>
    </row>
    <row r="266" spans="1:13" x14ac:dyDescent="0.3">
      <c r="A266" s="10">
        <v>265</v>
      </c>
      <c r="B266" s="11">
        <v>7.4</v>
      </c>
      <c r="C266" s="12">
        <v>0.67</v>
      </c>
      <c r="D266" s="13">
        <v>0.12</v>
      </c>
      <c r="E266" s="11">
        <v>1.6</v>
      </c>
      <c r="F266" s="12">
        <v>0.186</v>
      </c>
      <c r="G266" s="11">
        <v>5</v>
      </c>
      <c r="H266" s="11">
        <v>21</v>
      </c>
      <c r="I266" s="14">
        <v>0.996</v>
      </c>
      <c r="J266" s="13">
        <v>3.39</v>
      </c>
      <c r="K266" s="13">
        <v>0.54</v>
      </c>
      <c r="L266" s="11">
        <v>9.5</v>
      </c>
      <c r="M266" s="10">
        <v>5</v>
      </c>
    </row>
    <row r="267" spans="1:13" x14ac:dyDescent="0.3">
      <c r="A267" s="10">
        <v>266</v>
      </c>
      <c r="B267" s="11">
        <v>8.4</v>
      </c>
      <c r="C267" s="12">
        <v>0.65</v>
      </c>
      <c r="D267" s="13">
        <v>0.6</v>
      </c>
      <c r="E267" s="11">
        <v>2.1</v>
      </c>
      <c r="F267" s="12">
        <v>0.112</v>
      </c>
      <c r="G267" s="11">
        <v>12</v>
      </c>
      <c r="H267" s="11">
        <v>90</v>
      </c>
      <c r="I267" s="14">
        <v>0.99729999999999996</v>
      </c>
      <c r="J267" s="13">
        <v>3.2</v>
      </c>
      <c r="K267" s="13">
        <v>0.52</v>
      </c>
      <c r="L267" s="11">
        <v>9.1999999999999993</v>
      </c>
      <c r="M267" s="10">
        <v>5</v>
      </c>
    </row>
    <row r="268" spans="1:13" x14ac:dyDescent="0.3">
      <c r="A268" s="10">
        <v>267</v>
      </c>
      <c r="B268" s="11">
        <v>10.3</v>
      </c>
      <c r="C268" s="12">
        <v>0.53</v>
      </c>
      <c r="D268" s="13">
        <v>0.48</v>
      </c>
      <c r="E268" s="11">
        <v>2.5</v>
      </c>
      <c r="F268" s="12">
        <v>6.3E-2</v>
      </c>
      <c r="G268" s="11">
        <v>6</v>
      </c>
      <c r="H268" s="11">
        <v>25</v>
      </c>
      <c r="I268" s="14">
        <v>0.99980000000000002</v>
      </c>
      <c r="J268" s="13">
        <v>3.12</v>
      </c>
      <c r="K268" s="13">
        <v>0.59</v>
      </c>
      <c r="L268" s="11">
        <v>9.3000000000000007</v>
      </c>
      <c r="M268" s="10">
        <v>6</v>
      </c>
    </row>
    <row r="269" spans="1:13" x14ac:dyDescent="0.3">
      <c r="A269" s="10">
        <v>268</v>
      </c>
      <c r="B269" s="11">
        <v>7.6</v>
      </c>
      <c r="C269" s="12">
        <v>0.62</v>
      </c>
      <c r="D269" s="13">
        <v>0.32</v>
      </c>
      <c r="E269" s="11">
        <v>2.2000000000000002</v>
      </c>
      <c r="F269" s="12">
        <v>8.2000000000000003E-2</v>
      </c>
      <c r="G269" s="11">
        <v>7</v>
      </c>
      <c r="H269" s="11">
        <v>54</v>
      </c>
      <c r="I269" s="14">
        <v>0.99660000000000004</v>
      </c>
      <c r="J269" s="13">
        <v>3.36</v>
      </c>
      <c r="K269" s="13">
        <v>0.52</v>
      </c>
      <c r="L269" s="11">
        <v>9.4</v>
      </c>
      <c r="M269" s="10">
        <v>5</v>
      </c>
    </row>
    <row r="270" spans="1:13" x14ac:dyDescent="0.3">
      <c r="A270" s="10">
        <v>269</v>
      </c>
      <c r="B270" s="11">
        <v>10.3</v>
      </c>
      <c r="C270" s="12">
        <v>0.41</v>
      </c>
      <c r="D270" s="13">
        <v>0.42</v>
      </c>
      <c r="E270" s="11">
        <v>2.4</v>
      </c>
      <c r="F270" s="12">
        <v>0.21299999999999999</v>
      </c>
      <c r="G270" s="11">
        <v>6</v>
      </c>
      <c r="H270" s="11">
        <v>14</v>
      </c>
      <c r="I270" s="14">
        <v>0.99939999999999996</v>
      </c>
      <c r="J270" s="13">
        <v>3.19</v>
      </c>
      <c r="K270" s="13">
        <v>0.62</v>
      </c>
      <c r="L270" s="11">
        <v>9.5</v>
      </c>
      <c r="M270" s="10">
        <v>6</v>
      </c>
    </row>
    <row r="271" spans="1:13" x14ac:dyDescent="0.3">
      <c r="A271" s="10">
        <v>270</v>
      </c>
      <c r="B271" s="11">
        <v>10.3</v>
      </c>
      <c r="C271" s="12">
        <v>0.43</v>
      </c>
      <c r="D271" s="13">
        <v>0.44</v>
      </c>
      <c r="E271" s="11">
        <v>2.4</v>
      </c>
      <c r="F271" s="12">
        <v>0.214</v>
      </c>
      <c r="G271" s="11">
        <v>5</v>
      </c>
      <c r="H271" s="11">
        <v>12</v>
      </c>
      <c r="I271" s="14">
        <v>0.99939999999999996</v>
      </c>
      <c r="J271" s="13">
        <v>3.19</v>
      </c>
      <c r="K271" s="13">
        <v>0.63</v>
      </c>
      <c r="L271" s="11">
        <v>9.5</v>
      </c>
      <c r="M271" s="10">
        <v>6</v>
      </c>
    </row>
    <row r="272" spans="1:13" x14ac:dyDescent="0.3">
      <c r="A272" s="10">
        <v>271</v>
      </c>
      <c r="B272" s="11">
        <v>7.4</v>
      </c>
      <c r="C272" s="12">
        <v>0.28999999999999998</v>
      </c>
      <c r="D272" s="13">
        <v>0.38</v>
      </c>
      <c r="E272" s="11">
        <v>1.7</v>
      </c>
      <c r="F272" s="12">
        <v>6.2E-2</v>
      </c>
      <c r="G272" s="11">
        <v>9</v>
      </c>
      <c r="H272" s="11">
        <v>30</v>
      </c>
      <c r="I272" s="14">
        <v>0.99680000000000002</v>
      </c>
      <c r="J272" s="13">
        <v>3.41</v>
      </c>
      <c r="K272" s="13">
        <v>0.53</v>
      </c>
      <c r="L272" s="11">
        <v>9.5</v>
      </c>
      <c r="M272" s="10">
        <v>6</v>
      </c>
    </row>
    <row r="273" spans="1:13" x14ac:dyDescent="0.3">
      <c r="A273" s="10">
        <v>272</v>
      </c>
      <c r="B273" s="11">
        <v>7.9</v>
      </c>
      <c r="C273" s="12">
        <v>0.53</v>
      </c>
      <c r="D273" s="13">
        <v>0.24</v>
      </c>
      <c r="E273" s="11">
        <v>2</v>
      </c>
      <c r="F273" s="12">
        <v>7.1999999999999995E-2</v>
      </c>
      <c r="G273" s="11">
        <v>15</v>
      </c>
      <c r="H273" s="11">
        <v>105</v>
      </c>
      <c r="I273" s="14">
        <v>0.996</v>
      </c>
      <c r="J273" s="13">
        <v>3.27</v>
      </c>
      <c r="K273" s="13">
        <v>0.54</v>
      </c>
      <c r="L273" s="11">
        <v>9.4</v>
      </c>
      <c r="M273" s="10">
        <v>6</v>
      </c>
    </row>
    <row r="274" spans="1:13" x14ac:dyDescent="0.3">
      <c r="A274" s="10">
        <v>273</v>
      </c>
      <c r="B274" s="11">
        <v>9</v>
      </c>
      <c r="C274" s="12">
        <v>0.46</v>
      </c>
      <c r="D274" s="13">
        <v>0.31</v>
      </c>
      <c r="E274" s="11">
        <v>2.8</v>
      </c>
      <c r="F274" s="12">
        <v>9.2999999999999999E-2</v>
      </c>
      <c r="G274" s="11">
        <v>19</v>
      </c>
      <c r="H274" s="11">
        <v>98</v>
      </c>
      <c r="I274" s="14">
        <v>0.99814999999999998</v>
      </c>
      <c r="J274" s="13">
        <v>3.32</v>
      </c>
      <c r="K274" s="13">
        <v>0.63</v>
      </c>
      <c r="L274" s="11">
        <v>9.5</v>
      </c>
      <c r="M274" s="10">
        <v>6</v>
      </c>
    </row>
    <row r="275" spans="1:13" x14ac:dyDescent="0.3">
      <c r="A275" s="10">
        <v>274</v>
      </c>
      <c r="B275" s="11">
        <v>8.6</v>
      </c>
      <c r="C275" s="12">
        <v>0.47</v>
      </c>
      <c r="D275" s="13">
        <v>0.3</v>
      </c>
      <c r="E275" s="11">
        <v>3</v>
      </c>
      <c r="F275" s="12">
        <v>7.5999999999999998E-2</v>
      </c>
      <c r="G275" s="11">
        <v>30</v>
      </c>
      <c r="H275" s="11">
        <v>135</v>
      </c>
      <c r="I275" s="14">
        <v>0.99760000000000004</v>
      </c>
      <c r="J275" s="13">
        <v>3.3</v>
      </c>
      <c r="K275" s="13">
        <v>0.53</v>
      </c>
      <c r="L275" s="11">
        <v>9.4</v>
      </c>
      <c r="M275" s="10">
        <v>5</v>
      </c>
    </row>
    <row r="276" spans="1:13" x14ac:dyDescent="0.3">
      <c r="A276" s="10">
        <v>275</v>
      </c>
      <c r="B276" s="11">
        <v>7.4</v>
      </c>
      <c r="C276" s="12">
        <v>0.36</v>
      </c>
      <c r="D276" s="13">
        <v>0.28999999999999998</v>
      </c>
      <c r="E276" s="11">
        <v>2.6</v>
      </c>
      <c r="F276" s="12">
        <v>8.6999999999999994E-2</v>
      </c>
      <c r="G276" s="11">
        <v>26</v>
      </c>
      <c r="H276" s="11">
        <v>72</v>
      </c>
      <c r="I276" s="14">
        <v>0.99644999999999995</v>
      </c>
      <c r="J276" s="13">
        <v>3.39</v>
      </c>
      <c r="K276" s="13">
        <v>0.68</v>
      </c>
      <c r="L276" s="11">
        <v>11</v>
      </c>
      <c r="M276" s="10">
        <v>5</v>
      </c>
    </row>
    <row r="277" spans="1:13" x14ac:dyDescent="0.3">
      <c r="A277" s="10">
        <v>276</v>
      </c>
      <c r="B277" s="11">
        <v>7.1</v>
      </c>
      <c r="C277" s="12">
        <v>0.35</v>
      </c>
      <c r="D277" s="13">
        <v>0.28999999999999998</v>
      </c>
      <c r="E277" s="11">
        <v>2.5</v>
      </c>
      <c r="F277" s="12">
        <v>9.6000000000000002E-2</v>
      </c>
      <c r="G277" s="11">
        <v>20</v>
      </c>
      <c r="H277" s="11">
        <v>53</v>
      </c>
      <c r="I277" s="14">
        <v>0.99619999999999997</v>
      </c>
      <c r="J277" s="13">
        <v>3.42</v>
      </c>
      <c r="K277" s="13">
        <v>0.65</v>
      </c>
      <c r="L277" s="11">
        <v>11</v>
      </c>
      <c r="M277" s="10">
        <v>6</v>
      </c>
    </row>
    <row r="278" spans="1:13" x14ac:dyDescent="0.3">
      <c r="A278" s="10">
        <v>277</v>
      </c>
      <c r="B278" s="11">
        <v>9.6</v>
      </c>
      <c r="C278" s="12">
        <v>0.56000000000000005</v>
      </c>
      <c r="D278" s="13">
        <v>0.23</v>
      </c>
      <c r="E278" s="11">
        <v>3.4</v>
      </c>
      <c r="F278" s="12">
        <v>0.10199999999999999</v>
      </c>
      <c r="G278" s="11">
        <v>37</v>
      </c>
      <c r="H278" s="11">
        <v>92</v>
      </c>
      <c r="I278" s="14">
        <v>0.99960000000000004</v>
      </c>
      <c r="J278" s="13">
        <v>3.3</v>
      </c>
      <c r="K278" s="13">
        <v>0.65</v>
      </c>
      <c r="L278" s="11">
        <v>10.1</v>
      </c>
      <c r="M278" s="10">
        <v>5</v>
      </c>
    </row>
    <row r="279" spans="1:13" x14ac:dyDescent="0.3">
      <c r="A279" s="10">
        <v>278</v>
      </c>
      <c r="B279" s="11">
        <v>9.6</v>
      </c>
      <c r="C279" s="12">
        <v>0.77</v>
      </c>
      <c r="D279" s="13">
        <v>0.12</v>
      </c>
      <c r="E279" s="11">
        <v>2.9</v>
      </c>
      <c r="F279" s="12">
        <v>8.2000000000000003E-2</v>
      </c>
      <c r="G279" s="11">
        <v>30</v>
      </c>
      <c r="H279" s="11">
        <v>74</v>
      </c>
      <c r="I279" s="14">
        <v>0.99865000000000004</v>
      </c>
      <c r="J279" s="13">
        <v>3.3</v>
      </c>
      <c r="K279" s="13">
        <v>0.64</v>
      </c>
      <c r="L279" s="11">
        <v>10.4</v>
      </c>
      <c r="M279" s="10">
        <v>6</v>
      </c>
    </row>
    <row r="280" spans="1:13" x14ac:dyDescent="0.3">
      <c r="A280" s="10">
        <v>279</v>
      </c>
      <c r="B280" s="11">
        <v>9.8000000000000007</v>
      </c>
      <c r="C280" s="12">
        <v>0.66</v>
      </c>
      <c r="D280" s="13">
        <v>0.39</v>
      </c>
      <c r="E280" s="11">
        <v>3.2</v>
      </c>
      <c r="F280" s="12">
        <v>8.3000000000000004E-2</v>
      </c>
      <c r="G280" s="11">
        <v>21</v>
      </c>
      <c r="H280" s="11">
        <v>59</v>
      </c>
      <c r="I280" s="14">
        <v>0.99890000000000001</v>
      </c>
      <c r="J280" s="13">
        <v>3.37</v>
      </c>
      <c r="K280" s="13">
        <v>0.71</v>
      </c>
      <c r="L280" s="11">
        <v>11.5</v>
      </c>
      <c r="M280" s="10">
        <v>7</v>
      </c>
    </row>
    <row r="281" spans="1:13" x14ac:dyDescent="0.3">
      <c r="A281" s="10">
        <v>280</v>
      </c>
      <c r="B281" s="11">
        <v>9.3000000000000007</v>
      </c>
      <c r="C281" s="12">
        <v>0.61</v>
      </c>
      <c r="D281" s="13">
        <v>0.26</v>
      </c>
      <c r="E281" s="11">
        <v>3.4</v>
      </c>
      <c r="F281" s="12">
        <v>0.09</v>
      </c>
      <c r="G281" s="11">
        <v>25</v>
      </c>
      <c r="H281" s="11">
        <v>87</v>
      </c>
      <c r="I281" s="14">
        <v>0.99975000000000003</v>
      </c>
      <c r="J281" s="13">
        <v>3.24</v>
      </c>
      <c r="K281" s="13">
        <v>0.62</v>
      </c>
      <c r="L281" s="11">
        <v>9.6999999999999993</v>
      </c>
      <c r="M281" s="10">
        <v>5</v>
      </c>
    </row>
    <row r="282" spans="1:13" x14ac:dyDescent="0.3">
      <c r="A282" s="10">
        <v>281</v>
      </c>
      <c r="B282" s="11">
        <v>7.8</v>
      </c>
      <c r="C282" s="12">
        <v>0.62</v>
      </c>
      <c r="D282" s="13">
        <v>0.05</v>
      </c>
      <c r="E282" s="11">
        <v>2.2999999999999998</v>
      </c>
      <c r="F282" s="12">
        <v>7.9000000000000001E-2</v>
      </c>
      <c r="G282" s="11">
        <v>6</v>
      </c>
      <c r="H282" s="11">
        <v>18</v>
      </c>
      <c r="I282" s="14">
        <v>0.99734999999999996</v>
      </c>
      <c r="J282" s="13">
        <v>3.29</v>
      </c>
      <c r="K282" s="13">
        <v>0.63</v>
      </c>
      <c r="L282" s="11">
        <v>9.3000000000000007</v>
      </c>
      <c r="M282" s="10">
        <v>5</v>
      </c>
    </row>
    <row r="283" spans="1:13" x14ac:dyDescent="0.3">
      <c r="A283" s="10">
        <v>282</v>
      </c>
      <c r="B283" s="11">
        <v>10.3</v>
      </c>
      <c r="C283" s="12">
        <v>0.59</v>
      </c>
      <c r="D283" s="13">
        <v>0.42</v>
      </c>
      <c r="E283" s="11">
        <v>2.8</v>
      </c>
      <c r="F283" s="12">
        <v>0.09</v>
      </c>
      <c r="G283" s="11">
        <v>35</v>
      </c>
      <c r="H283" s="11">
        <v>73</v>
      </c>
      <c r="I283" s="14">
        <v>0.999</v>
      </c>
      <c r="J283" s="13">
        <v>3.28</v>
      </c>
      <c r="K283" s="13">
        <v>0.7</v>
      </c>
      <c r="L283" s="11">
        <v>9.5</v>
      </c>
      <c r="M283" s="10">
        <v>6</v>
      </c>
    </row>
    <row r="284" spans="1:13" x14ac:dyDescent="0.3">
      <c r="A284" s="10">
        <v>283</v>
      </c>
      <c r="B284" s="11">
        <v>10</v>
      </c>
      <c r="C284" s="12">
        <v>0.49</v>
      </c>
      <c r="D284" s="13">
        <v>0.2</v>
      </c>
      <c r="E284" s="11">
        <v>11</v>
      </c>
      <c r="F284" s="12">
        <v>7.0999999999999994E-2</v>
      </c>
      <c r="G284" s="11">
        <v>13</v>
      </c>
      <c r="H284" s="11">
        <v>50</v>
      </c>
      <c r="I284" s="14">
        <v>1.0015000000000001</v>
      </c>
      <c r="J284" s="13">
        <v>3.16</v>
      </c>
      <c r="K284" s="13">
        <v>0.69</v>
      </c>
      <c r="L284" s="11">
        <v>9.1999999999999993</v>
      </c>
      <c r="M284" s="10">
        <v>6</v>
      </c>
    </row>
    <row r="285" spans="1:13" x14ac:dyDescent="0.3">
      <c r="A285" s="10">
        <v>284</v>
      </c>
      <c r="B285" s="11">
        <v>11.6</v>
      </c>
      <c r="C285" s="12">
        <v>0.53</v>
      </c>
      <c r="D285" s="13">
        <v>0.66</v>
      </c>
      <c r="E285" s="11">
        <v>3.65</v>
      </c>
      <c r="F285" s="12">
        <v>0.121</v>
      </c>
      <c r="G285" s="11">
        <v>6</v>
      </c>
      <c r="H285" s="11">
        <v>14</v>
      </c>
      <c r="I285" s="14">
        <v>0.99780000000000002</v>
      </c>
      <c r="J285" s="13">
        <v>3.05</v>
      </c>
      <c r="K285" s="13">
        <v>0.74</v>
      </c>
      <c r="L285" s="11">
        <v>11.5</v>
      </c>
      <c r="M285" s="10">
        <v>7</v>
      </c>
    </row>
    <row r="286" spans="1:13" x14ac:dyDescent="0.3">
      <c r="A286" s="10">
        <v>285</v>
      </c>
      <c r="B286" s="11">
        <v>10.3</v>
      </c>
      <c r="C286" s="12">
        <v>0.44</v>
      </c>
      <c r="D286" s="13">
        <v>0.5</v>
      </c>
      <c r="E286" s="11">
        <v>4.5</v>
      </c>
      <c r="F286" s="12">
        <v>0.107</v>
      </c>
      <c r="G286" s="11">
        <v>5</v>
      </c>
      <c r="H286" s="11">
        <v>13</v>
      </c>
      <c r="I286" s="14">
        <v>0.998</v>
      </c>
      <c r="J286" s="13">
        <v>3.28</v>
      </c>
      <c r="K286" s="13">
        <v>0.83</v>
      </c>
      <c r="L286" s="11">
        <v>11.5</v>
      </c>
      <c r="M286" s="10">
        <v>5</v>
      </c>
    </row>
    <row r="287" spans="1:13" x14ac:dyDescent="0.3">
      <c r="A287" s="10">
        <v>286</v>
      </c>
      <c r="B287" s="11">
        <v>13.4</v>
      </c>
      <c r="C287" s="12">
        <v>0.27</v>
      </c>
      <c r="D287" s="13">
        <v>0.62</v>
      </c>
      <c r="E287" s="11">
        <v>2.6</v>
      </c>
      <c r="F287" s="12">
        <v>8.2000000000000003E-2</v>
      </c>
      <c r="G287" s="11">
        <v>6</v>
      </c>
      <c r="H287" s="11">
        <v>21</v>
      </c>
      <c r="I287" s="14">
        <v>1.0002</v>
      </c>
      <c r="J287" s="13">
        <v>3.16</v>
      </c>
      <c r="K287" s="13">
        <v>0.67</v>
      </c>
      <c r="L287" s="11">
        <v>9.6999999999999993</v>
      </c>
      <c r="M287" s="10">
        <v>6</v>
      </c>
    </row>
    <row r="288" spans="1:13" x14ac:dyDescent="0.3">
      <c r="A288" s="10">
        <v>287</v>
      </c>
      <c r="B288" s="11">
        <v>10.7</v>
      </c>
      <c r="C288" s="12">
        <v>0.46</v>
      </c>
      <c r="D288" s="13">
        <v>0.39</v>
      </c>
      <c r="E288" s="11">
        <v>2</v>
      </c>
      <c r="F288" s="12">
        <v>6.0999999999999999E-2</v>
      </c>
      <c r="G288" s="11">
        <v>7</v>
      </c>
      <c r="H288" s="11">
        <v>15</v>
      </c>
      <c r="I288" s="14">
        <v>0.99809999999999999</v>
      </c>
      <c r="J288" s="13">
        <v>3.18</v>
      </c>
      <c r="K288" s="13">
        <v>0.62</v>
      </c>
      <c r="L288" s="11">
        <v>9.5</v>
      </c>
      <c r="M288" s="10">
        <v>5</v>
      </c>
    </row>
    <row r="289" spans="1:13" x14ac:dyDescent="0.3">
      <c r="A289" s="10">
        <v>288</v>
      </c>
      <c r="B289" s="11">
        <v>10.199999999999999</v>
      </c>
      <c r="C289" s="12">
        <v>0.36</v>
      </c>
      <c r="D289" s="13">
        <v>0.64</v>
      </c>
      <c r="E289" s="11">
        <v>2.9</v>
      </c>
      <c r="F289" s="12">
        <v>0.122</v>
      </c>
      <c r="G289" s="11">
        <v>10</v>
      </c>
      <c r="H289" s="11">
        <v>41</v>
      </c>
      <c r="I289" s="14">
        <v>0.998</v>
      </c>
      <c r="J289" s="13">
        <v>3.23</v>
      </c>
      <c r="K289" s="13">
        <v>0.66</v>
      </c>
      <c r="L289" s="11">
        <v>12.5</v>
      </c>
      <c r="M289" s="10">
        <v>6</v>
      </c>
    </row>
    <row r="290" spans="1:13" x14ac:dyDescent="0.3">
      <c r="A290" s="10">
        <v>289</v>
      </c>
      <c r="B290" s="11">
        <v>8</v>
      </c>
      <c r="C290" s="12">
        <v>0.57999999999999996</v>
      </c>
      <c r="D290" s="13">
        <v>0.28000000000000003</v>
      </c>
      <c r="E290" s="11">
        <v>3.2</v>
      </c>
      <c r="F290" s="12">
        <v>6.6000000000000003E-2</v>
      </c>
      <c r="G290" s="11">
        <v>21</v>
      </c>
      <c r="H290" s="11">
        <v>114</v>
      </c>
      <c r="I290" s="14">
        <v>0.99729999999999996</v>
      </c>
      <c r="J290" s="13">
        <v>3.22</v>
      </c>
      <c r="K290" s="13">
        <v>0.54</v>
      </c>
      <c r="L290" s="11">
        <v>9.4</v>
      </c>
      <c r="M290" s="10">
        <v>6</v>
      </c>
    </row>
    <row r="291" spans="1:13" x14ac:dyDescent="0.3">
      <c r="A291" s="10">
        <v>290</v>
      </c>
      <c r="B291" s="11">
        <v>8.4</v>
      </c>
      <c r="C291" s="12">
        <v>0.56000000000000005</v>
      </c>
      <c r="D291" s="13">
        <v>0.08</v>
      </c>
      <c r="E291" s="11">
        <v>2.1</v>
      </c>
      <c r="F291" s="12">
        <v>0.105</v>
      </c>
      <c r="G291" s="11">
        <v>16</v>
      </c>
      <c r="H291" s="11">
        <v>44</v>
      </c>
      <c r="I291" s="14">
        <v>0.99580000000000002</v>
      </c>
      <c r="J291" s="13">
        <v>3.13</v>
      </c>
      <c r="K291" s="13">
        <v>0.52</v>
      </c>
      <c r="L291" s="11">
        <v>11</v>
      </c>
      <c r="M291" s="10">
        <v>5</v>
      </c>
    </row>
    <row r="292" spans="1:13" x14ac:dyDescent="0.3">
      <c r="A292" s="10">
        <v>291</v>
      </c>
      <c r="B292" s="11">
        <v>7.9</v>
      </c>
      <c r="C292" s="12">
        <v>0.65</v>
      </c>
      <c r="D292" s="13">
        <v>0.01</v>
      </c>
      <c r="E292" s="11">
        <v>2.5</v>
      </c>
      <c r="F292" s="12">
        <v>7.8E-2</v>
      </c>
      <c r="G292" s="11">
        <v>17</v>
      </c>
      <c r="H292" s="11">
        <v>38</v>
      </c>
      <c r="I292" s="14">
        <v>0.99629999999999996</v>
      </c>
      <c r="J292" s="13">
        <v>3.34</v>
      </c>
      <c r="K292" s="13">
        <v>0.74</v>
      </c>
      <c r="L292" s="11">
        <v>11.7</v>
      </c>
      <c r="M292" s="10">
        <v>7</v>
      </c>
    </row>
    <row r="293" spans="1:13" x14ac:dyDescent="0.3">
      <c r="A293" s="10">
        <v>292</v>
      </c>
      <c r="B293" s="11">
        <v>11.9</v>
      </c>
      <c r="C293" s="12">
        <v>0.69499999999999995</v>
      </c>
      <c r="D293" s="13">
        <v>0.53</v>
      </c>
      <c r="E293" s="11">
        <v>3.4</v>
      </c>
      <c r="F293" s="12">
        <v>0.128</v>
      </c>
      <c r="G293" s="11">
        <v>7</v>
      </c>
      <c r="H293" s="11">
        <v>21</v>
      </c>
      <c r="I293" s="14">
        <v>0.99919999999999998</v>
      </c>
      <c r="J293" s="13">
        <v>3.17</v>
      </c>
      <c r="K293" s="13">
        <v>0.84</v>
      </c>
      <c r="L293" s="11">
        <v>12.2</v>
      </c>
      <c r="M293" s="10">
        <v>7</v>
      </c>
    </row>
    <row r="294" spans="1:13" x14ac:dyDescent="0.3">
      <c r="A294" s="10">
        <v>293</v>
      </c>
      <c r="B294" s="11">
        <v>8.9</v>
      </c>
      <c r="C294" s="12">
        <v>0.43</v>
      </c>
      <c r="D294" s="13">
        <v>0.45</v>
      </c>
      <c r="E294" s="11">
        <v>1.9</v>
      </c>
      <c r="F294" s="12">
        <v>5.1999999999999998E-2</v>
      </c>
      <c r="G294" s="11">
        <v>6</v>
      </c>
      <c r="H294" s="11">
        <v>16</v>
      </c>
      <c r="I294" s="14">
        <v>0.99480000000000002</v>
      </c>
      <c r="J294" s="13">
        <v>3.35</v>
      </c>
      <c r="K294" s="13">
        <v>0.7</v>
      </c>
      <c r="L294" s="11">
        <v>12.5</v>
      </c>
      <c r="M294" s="10">
        <v>6</v>
      </c>
    </row>
    <row r="295" spans="1:13" x14ac:dyDescent="0.3">
      <c r="A295" s="10">
        <v>294</v>
      </c>
      <c r="B295" s="11">
        <v>7.8</v>
      </c>
      <c r="C295" s="12">
        <v>0.43</v>
      </c>
      <c r="D295" s="13">
        <v>0.32</v>
      </c>
      <c r="E295" s="11">
        <v>2.8</v>
      </c>
      <c r="F295" s="12">
        <v>0.08</v>
      </c>
      <c r="G295" s="11">
        <v>29</v>
      </c>
      <c r="H295" s="11">
        <v>58</v>
      </c>
      <c r="I295" s="14">
        <v>0.99739999999999995</v>
      </c>
      <c r="J295" s="13">
        <v>3.31</v>
      </c>
      <c r="K295" s="13">
        <v>0.64</v>
      </c>
      <c r="L295" s="11">
        <v>10.3</v>
      </c>
      <c r="M295" s="10">
        <v>5</v>
      </c>
    </row>
    <row r="296" spans="1:13" x14ac:dyDescent="0.3">
      <c r="A296" s="10">
        <v>295</v>
      </c>
      <c r="B296" s="11">
        <v>12.4</v>
      </c>
      <c r="C296" s="12">
        <v>0.49</v>
      </c>
      <c r="D296" s="13">
        <v>0.57999999999999996</v>
      </c>
      <c r="E296" s="11">
        <v>3</v>
      </c>
      <c r="F296" s="12">
        <v>0.10299999999999999</v>
      </c>
      <c r="G296" s="11">
        <v>28</v>
      </c>
      <c r="H296" s="11">
        <v>99</v>
      </c>
      <c r="I296" s="14">
        <v>1.0007999999999999</v>
      </c>
      <c r="J296" s="13">
        <v>3.16</v>
      </c>
      <c r="K296" s="13">
        <v>1</v>
      </c>
      <c r="L296" s="11">
        <v>11.5</v>
      </c>
      <c r="M296" s="10">
        <v>6</v>
      </c>
    </row>
    <row r="297" spans="1:13" x14ac:dyDescent="0.3">
      <c r="A297" s="10">
        <v>296</v>
      </c>
      <c r="B297" s="11">
        <v>12.5</v>
      </c>
      <c r="C297" s="12">
        <v>0.28000000000000003</v>
      </c>
      <c r="D297" s="13">
        <v>0.54</v>
      </c>
      <c r="E297" s="11">
        <v>2.2999999999999998</v>
      </c>
      <c r="F297" s="12">
        <v>8.2000000000000003E-2</v>
      </c>
      <c r="G297" s="11">
        <v>12</v>
      </c>
      <c r="H297" s="11">
        <v>29</v>
      </c>
      <c r="I297" s="14">
        <v>0.99970000000000003</v>
      </c>
      <c r="J297" s="13">
        <v>3.11</v>
      </c>
      <c r="K297" s="13">
        <v>1.36</v>
      </c>
      <c r="L297" s="11">
        <v>9.8000000000000007</v>
      </c>
      <c r="M297" s="10">
        <v>7</v>
      </c>
    </row>
    <row r="298" spans="1:13" x14ac:dyDescent="0.3">
      <c r="A298" s="10">
        <v>297</v>
      </c>
      <c r="B298" s="11">
        <v>12.2</v>
      </c>
      <c r="C298" s="12">
        <v>0.34</v>
      </c>
      <c r="D298" s="13">
        <v>0.5</v>
      </c>
      <c r="E298" s="11">
        <v>2.4</v>
      </c>
      <c r="F298" s="12">
        <v>6.6000000000000003E-2</v>
      </c>
      <c r="G298" s="11">
        <v>10</v>
      </c>
      <c r="H298" s="11">
        <v>21</v>
      </c>
      <c r="I298" s="14">
        <v>1</v>
      </c>
      <c r="J298" s="13">
        <v>3.12</v>
      </c>
      <c r="K298" s="13">
        <v>1.18</v>
      </c>
      <c r="L298" s="11">
        <v>9.1999999999999993</v>
      </c>
      <c r="M298" s="10">
        <v>6</v>
      </c>
    </row>
    <row r="299" spans="1:13" x14ac:dyDescent="0.3">
      <c r="A299" s="10">
        <v>298</v>
      </c>
      <c r="B299" s="11">
        <v>10.6</v>
      </c>
      <c r="C299" s="12">
        <v>0.42</v>
      </c>
      <c r="D299" s="13">
        <v>0.48</v>
      </c>
      <c r="E299" s="11">
        <v>2.7</v>
      </c>
      <c r="F299" s="12">
        <v>6.5000000000000002E-2</v>
      </c>
      <c r="G299" s="11">
        <v>5</v>
      </c>
      <c r="H299" s="11">
        <v>18</v>
      </c>
      <c r="I299" s="14">
        <v>0.99719999999999998</v>
      </c>
      <c r="J299" s="13">
        <v>3.21</v>
      </c>
      <c r="K299" s="13">
        <v>0.87</v>
      </c>
      <c r="L299" s="11">
        <v>11.3</v>
      </c>
      <c r="M299" s="10">
        <v>6</v>
      </c>
    </row>
    <row r="300" spans="1:13" x14ac:dyDescent="0.3">
      <c r="A300" s="10">
        <v>299</v>
      </c>
      <c r="B300" s="11">
        <v>10.9</v>
      </c>
      <c r="C300" s="12">
        <v>0.39</v>
      </c>
      <c r="D300" s="13">
        <v>0.47</v>
      </c>
      <c r="E300" s="11">
        <v>1.8</v>
      </c>
      <c r="F300" s="12">
        <v>0.11799999999999999</v>
      </c>
      <c r="G300" s="11">
        <v>6</v>
      </c>
      <c r="H300" s="11">
        <v>14</v>
      </c>
      <c r="I300" s="14">
        <v>0.99819999999999998</v>
      </c>
      <c r="J300" s="13">
        <v>3.3</v>
      </c>
      <c r="K300" s="13">
        <v>0.75</v>
      </c>
      <c r="L300" s="11">
        <v>9.8000000000000007</v>
      </c>
      <c r="M300" s="10">
        <v>6</v>
      </c>
    </row>
    <row r="301" spans="1:13" x14ac:dyDescent="0.3">
      <c r="A301" s="10">
        <v>300</v>
      </c>
      <c r="B301" s="11">
        <v>11.9</v>
      </c>
      <c r="C301" s="12">
        <v>0.56999999999999995</v>
      </c>
      <c r="D301" s="13">
        <v>0.5</v>
      </c>
      <c r="E301" s="11">
        <v>2.6</v>
      </c>
      <c r="F301" s="12">
        <v>8.2000000000000003E-2</v>
      </c>
      <c r="G301" s="11">
        <v>6</v>
      </c>
      <c r="H301" s="11">
        <v>32</v>
      </c>
      <c r="I301" s="14">
        <v>1.0005999999999999</v>
      </c>
      <c r="J301" s="13">
        <v>3.12</v>
      </c>
      <c r="K301" s="13">
        <v>0.78</v>
      </c>
      <c r="L301" s="11">
        <v>10.7</v>
      </c>
      <c r="M301" s="10">
        <v>6</v>
      </c>
    </row>
    <row r="302" spans="1:13" x14ac:dyDescent="0.3">
      <c r="A302" s="10">
        <v>301</v>
      </c>
      <c r="B302" s="11">
        <v>7</v>
      </c>
      <c r="C302" s="12">
        <v>0.68500000000000005</v>
      </c>
      <c r="D302" s="13">
        <v>0</v>
      </c>
      <c r="E302" s="11">
        <v>1.9</v>
      </c>
      <c r="F302" s="12">
        <v>6.7000000000000004E-2</v>
      </c>
      <c r="G302" s="11">
        <v>40</v>
      </c>
      <c r="H302" s="11">
        <v>63</v>
      </c>
      <c r="I302" s="14">
        <v>0.99790000000000001</v>
      </c>
      <c r="J302" s="13">
        <v>3.6</v>
      </c>
      <c r="K302" s="13">
        <v>0.81</v>
      </c>
      <c r="L302" s="11">
        <v>9.9</v>
      </c>
      <c r="M302" s="10">
        <v>5</v>
      </c>
    </row>
    <row r="303" spans="1:13" x14ac:dyDescent="0.3">
      <c r="A303" s="10">
        <v>302</v>
      </c>
      <c r="B303" s="11">
        <v>6.6</v>
      </c>
      <c r="C303" s="12">
        <v>0.81499999999999995</v>
      </c>
      <c r="D303" s="13">
        <v>0.02</v>
      </c>
      <c r="E303" s="11">
        <v>2.7</v>
      </c>
      <c r="F303" s="12">
        <v>7.1999999999999995E-2</v>
      </c>
      <c r="G303" s="11">
        <v>17</v>
      </c>
      <c r="H303" s="11">
        <v>34</v>
      </c>
      <c r="I303" s="14">
        <v>0.99550000000000005</v>
      </c>
      <c r="J303" s="13">
        <v>3.58</v>
      </c>
      <c r="K303" s="13">
        <v>0.89</v>
      </c>
      <c r="L303" s="11">
        <v>12.3</v>
      </c>
      <c r="M303" s="10">
        <v>7</v>
      </c>
    </row>
    <row r="304" spans="1:13" x14ac:dyDescent="0.3">
      <c r="A304" s="10">
        <v>303</v>
      </c>
      <c r="B304" s="11">
        <v>13.8</v>
      </c>
      <c r="C304" s="12">
        <v>0.49</v>
      </c>
      <c r="D304" s="13">
        <v>0.67</v>
      </c>
      <c r="E304" s="11">
        <v>3</v>
      </c>
      <c r="F304" s="12">
        <v>9.2999999999999999E-2</v>
      </c>
      <c r="G304" s="11">
        <v>6</v>
      </c>
      <c r="H304" s="11">
        <v>15</v>
      </c>
      <c r="I304" s="14">
        <v>0.99860000000000004</v>
      </c>
      <c r="J304" s="13">
        <v>3.02</v>
      </c>
      <c r="K304" s="13">
        <v>0.93</v>
      </c>
      <c r="L304" s="11">
        <v>12</v>
      </c>
      <c r="M304" s="10">
        <v>6</v>
      </c>
    </row>
    <row r="305" spans="1:13" x14ac:dyDescent="0.3">
      <c r="A305" s="10">
        <v>304</v>
      </c>
      <c r="B305" s="11">
        <v>9.6</v>
      </c>
      <c r="C305" s="12">
        <v>0.56000000000000005</v>
      </c>
      <c r="D305" s="13">
        <v>0.31</v>
      </c>
      <c r="E305" s="11">
        <v>2.8</v>
      </c>
      <c r="F305" s="12">
        <v>8.8999999999999996E-2</v>
      </c>
      <c r="G305" s="11">
        <v>15</v>
      </c>
      <c r="H305" s="11">
        <v>46</v>
      </c>
      <c r="I305" s="14">
        <v>0.99790000000000001</v>
      </c>
      <c r="J305" s="13">
        <v>3.11</v>
      </c>
      <c r="K305" s="13">
        <v>0.92</v>
      </c>
      <c r="L305" s="11">
        <v>10</v>
      </c>
      <c r="M305" s="10">
        <v>6</v>
      </c>
    </row>
    <row r="306" spans="1:13" x14ac:dyDescent="0.3">
      <c r="A306" s="10">
        <v>305</v>
      </c>
      <c r="B306" s="11">
        <v>9.1</v>
      </c>
      <c r="C306" s="12">
        <v>0.78500000000000003</v>
      </c>
      <c r="D306" s="13">
        <v>0</v>
      </c>
      <c r="E306" s="11">
        <v>2.6</v>
      </c>
      <c r="F306" s="12">
        <v>9.2999999999999999E-2</v>
      </c>
      <c r="G306" s="11">
        <v>11</v>
      </c>
      <c r="H306" s="11">
        <v>28</v>
      </c>
      <c r="I306" s="14">
        <v>0.99939999999999996</v>
      </c>
      <c r="J306" s="13">
        <v>3.36</v>
      </c>
      <c r="K306" s="13">
        <v>0.86</v>
      </c>
      <c r="L306" s="11">
        <v>9.4</v>
      </c>
      <c r="M306" s="10">
        <v>6</v>
      </c>
    </row>
    <row r="307" spans="1:13" x14ac:dyDescent="0.3">
      <c r="A307" s="10">
        <v>306</v>
      </c>
      <c r="B307" s="11">
        <v>10.7</v>
      </c>
      <c r="C307" s="12">
        <v>0.67</v>
      </c>
      <c r="D307" s="13">
        <v>0.22</v>
      </c>
      <c r="E307" s="11">
        <v>2.7</v>
      </c>
      <c r="F307" s="12">
        <v>0.107</v>
      </c>
      <c r="G307" s="11">
        <v>17</v>
      </c>
      <c r="H307" s="11">
        <v>34</v>
      </c>
      <c r="I307" s="14">
        <v>1.0004</v>
      </c>
      <c r="J307" s="13">
        <v>3.28</v>
      </c>
      <c r="K307" s="13">
        <v>0.98</v>
      </c>
      <c r="L307" s="11">
        <v>9.9</v>
      </c>
      <c r="M307" s="10">
        <v>6</v>
      </c>
    </row>
    <row r="308" spans="1:13" x14ac:dyDescent="0.3">
      <c r="A308" s="10">
        <v>307</v>
      </c>
      <c r="B308" s="11">
        <v>9.1</v>
      </c>
      <c r="C308" s="12">
        <v>0.79500000000000004</v>
      </c>
      <c r="D308" s="13">
        <v>0</v>
      </c>
      <c r="E308" s="11">
        <v>2.6</v>
      </c>
      <c r="F308" s="12">
        <v>9.6000000000000002E-2</v>
      </c>
      <c r="G308" s="11">
        <v>11</v>
      </c>
      <c r="H308" s="11">
        <v>26</v>
      </c>
      <c r="I308" s="14">
        <v>0.99939999999999996</v>
      </c>
      <c r="J308" s="13">
        <v>3.35</v>
      </c>
      <c r="K308" s="13">
        <v>0.83</v>
      </c>
      <c r="L308" s="11">
        <v>9.4</v>
      </c>
      <c r="M308" s="10">
        <v>6</v>
      </c>
    </row>
    <row r="309" spans="1:13" x14ac:dyDescent="0.3">
      <c r="A309" s="10">
        <v>308</v>
      </c>
      <c r="B309" s="11">
        <v>7.7</v>
      </c>
      <c r="C309" s="12">
        <v>0.66500000000000004</v>
      </c>
      <c r="D309" s="13">
        <v>0</v>
      </c>
      <c r="E309" s="11">
        <v>2.4</v>
      </c>
      <c r="F309" s="12">
        <v>0.09</v>
      </c>
      <c r="G309" s="11">
        <v>8</v>
      </c>
      <c r="H309" s="11">
        <v>19</v>
      </c>
      <c r="I309" s="14">
        <v>0.99739999999999995</v>
      </c>
      <c r="J309" s="13">
        <v>3.27</v>
      </c>
      <c r="K309" s="13">
        <v>0.73</v>
      </c>
      <c r="L309" s="11">
        <v>9.3000000000000007</v>
      </c>
      <c r="M309" s="10">
        <v>5</v>
      </c>
    </row>
    <row r="310" spans="1:13" x14ac:dyDescent="0.3">
      <c r="A310" s="10">
        <v>309</v>
      </c>
      <c r="B310" s="11">
        <v>13.5</v>
      </c>
      <c r="C310" s="12">
        <v>0.53</v>
      </c>
      <c r="D310" s="13">
        <v>0.79</v>
      </c>
      <c r="E310" s="11">
        <v>4.8</v>
      </c>
      <c r="F310" s="12">
        <v>0.12</v>
      </c>
      <c r="G310" s="11">
        <v>23</v>
      </c>
      <c r="H310" s="11">
        <v>77</v>
      </c>
      <c r="I310" s="14">
        <v>1.0018</v>
      </c>
      <c r="J310" s="13">
        <v>3.18</v>
      </c>
      <c r="K310" s="13">
        <v>0.77</v>
      </c>
      <c r="L310" s="11">
        <v>13</v>
      </c>
      <c r="M310" s="10">
        <v>5</v>
      </c>
    </row>
    <row r="311" spans="1:13" x14ac:dyDescent="0.3">
      <c r="A311" s="10">
        <v>310</v>
      </c>
      <c r="B311" s="11">
        <v>6.1</v>
      </c>
      <c r="C311" s="12">
        <v>0.21</v>
      </c>
      <c r="D311" s="13">
        <v>0.4</v>
      </c>
      <c r="E311" s="11">
        <v>1.4</v>
      </c>
      <c r="F311" s="12">
        <v>6.6000000000000003E-2</v>
      </c>
      <c r="G311" s="11">
        <v>40.5</v>
      </c>
      <c r="H311" s="11">
        <v>165</v>
      </c>
      <c r="I311" s="14">
        <v>0.99119999999999997</v>
      </c>
      <c r="J311" s="13">
        <v>3.25</v>
      </c>
      <c r="K311" s="13">
        <v>0.59</v>
      </c>
      <c r="L311" s="11">
        <v>11.9</v>
      </c>
      <c r="M311" s="10">
        <v>6</v>
      </c>
    </row>
    <row r="312" spans="1:13" x14ac:dyDescent="0.3">
      <c r="A312" s="10">
        <v>311</v>
      </c>
      <c r="B312" s="11">
        <v>6.7</v>
      </c>
      <c r="C312" s="12">
        <v>0.75</v>
      </c>
      <c r="D312" s="13">
        <v>0.01</v>
      </c>
      <c r="E312" s="11">
        <v>2.4</v>
      </c>
      <c r="F312" s="12">
        <v>7.8E-2</v>
      </c>
      <c r="G312" s="11">
        <v>17</v>
      </c>
      <c r="H312" s="11">
        <v>32</v>
      </c>
      <c r="I312" s="14">
        <v>0.99550000000000005</v>
      </c>
      <c r="J312" s="13">
        <v>3.55</v>
      </c>
      <c r="K312" s="13">
        <v>0.61</v>
      </c>
      <c r="L312" s="11">
        <v>12.8</v>
      </c>
      <c r="M312" s="10">
        <v>6</v>
      </c>
    </row>
    <row r="313" spans="1:13" x14ac:dyDescent="0.3">
      <c r="A313" s="10">
        <v>312</v>
      </c>
      <c r="B313" s="11">
        <v>11.5</v>
      </c>
      <c r="C313" s="12">
        <v>0.41</v>
      </c>
      <c r="D313" s="13">
        <v>0.52</v>
      </c>
      <c r="E313" s="11">
        <v>3</v>
      </c>
      <c r="F313" s="12">
        <v>0.08</v>
      </c>
      <c r="G313" s="11">
        <v>29</v>
      </c>
      <c r="H313" s="11">
        <v>55</v>
      </c>
      <c r="I313" s="14">
        <v>1.0001</v>
      </c>
      <c r="J313" s="13">
        <v>3.26</v>
      </c>
      <c r="K313" s="13">
        <v>0.88</v>
      </c>
      <c r="L313" s="11">
        <v>11</v>
      </c>
      <c r="M313" s="10">
        <v>5</v>
      </c>
    </row>
    <row r="314" spans="1:13" x14ac:dyDescent="0.3">
      <c r="A314" s="10">
        <v>313</v>
      </c>
      <c r="B314" s="11">
        <v>10.5</v>
      </c>
      <c r="C314" s="12">
        <v>0.42</v>
      </c>
      <c r="D314" s="13">
        <v>0.66</v>
      </c>
      <c r="E314" s="11">
        <v>2.95</v>
      </c>
      <c r="F314" s="12">
        <v>0.11600000000000001</v>
      </c>
      <c r="G314" s="11">
        <v>12</v>
      </c>
      <c r="H314" s="11">
        <v>29</v>
      </c>
      <c r="I314" s="14">
        <v>0.997</v>
      </c>
      <c r="J314" s="13">
        <v>3.24</v>
      </c>
      <c r="K314" s="13">
        <v>0.75</v>
      </c>
      <c r="L314" s="11">
        <v>11.7</v>
      </c>
      <c r="M314" s="10">
        <v>7</v>
      </c>
    </row>
    <row r="315" spans="1:13" x14ac:dyDescent="0.3">
      <c r="A315" s="10">
        <v>314</v>
      </c>
      <c r="B315" s="11">
        <v>11.9</v>
      </c>
      <c r="C315" s="12">
        <v>0.43</v>
      </c>
      <c r="D315" s="13">
        <v>0.66</v>
      </c>
      <c r="E315" s="11">
        <v>3.1</v>
      </c>
      <c r="F315" s="12">
        <v>0.109</v>
      </c>
      <c r="G315" s="11">
        <v>10</v>
      </c>
      <c r="H315" s="11">
        <v>23</v>
      </c>
      <c r="I315" s="14">
        <v>1</v>
      </c>
      <c r="J315" s="13">
        <v>3.15</v>
      </c>
      <c r="K315" s="13">
        <v>0.85</v>
      </c>
      <c r="L315" s="11">
        <v>10.4</v>
      </c>
      <c r="M315" s="10">
        <v>7</v>
      </c>
    </row>
    <row r="316" spans="1:13" x14ac:dyDescent="0.3">
      <c r="A316" s="10">
        <v>315</v>
      </c>
      <c r="B316" s="11">
        <v>12.6</v>
      </c>
      <c r="C316" s="12">
        <v>0.38</v>
      </c>
      <c r="D316" s="13">
        <v>0.66</v>
      </c>
      <c r="E316" s="11">
        <v>2.6</v>
      </c>
      <c r="F316" s="12">
        <v>8.7999999999999995E-2</v>
      </c>
      <c r="G316" s="11">
        <v>10</v>
      </c>
      <c r="H316" s="11">
        <v>41</v>
      </c>
      <c r="I316" s="14">
        <v>1.0009999999999999</v>
      </c>
      <c r="J316" s="13">
        <v>3.17</v>
      </c>
      <c r="K316" s="13">
        <v>0.68</v>
      </c>
      <c r="L316" s="11">
        <v>9.8000000000000007</v>
      </c>
      <c r="M316" s="10">
        <v>6</v>
      </c>
    </row>
    <row r="317" spans="1:13" x14ac:dyDescent="0.3">
      <c r="A317" s="10">
        <v>316</v>
      </c>
      <c r="B317" s="11">
        <v>8.1999999999999993</v>
      </c>
      <c r="C317" s="12">
        <v>0.7</v>
      </c>
      <c r="D317" s="13">
        <v>0.23</v>
      </c>
      <c r="E317" s="11">
        <v>2</v>
      </c>
      <c r="F317" s="12">
        <v>9.9000000000000005E-2</v>
      </c>
      <c r="G317" s="11">
        <v>14</v>
      </c>
      <c r="H317" s="11">
        <v>81</v>
      </c>
      <c r="I317" s="14">
        <v>0.99729999999999996</v>
      </c>
      <c r="J317" s="13">
        <v>3.19</v>
      </c>
      <c r="K317" s="13">
        <v>0.7</v>
      </c>
      <c r="L317" s="11">
        <v>9.4</v>
      </c>
      <c r="M317" s="10">
        <v>5</v>
      </c>
    </row>
    <row r="318" spans="1:13" x14ac:dyDescent="0.3">
      <c r="A318" s="10">
        <v>317</v>
      </c>
      <c r="B318" s="11">
        <v>8.6</v>
      </c>
      <c r="C318" s="12">
        <v>0.45</v>
      </c>
      <c r="D318" s="13">
        <v>0.31</v>
      </c>
      <c r="E318" s="11">
        <v>2.6</v>
      </c>
      <c r="F318" s="12">
        <v>8.5999999999999993E-2</v>
      </c>
      <c r="G318" s="11">
        <v>21</v>
      </c>
      <c r="H318" s="11">
        <v>50</v>
      </c>
      <c r="I318" s="14">
        <v>0.99819999999999998</v>
      </c>
      <c r="J318" s="13">
        <v>3.37</v>
      </c>
      <c r="K318" s="13">
        <v>0.91</v>
      </c>
      <c r="L318" s="11">
        <v>9.9</v>
      </c>
      <c r="M318" s="10">
        <v>6</v>
      </c>
    </row>
    <row r="319" spans="1:13" x14ac:dyDescent="0.3">
      <c r="A319" s="10">
        <v>318</v>
      </c>
      <c r="B319" s="11">
        <v>11.9</v>
      </c>
      <c r="C319" s="12">
        <v>0.57999999999999996</v>
      </c>
      <c r="D319" s="13">
        <v>0.66</v>
      </c>
      <c r="E319" s="11">
        <v>2.5</v>
      </c>
      <c r="F319" s="12">
        <v>7.1999999999999995E-2</v>
      </c>
      <c r="G319" s="11">
        <v>6</v>
      </c>
      <c r="H319" s="11">
        <v>37</v>
      </c>
      <c r="I319" s="14">
        <v>0.99919999999999998</v>
      </c>
      <c r="J319" s="13">
        <v>3.05</v>
      </c>
      <c r="K319" s="13">
        <v>0.56000000000000005</v>
      </c>
      <c r="L319" s="11">
        <v>10</v>
      </c>
      <c r="M319" s="10">
        <v>5</v>
      </c>
    </row>
    <row r="320" spans="1:13" x14ac:dyDescent="0.3">
      <c r="A320" s="10">
        <v>319</v>
      </c>
      <c r="B320" s="11">
        <v>12.5</v>
      </c>
      <c r="C320" s="12">
        <v>0.46</v>
      </c>
      <c r="D320" s="13">
        <v>0.63</v>
      </c>
      <c r="E320" s="11">
        <v>2</v>
      </c>
      <c r="F320" s="12">
        <v>7.0999999999999994E-2</v>
      </c>
      <c r="G320" s="11">
        <v>6</v>
      </c>
      <c r="H320" s="11">
        <v>15</v>
      </c>
      <c r="I320" s="14">
        <v>0.99880000000000002</v>
      </c>
      <c r="J320" s="13">
        <v>2.99</v>
      </c>
      <c r="K320" s="13">
        <v>0.87</v>
      </c>
      <c r="L320" s="11">
        <v>10.199999999999999</v>
      </c>
      <c r="M320" s="10">
        <v>5</v>
      </c>
    </row>
    <row r="321" spans="1:13" x14ac:dyDescent="0.3">
      <c r="A321" s="10">
        <v>320</v>
      </c>
      <c r="B321" s="11">
        <v>12.8</v>
      </c>
      <c r="C321" s="12">
        <v>0.61499999999999999</v>
      </c>
      <c r="D321" s="13">
        <v>0.66</v>
      </c>
      <c r="E321" s="11">
        <v>5.8</v>
      </c>
      <c r="F321" s="12">
        <v>8.3000000000000004E-2</v>
      </c>
      <c r="G321" s="11">
        <v>7</v>
      </c>
      <c r="H321" s="11">
        <v>42</v>
      </c>
      <c r="I321" s="14">
        <v>1.0022</v>
      </c>
      <c r="J321" s="13">
        <v>3.07</v>
      </c>
      <c r="K321" s="13">
        <v>0.73</v>
      </c>
      <c r="L321" s="11">
        <v>10</v>
      </c>
      <c r="M321" s="10">
        <v>7</v>
      </c>
    </row>
    <row r="322" spans="1:13" x14ac:dyDescent="0.3">
      <c r="A322" s="10">
        <v>321</v>
      </c>
      <c r="B322" s="11">
        <v>10</v>
      </c>
      <c r="C322" s="12">
        <v>0.42</v>
      </c>
      <c r="D322" s="13">
        <v>0.5</v>
      </c>
      <c r="E322" s="11">
        <v>3.4</v>
      </c>
      <c r="F322" s="12">
        <v>0.107</v>
      </c>
      <c r="G322" s="11">
        <v>7</v>
      </c>
      <c r="H322" s="11">
        <v>21</v>
      </c>
      <c r="I322" s="14">
        <v>0.99790000000000001</v>
      </c>
      <c r="J322" s="13">
        <v>3.26</v>
      </c>
      <c r="K322" s="13">
        <v>0.93</v>
      </c>
      <c r="L322" s="11">
        <v>11.8</v>
      </c>
      <c r="M322" s="10">
        <v>6</v>
      </c>
    </row>
    <row r="323" spans="1:13" x14ac:dyDescent="0.3">
      <c r="A323" s="10">
        <v>322</v>
      </c>
      <c r="B323" s="11">
        <v>10.4</v>
      </c>
      <c r="C323" s="12">
        <v>0.57499999999999996</v>
      </c>
      <c r="D323" s="13">
        <v>0.61</v>
      </c>
      <c r="E323" s="11">
        <v>2.6</v>
      </c>
      <c r="F323" s="12">
        <v>7.5999999999999998E-2</v>
      </c>
      <c r="G323" s="11">
        <v>11</v>
      </c>
      <c r="H323" s="11">
        <v>24</v>
      </c>
      <c r="I323" s="14">
        <v>1</v>
      </c>
      <c r="J323" s="13">
        <v>3.16</v>
      </c>
      <c r="K323" s="13">
        <v>0.69</v>
      </c>
      <c r="L323" s="11">
        <v>9</v>
      </c>
      <c r="M323" s="10">
        <v>5</v>
      </c>
    </row>
    <row r="324" spans="1:13" x14ac:dyDescent="0.3">
      <c r="A324" s="10">
        <v>323</v>
      </c>
      <c r="B324" s="11">
        <v>10.3</v>
      </c>
      <c r="C324" s="12">
        <v>0.34</v>
      </c>
      <c r="D324" s="13">
        <v>0.52</v>
      </c>
      <c r="E324" s="11">
        <v>2.8</v>
      </c>
      <c r="F324" s="12">
        <v>0.159</v>
      </c>
      <c r="G324" s="11">
        <v>15</v>
      </c>
      <c r="H324" s="11">
        <v>75</v>
      </c>
      <c r="I324" s="14">
        <v>0.99980000000000002</v>
      </c>
      <c r="J324" s="13">
        <v>3.18</v>
      </c>
      <c r="K324" s="13">
        <v>0.64</v>
      </c>
      <c r="L324" s="11">
        <v>9.4</v>
      </c>
      <c r="M324" s="10">
        <v>5</v>
      </c>
    </row>
    <row r="325" spans="1:13" x14ac:dyDescent="0.3">
      <c r="A325" s="10">
        <v>324</v>
      </c>
      <c r="B325" s="11">
        <v>9.4</v>
      </c>
      <c r="C325" s="12">
        <v>0.27</v>
      </c>
      <c r="D325" s="13">
        <v>0.53</v>
      </c>
      <c r="E325" s="11">
        <v>2.4</v>
      </c>
      <c r="F325" s="12">
        <v>7.3999999999999996E-2</v>
      </c>
      <c r="G325" s="11">
        <v>6</v>
      </c>
      <c r="H325" s="11">
        <v>18</v>
      </c>
      <c r="I325" s="14">
        <v>0.99619999999999997</v>
      </c>
      <c r="J325" s="13">
        <v>3.2</v>
      </c>
      <c r="K325" s="13">
        <v>1.1299999999999999</v>
      </c>
      <c r="L325" s="11">
        <v>12</v>
      </c>
      <c r="M325" s="10">
        <v>7</v>
      </c>
    </row>
    <row r="326" spans="1:13" x14ac:dyDescent="0.3">
      <c r="A326" s="10">
        <v>325</v>
      </c>
      <c r="B326" s="11">
        <v>6.9</v>
      </c>
      <c r="C326" s="12">
        <v>0.76500000000000001</v>
      </c>
      <c r="D326" s="13">
        <v>0.02</v>
      </c>
      <c r="E326" s="11">
        <v>2.2999999999999998</v>
      </c>
      <c r="F326" s="12">
        <v>6.3E-2</v>
      </c>
      <c r="G326" s="11">
        <v>35</v>
      </c>
      <c r="H326" s="11">
        <v>63</v>
      </c>
      <c r="I326" s="14">
        <v>0.99750000000000005</v>
      </c>
      <c r="J326" s="13">
        <v>3.57</v>
      </c>
      <c r="K326" s="13">
        <v>0.78</v>
      </c>
      <c r="L326" s="11">
        <v>9.9</v>
      </c>
      <c r="M326" s="10">
        <v>5</v>
      </c>
    </row>
    <row r="327" spans="1:13" x14ac:dyDescent="0.3">
      <c r="A327" s="10">
        <v>326</v>
      </c>
      <c r="B327" s="11">
        <v>7.9</v>
      </c>
      <c r="C327" s="12">
        <v>0.24</v>
      </c>
      <c r="D327" s="13">
        <v>0.4</v>
      </c>
      <c r="E327" s="11">
        <v>1.6</v>
      </c>
      <c r="F327" s="12">
        <v>5.6000000000000001E-2</v>
      </c>
      <c r="G327" s="11">
        <v>11</v>
      </c>
      <c r="H327" s="11">
        <v>25</v>
      </c>
      <c r="I327" s="14">
        <v>0.99670000000000003</v>
      </c>
      <c r="J327" s="13">
        <v>3.32</v>
      </c>
      <c r="K327" s="13">
        <v>0.87</v>
      </c>
      <c r="L327" s="11">
        <v>8.6999999999999993</v>
      </c>
      <c r="M327" s="10">
        <v>6</v>
      </c>
    </row>
    <row r="328" spans="1:13" x14ac:dyDescent="0.3">
      <c r="A328" s="10">
        <v>327</v>
      </c>
      <c r="B328" s="11">
        <v>9.1</v>
      </c>
      <c r="C328" s="12">
        <v>0.28000000000000003</v>
      </c>
      <c r="D328" s="13">
        <v>0.48</v>
      </c>
      <c r="E328" s="11">
        <v>1.8</v>
      </c>
      <c r="F328" s="12">
        <v>6.7000000000000004E-2</v>
      </c>
      <c r="G328" s="11">
        <v>26</v>
      </c>
      <c r="H328" s="11">
        <v>46</v>
      </c>
      <c r="I328" s="14">
        <v>0.99670000000000003</v>
      </c>
      <c r="J328" s="13">
        <v>3.32</v>
      </c>
      <c r="K328" s="13">
        <v>1.04</v>
      </c>
      <c r="L328" s="11">
        <v>10.6</v>
      </c>
      <c r="M328" s="10">
        <v>6</v>
      </c>
    </row>
    <row r="329" spans="1:13" x14ac:dyDescent="0.3">
      <c r="A329" s="10">
        <v>328</v>
      </c>
      <c r="B329" s="11">
        <v>7.4</v>
      </c>
      <c r="C329" s="12">
        <v>0.55000000000000004</v>
      </c>
      <c r="D329" s="13">
        <v>0.22</v>
      </c>
      <c r="E329" s="11">
        <v>2.2000000000000002</v>
      </c>
      <c r="F329" s="12">
        <v>0.106</v>
      </c>
      <c r="G329" s="11">
        <v>12</v>
      </c>
      <c r="H329" s="11">
        <v>72</v>
      </c>
      <c r="I329" s="14">
        <v>0.99590000000000001</v>
      </c>
      <c r="J329" s="13">
        <v>3.05</v>
      </c>
      <c r="K329" s="13">
        <v>0.63</v>
      </c>
      <c r="L329" s="11">
        <v>9.1999999999999993</v>
      </c>
      <c r="M329" s="10">
        <v>5</v>
      </c>
    </row>
    <row r="330" spans="1:13" x14ac:dyDescent="0.3">
      <c r="A330" s="10">
        <v>329</v>
      </c>
      <c r="B330" s="11">
        <v>14</v>
      </c>
      <c r="C330" s="12">
        <v>0.41</v>
      </c>
      <c r="D330" s="13">
        <v>0.63</v>
      </c>
      <c r="E330" s="11">
        <v>3.8</v>
      </c>
      <c r="F330" s="12">
        <v>8.8999999999999996E-2</v>
      </c>
      <c r="G330" s="11">
        <v>6</v>
      </c>
      <c r="H330" s="11">
        <v>47</v>
      </c>
      <c r="I330" s="14">
        <v>1.0014000000000001</v>
      </c>
      <c r="J330" s="13">
        <v>3.01</v>
      </c>
      <c r="K330" s="13">
        <v>0.81</v>
      </c>
      <c r="L330" s="11">
        <v>10.8</v>
      </c>
      <c r="M330" s="10">
        <v>6</v>
      </c>
    </row>
    <row r="331" spans="1:13" x14ac:dyDescent="0.3">
      <c r="A331" s="10">
        <v>330</v>
      </c>
      <c r="B331" s="11">
        <v>11.5</v>
      </c>
      <c r="C331" s="12">
        <v>0.54</v>
      </c>
      <c r="D331" s="13">
        <v>0.71</v>
      </c>
      <c r="E331" s="11">
        <v>4.4000000000000004</v>
      </c>
      <c r="F331" s="12">
        <v>0.124</v>
      </c>
      <c r="G331" s="11">
        <v>6</v>
      </c>
      <c r="H331" s="11">
        <v>15</v>
      </c>
      <c r="I331" s="14">
        <v>0.99839999999999995</v>
      </c>
      <c r="J331" s="13">
        <v>3.01</v>
      </c>
      <c r="K331" s="13">
        <v>0.83</v>
      </c>
      <c r="L331" s="11">
        <v>11.8</v>
      </c>
      <c r="M331" s="10">
        <v>7</v>
      </c>
    </row>
    <row r="332" spans="1:13" x14ac:dyDescent="0.3">
      <c r="A332" s="10">
        <v>331</v>
      </c>
      <c r="B332" s="11">
        <v>11.5</v>
      </c>
      <c r="C332" s="12">
        <v>0.45</v>
      </c>
      <c r="D332" s="13">
        <v>0.5</v>
      </c>
      <c r="E332" s="11">
        <v>3</v>
      </c>
      <c r="F332" s="12">
        <v>7.8E-2</v>
      </c>
      <c r="G332" s="11">
        <v>19</v>
      </c>
      <c r="H332" s="11">
        <v>47</v>
      </c>
      <c r="I332" s="14">
        <v>1.0003</v>
      </c>
      <c r="J332" s="13">
        <v>3.26</v>
      </c>
      <c r="K332" s="13">
        <v>1.1100000000000001</v>
      </c>
      <c r="L332" s="11">
        <v>11</v>
      </c>
      <c r="M332" s="10">
        <v>6</v>
      </c>
    </row>
    <row r="333" spans="1:13" x14ac:dyDescent="0.3">
      <c r="A333" s="10">
        <v>332</v>
      </c>
      <c r="B333" s="11">
        <v>11.4</v>
      </c>
      <c r="C333" s="12">
        <v>0.625</v>
      </c>
      <c r="D333" s="13">
        <v>0.66</v>
      </c>
      <c r="E333" s="11">
        <v>6.2</v>
      </c>
      <c r="F333" s="12">
        <v>8.7999999999999995E-2</v>
      </c>
      <c r="G333" s="11">
        <v>6</v>
      </c>
      <c r="H333" s="11">
        <v>24</v>
      </c>
      <c r="I333" s="14">
        <v>0.99880000000000002</v>
      </c>
      <c r="J333" s="13">
        <v>3.11</v>
      </c>
      <c r="K333" s="13">
        <v>0.99</v>
      </c>
      <c r="L333" s="11">
        <v>13.3</v>
      </c>
      <c r="M333" s="10">
        <v>6</v>
      </c>
    </row>
    <row r="334" spans="1:13" x14ac:dyDescent="0.3">
      <c r="A334" s="10">
        <v>333</v>
      </c>
      <c r="B334" s="11">
        <v>8.3000000000000007</v>
      </c>
      <c r="C334" s="12">
        <v>0.42</v>
      </c>
      <c r="D334" s="13">
        <v>0.38</v>
      </c>
      <c r="E334" s="11">
        <v>2.5</v>
      </c>
      <c r="F334" s="12">
        <v>9.4E-2</v>
      </c>
      <c r="G334" s="11">
        <v>24</v>
      </c>
      <c r="H334" s="11">
        <v>60</v>
      </c>
      <c r="I334" s="14">
        <v>0.99790000000000001</v>
      </c>
      <c r="J334" s="13">
        <v>3.31</v>
      </c>
      <c r="K334" s="13">
        <v>0.7</v>
      </c>
      <c r="L334" s="11">
        <v>10.8</v>
      </c>
      <c r="M334" s="10">
        <v>6</v>
      </c>
    </row>
    <row r="335" spans="1:13" x14ac:dyDescent="0.3">
      <c r="A335" s="10">
        <v>334</v>
      </c>
      <c r="B335" s="11">
        <v>8.3000000000000007</v>
      </c>
      <c r="C335" s="12">
        <v>0.26</v>
      </c>
      <c r="D335" s="13">
        <v>0.42</v>
      </c>
      <c r="E335" s="11">
        <v>2</v>
      </c>
      <c r="F335" s="12">
        <v>0.08</v>
      </c>
      <c r="G335" s="11">
        <v>11</v>
      </c>
      <c r="H335" s="11">
        <v>27</v>
      </c>
      <c r="I335" s="14">
        <v>0.99739999999999995</v>
      </c>
      <c r="J335" s="13">
        <v>3.21</v>
      </c>
      <c r="K335" s="13">
        <v>0.8</v>
      </c>
      <c r="L335" s="11">
        <v>9.4</v>
      </c>
      <c r="M335" s="10">
        <v>6</v>
      </c>
    </row>
    <row r="336" spans="1:13" x14ac:dyDescent="0.3">
      <c r="A336" s="10">
        <v>335</v>
      </c>
      <c r="B336" s="11">
        <v>13.7</v>
      </c>
      <c r="C336" s="12">
        <v>0.41499999999999998</v>
      </c>
      <c r="D336" s="13">
        <v>0.68</v>
      </c>
      <c r="E336" s="11">
        <v>2.9</v>
      </c>
      <c r="F336" s="12">
        <v>8.5000000000000006E-2</v>
      </c>
      <c r="G336" s="11">
        <v>17</v>
      </c>
      <c r="H336" s="11">
        <v>43</v>
      </c>
      <c r="I336" s="14">
        <v>1.0014000000000001</v>
      </c>
      <c r="J336" s="13">
        <v>3.06</v>
      </c>
      <c r="K336" s="13">
        <v>0.8</v>
      </c>
      <c r="L336" s="11">
        <v>10</v>
      </c>
      <c r="M336" s="10">
        <v>6</v>
      </c>
    </row>
    <row r="337" spans="1:13" x14ac:dyDescent="0.3">
      <c r="A337" s="10">
        <v>336</v>
      </c>
      <c r="B337" s="11">
        <v>7.7</v>
      </c>
      <c r="C337" s="12">
        <v>0.51</v>
      </c>
      <c r="D337" s="13">
        <v>0.28000000000000003</v>
      </c>
      <c r="E337" s="11">
        <v>2.1</v>
      </c>
      <c r="F337" s="12">
        <v>8.6999999999999994E-2</v>
      </c>
      <c r="G337" s="11">
        <v>23</v>
      </c>
      <c r="H337" s="11">
        <v>54</v>
      </c>
      <c r="I337" s="14">
        <v>0.998</v>
      </c>
      <c r="J337" s="13">
        <v>3.42</v>
      </c>
      <c r="K337" s="13">
        <v>0.74</v>
      </c>
      <c r="L337" s="11">
        <v>9.1999999999999993</v>
      </c>
      <c r="M337" s="10">
        <v>5</v>
      </c>
    </row>
    <row r="338" spans="1:13" x14ac:dyDescent="0.3">
      <c r="A338" s="10">
        <v>337</v>
      </c>
      <c r="B338" s="11">
        <v>7.4</v>
      </c>
      <c r="C338" s="12">
        <v>0.63</v>
      </c>
      <c r="D338" s="13">
        <v>7.0000000000000007E-2</v>
      </c>
      <c r="E338" s="11">
        <v>2.4</v>
      </c>
      <c r="F338" s="12">
        <v>0.09</v>
      </c>
      <c r="G338" s="11">
        <v>11</v>
      </c>
      <c r="H338" s="11">
        <v>37</v>
      </c>
      <c r="I338" s="14">
        <v>0.99790000000000001</v>
      </c>
      <c r="J338" s="13">
        <v>3.43</v>
      </c>
      <c r="K338" s="13">
        <v>0.76</v>
      </c>
      <c r="L338" s="11">
        <v>9.6999999999999993</v>
      </c>
      <c r="M338" s="10">
        <v>6</v>
      </c>
    </row>
    <row r="339" spans="1:13" x14ac:dyDescent="0.3">
      <c r="A339" s="10">
        <v>338</v>
      </c>
      <c r="B339" s="11">
        <v>7.8</v>
      </c>
      <c r="C339" s="12">
        <v>0.54</v>
      </c>
      <c r="D339" s="13">
        <v>0.26</v>
      </c>
      <c r="E339" s="11">
        <v>2</v>
      </c>
      <c r="F339" s="12">
        <v>8.7999999999999995E-2</v>
      </c>
      <c r="G339" s="11">
        <v>23</v>
      </c>
      <c r="H339" s="11">
        <v>48</v>
      </c>
      <c r="I339" s="14">
        <v>0.99809999999999999</v>
      </c>
      <c r="J339" s="13">
        <v>3.41</v>
      </c>
      <c r="K339" s="13">
        <v>0.74</v>
      </c>
      <c r="L339" s="11">
        <v>9.1999999999999993</v>
      </c>
      <c r="M339" s="10">
        <v>6</v>
      </c>
    </row>
    <row r="340" spans="1:13" x14ac:dyDescent="0.3">
      <c r="A340" s="10">
        <v>339</v>
      </c>
      <c r="B340" s="11">
        <v>8.3000000000000007</v>
      </c>
      <c r="C340" s="12">
        <v>0.66</v>
      </c>
      <c r="D340" s="13">
        <v>0.15</v>
      </c>
      <c r="E340" s="11">
        <v>1.9</v>
      </c>
      <c r="F340" s="12">
        <v>7.9000000000000001E-2</v>
      </c>
      <c r="G340" s="11">
        <v>17</v>
      </c>
      <c r="H340" s="11">
        <v>42</v>
      </c>
      <c r="I340" s="14">
        <v>0.99719999999999998</v>
      </c>
      <c r="J340" s="13">
        <v>3.31</v>
      </c>
      <c r="K340" s="13">
        <v>0.54</v>
      </c>
      <c r="L340" s="11">
        <v>9.6</v>
      </c>
      <c r="M340" s="10">
        <v>6</v>
      </c>
    </row>
    <row r="341" spans="1:13" x14ac:dyDescent="0.3">
      <c r="A341" s="10">
        <v>340</v>
      </c>
      <c r="B341" s="11">
        <v>7.8</v>
      </c>
      <c r="C341" s="12">
        <v>0.46</v>
      </c>
      <c r="D341" s="13">
        <v>0.26</v>
      </c>
      <c r="E341" s="11">
        <v>1.9</v>
      </c>
      <c r="F341" s="12">
        <v>8.7999999999999995E-2</v>
      </c>
      <c r="G341" s="11">
        <v>23</v>
      </c>
      <c r="H341" s="11">
        <v>53</v>
      </c>
      <c r="I341" s="14">
        <v>0.99809999999999999</v>
      </c>
      <c r="J341" s="13">
        <v>3.43</v>
      </c>
      <c r="K341" s="13">
        <v>0.74</v>
      </c>
      <c r="L341" s="11">
        <v>9.1999999999999993</v>
      </c>
      <c r="M341" s="10">
        <v>6</v>
      </c>
    </row>
    <row r="342" spans="1:13" x14ac:dyDescent="0.3">
      <c r="A342" s="10">
        <v>341</v>
      </c>
      <c r="B342" s="11">
        <v>9.6</v>
      </c>
      <c r="C342" s="12">
        <v>0.38</v>
      </c>
      <c r="D342" s="13">
        <v>0.31</v>
      </c>
      <c r="E342" s="11">
        <v>2.5</v>
      </c>
      <c r="F342" s="12">
        <v>9.6000000000000002E-2</v>
      </c>
      <c r="G342" s="11">
        <v>16</v>
      </c>
      <c r="H342" s="11">
        <v>49</v>
      </c>
      <c r="I342" s="14">
        <v>0.99819999999999998</v>
      </c>
      <c r="J342" s="13">
        <v>3.19</v>
      </c>
      <c r="K342" s="13">
        <v>0.7</v>
      </c>
      <c r="L342" s="11">
        <v>10</v>
      </c>
      <c r="M342" s="10">
        <v>7</v>
      </c>
    </row>
    <row r="343" spans="1:13" x14ac:dyDescent="0.3">
      <c r="A343" s="10">
        <v>342</v>
      </c>
      <c r="B343" s="11">
        <v>5.6</v>
      </c>
      <c r="C343" s="12">
        <v>0.85</v>
      </c>
      <c r="D343" s="13">
        <v>0.05</v>
      </c>
      <c r="E343" s="11">
        <v>1.4</v>
      </c>
      <c r="F343" s="12">
        <v>4.4999999999999998E-2</v>
      </c>
      <c r="G343" s="11">
        <v>12</v>
      </c>
      <c r="H343" s="11">
        <v>88</v>
      </c>
      <c r="I343" s="14">
        <v>0.99239999999999995</v>
      </c>
      <c r="J343" s="13">
        <v>3.56</v>
      </c>
      <c r="K343" s="13">
        <v>0.82</v>
      </c>
      <c r="L343" s="11">
        <v>12.9</v>
      </c>
      <c r="M343" s="10">
        <v>8</v>
      </c>
    </row>
    <row r="344" spans="1:13" x14ac:dyDescent="0.3">
      <c r="A344" s="10">
        <v>343</v>
      </c>
      <c r="B344" s="11">
        <v>9.5</v>
      </c>
      <c r="C344" s="12">
        <v>0.37</v>
      </c>
      <c r="D344" s="13">
        <v>0.52</v>
      </c>
      <c r="E344" s="11">
        <v>2</v>
      </c>
      <c r="F344" s="12">
        <v>8.2000000000000003E-2</v>
      </c>
      <c r="G344" s="11">
        <v>6</v>
      </c>
      <c r="H344" s="11">
        <v>26</v>
      </c>
      <c r="I344" s="14">
        <v>0.998</v>
      </c>
      <c r="J344" s="13">
        <v>3.18</v>
      </c>
      <c r="K344" s="13">
        <v>0.51</v>
      </c>
      <c r="L344" s="11">
        <v>9.5</v>
      </c>
      <c r="M344" s="10">
        <v>5</v>
      </c>
    </row>
    <row r="345" spans="1:13" x14ac:dyDescent="0.3">
      <c r="A345" s="10">
        <v>344</v>
      </c>
      <c r="B345" s="11">
        <v>8.4</v>
      </c>
      <c r="C345" s="12">
        <v>0.66500000000000004</v>
      </c>
      <c r="D345" s="13">
        <v>0.61</v>
      </c>
      <c r="E345" s="11">
        <v>2</v>
      </c>
      <c r="F345" s="12">
        <v>0.112</v>
      </c>
      <c r="G345" s="11">
        <v>13</v>
      </c>
      <c r="H345" s="11">
        <v>95</v>
      </c>
      <c r="I345" s="14">
        <v>0.997</v>
      </c>
      <c r="J345" s="13">
        <v>3.16</v>
      </c>
      <c r="K345" s="13">
        <v>0.54</v>
      </c>
      <c r="L345" s="11">
        <v>9.1</v>
      </c>
      <c r="M345" s="10">
        <v>5</v>
      </c>
    </row>
    <row r="346" spans="1:13" x14ac:dyDescent="0.3">
      <c r="A346" s="10">
        <v>345</v>
      </c>
      <c r="B346" s="11">
        <v>12.7</v>
      </c>
      <c r="C346" s="12">
        <v>0.6</v>
      </c>
      <c r="D346" s="13">
        <v>0.65</v>
      </c>
      <c r="E346" s="11">
        <v>2.2999999999999998</v>
      </c>
      <c r="F346" s="12">
        <v>6.3E-2</v>
      </c>
      <c r="G346" s="11">
        <v>6</v>
      </c>
      <c r="H346" s="11">
        <v>25</v>
      </c>
      <c r="I346" s="14">
        <v>0.99970000000000003</v>
      </c>
      <c r="J346" s="13">
        <v>3.03</v>
      </c>
      <c r="K346" s="13">
        <v>0.56999999999999995</v>
      </c>
      <c r="L346" s="11">
        <v>9.9</v>
      </c>
      <c r="M346" s="10">
        <v>5</v>
      </c>
    </row>
    <row r="347" spans="1:13" x14ac:dyDescent="0.3">
      <c r="A347" s="10">
        <v>346</v>
      </c>
      <c r="B347" s="11">
        <v>12</v>
      </c>
      <c r="C347" s="12">
        <v>0.37</v>
      </c>
      <c r="D347" s="13">
        <v>0.76</v>
      </c>
      <c r="E347" s="11">
        <v>4.2</v>
      </c>
      <c r="F347" s="12">
        <v>6.6000000000000003E-2</v>
      </c>
      <c r="G347" s="11">
        <v>7</v>
      </c>
      <c r="H347" s="11">
        <v>38</v>
      </c>
      <c r="I347" s="14">
        <v>1.0004</v>
      </c>
      <c r="J347" s="13">
        <v>3.22</v>
      </c>
      <c r="K347" s="13">
        <v>0.6</v>
      </c>
      <c r="L347" s="11">
        <v>13</v>
      </c>
      <c r="M347" s="10">
        <v>7</v>
      </c>
    </row>
    <row r="348" spans="1:13" x14ac:dyDescent="0.3">
      <c r="A348" s="10">
        <v>347</v>
      </c>
      <c r="B348" s="11">
        <v>6.6</v>
      </c>
      <c r="C348" s="12">
        <v>0.73499999999999999</v>
      </c>
      <c r="D348" s="13">
        <v>0.02</v>
      </c>
      <c r="E348" s="11">
        <v>7.9</v>
      </c>
      <c r="F348" s="12">
        <v>0.122</v>
      </c>
      <c r="G348" s="11">
        <v>68</v>
      </c>
      <c r="H348" s="11">
        <v>124</v>
      </c>
      <c r="I348" s="14">
        <v>0.99939999999999996</v>
      </c>
      <c r="J348" s="13">
        <v>3.47</v>
      </c>
      <c r="K348" s="13">
        <v>0.53</v>
      </c>
      <c r="L348" s="11">
        <v>9.9</v>
      </c>
      <c r="M348" s="10">
        <v>5</v>
      </c>
    </row>
    <row r="349" spans="1:13" x14ac:dyDescent="0.3">
      <c r="A349" s="10">
        <v>348</v>
      </c>
      <c r="B349" s="11">
        <v>11.5</v>
      </c>
      <c r="C349" s="12">
        <v>0.59</v>
      </c>
      <c r="D349" s="13">
        <v>0.59</v>
      </c>
      <c r="E349" s="11">
        <v>2.6</v>
      </c>
      <c r="F349" s="12">
        <v>8.6999999999999994E-2</v>
      </c>
      <c r="G349" s="11">
        <v>13</v>
      </c>
      <c r="H349" s="11">
        <v>49</v>
      </c>
      <c r="I349" s="14">
        <v>0.99880000000000002</v>
      </c>
      <c r="J349" s="13">
        <v>3.18</v>
      </c>
      <c r="K349" s="13">
        <v>0.65</v>
      </c>
      <c r="L349" s="11">
        <v>11</v>
      </c>
      <c r="M349" s="10">
        <v>6</v>
      </c>
    </row>
    <row r="350" spans="1:13" x14ac:dyDescent="0.3">
      <c r="A350" s="10">
        <v>349</v>
      </c>
      <c r="B350" s="11">
        <v>8.6999999999999993</v>
      </c>
      <c r="C350" s="12">
        <v>0.76500000000000001</v>
      </c>
      <c r="D350" s="13">
        <v>0.22</v>
      </c>
      <c r="E350" s="11">
        <v>2.2999999999999998</v>
      </c>
      <c r="F350" s="12">
        <v>6.4000000000000001E-2</v>
      </c>
      <c r="G350" s="11">
        <v>9</v>
      </c>
      <c r="H350" s="11">
        <v>42</v>
      </c>
      <c r="I350" s="14">
        <v>0.99629999999999996</v>
      </c>
      <c r="J350" s="13">
        <v>3.1</v>
      </c>
      <c r="K350" s="13">
        <v>0.55000000000000004</v>
      </c>
      <c r="L350" s="11">
        <v>9.4</v>
      </c>
      <c r="M350" s="10">
        <v>5</v>
      </c>
    </row>
    <row r="351" spans="1:13" x14ac:dyDescent="0.3">
      <c r="A351" s="10">
        <v>350</v>
      </c>
      <c r="B351" s="11">
        <v>7.7</v>
      </c>
      <c r="C351" s="12">
        <v>0.26</v>
      </c>
      <c r="D351" s="13">
        <v>0.3</v>
      </c>
      <c r="E351" s="11">
        <v>1.7</v>
      </c>
      <c r="F351" s="12">
        <v>5.8999999999999997E-2</v>
      </c>
      <c r="G351" s="11">
        <v>20</v>
      </c>
      <c r="H351" s="11">
        <v>38</v>
      </c>
      <c r="I351" s="14">
        <v>0.99490000000000001</v>
      </c>
      <c r="J351" s="13">
        <v>3.29</v>
      </c>
      <c r="K351" s="13">
        <v>0.47</v>
      </c>
      <c r="L351" s="11">
        <v>10.8</v>
      </c>
      <c r="M351" s="10">
        <v>6</v>
      </c>
    </row>
    <row r="352" spans="1:13" x14ac:dyDescent="0.3">
      <c r="A352" s="10">
        <v>351</v>
      </c>
      <c r="B352" s="11">
        <v>12.2</v>
      </c>
      <c r="C352" s="12">
        <v>0.48</v>
      </c>
      <c r="D352" s="13">
        <v>0.54</v>
      </c>
      <c r="E352" s="11">
        <v>2.6</v>
      </c>
      <c r="F352" s="12">
        <v>8.5000000000000006E-2</v>
      </c>
      <c r="G352" s="11">
        <v>19</v>
      </c>
      <c r="H352" s="11">
        <v>64</v>
      </c>
      <c r="I352" s="14">
        <v>1</v>
      </c>
      <c r="J352" s="13">
        <v>3.1</v>
      </c>
      <c r="K352" s="13">
        <v>0.61</v>
      </c>
      <c r="L352" s="11">
        <v>10.5</v>
      </c>
      <c r="M352" s="10">
        <v>6</v>
      </c>
    </row>
    <row r="353" spans="1:13" x14ac:dyDescent="0.3">
      <c r="A353" s="10">
        <v>352</v>
      </c>
      <c r="B353" s="11">
        <v>11.4</v>
      </c>
      <c r="C353" s="12">
        <v>0.6</v>
      </c>
      <c r="D353" s="13">
        <v>0.49</v>
      </c>
      <c r="E353" s="11">
        <v>2.7</v>
      </c>
      <c r="F353" s="12">
        <v>8.5000000000000006E-2</v>
      </c>
      <c r="G353" s="11">
        <v>10</v>
      </c>
      <c r="H353" s="11">
        <v>41</v>
      </c>
      <c r="I353" s="14">
        <v>0.99939999999999996</v>
      </c>
      <c r="J353" s="13">
        <v>3.15</v>
      </c>
      <c r="K353" s="13">
        <v>0.63</v>
      </c>
      <c r="L353" s="11">
        <v>10.5</v>
      </c>
      <c r="M353" s="10">
        <v>6</v>
      </c>
    </row>
    <row r="354" spans="1:13" x14ac:dyDescent="0.3">
      <c r="A354" s="10">
        <v>353</v>
      </c>
      <c r="B354" s="11">
        <v>7.7</v>
      </c>
      <c r="C354" s="12">
        <v>0.69</v>
      </c>
      <c r="D354" s="13">
        <v>0.05</v>
      </c>
      <c r="E354" s="11">
        <v>2.7</v>
      </c>
      <c r="F354" s="12">
        <v>7.4999999999999997E-2</v>
      </c>
      <c r="G354" s="11">
        <v>15</v>
      </c>
      <c r="H354" s="11">
        <v>27</v>
      </c>
      <c r="I354" s="14">
        <v>0.99739999999999995</v>
      </c>
      <c r="J354" s="13">
        <v>3.26</v>
      </c>
      <c r="K354" s="13">
        <v>0.61</v>
      </c>
      <c r="L354" s="11">
        <v>9.1</v>
      </c>
      <c r="M354" s="10">
        <v>5</v>
      </c>
    </row>
    <row r="355" spans="1:13" x14ac:dyDescent="0.3">
      <c r="A355" s="10">
        <v>354</v>
      </c>
      <c r="B355" s="11">
        <v>8.6999999999999993</v>
      </c>
      <c r="C355" s="12">
        <v>0.31</v>
      </c>
      <c r="D355" s="13">
        <v>0.46</v>
      </c>
      <c r="E355" s="11">
        <v>1.4</v>
      </c>
      <c r="F355" s="12">
        <v>5.8999999999999997E-2</v>
      </c>
      <c r="G355" s="11">
        <v>11</v>
      </c>
      <c r="H355" s="11">
        <v>25</v>
      </c>
      <c r="I355" s="14">
        <v>0.99660000000000004</v>
      </c>
      <c r="J355" s="13">
        <v>3.36</v>
      </c>
      <c r="K355" s="13">
        <v>0.76</v>
      </c>
      <c r="L355" s="11">
        <v>10.1</v>
      </c>
      <c r="M355" s="10">
        <v>6</v>
      </c>
    </row>
    <row r="356" spans="1:13" x14ac:dyDescent="0.3">
      <c r="A356" s="10">
        <v>355</v>
      </c>
      <c r="B356" s="11">
        <v>9.8000000000000007</v>
      </c>
      <c r="C356" s="12">
        <v>0.44</v>
      </c>
      <c r="D356" s="13">
        <v>0.47</v>
      </c>
      <c r="E356" s="11">
        <v>2.5</v>
      </c>
      <c r="F356" s="12">
        <v>6.3E-2</v>
      </c>
      <c r="G356" s="11">
        <v>9</v>
      </c>
      <c r="H356" s="11">
        <v>28</v>
      </c>
      <c r="I356" s="14">
        <v>0.99809999999999999</v>
      </c>
      <c r="J356" s="13">
        <v>3.24</v>
      </c>
      <c r="K356" s="13">
        <v>0.65</v>
      </c>
      <c r="L356" s="11">
        <v>10.8</v>
      </c>
      <c r="M356" s="10">
        <v>6</v>
      </c>
    </row>
    <row r="357" spans="1:13" x14ac:dyDescent="0.3">
      <c r="A357" s="10">
        <v>356</v>
      </c>
      <c r="B357" s="11">
        <v>12</v>
      </c>
      <c r="C357" s="12">
        <v>0.39</v>
      </c>
      <c r="D357" s="13">
        <v>0.66</v>
      </c>
      <c r="E357" s="11">
        <v>3</v>
      </c>
      <c r="F357" s="12">
        <v>9.2999999999999999E-2</v>
      </c>
      <c r="G357" s="11">
        <v>12</v>
      </c>
      <c r="H357" s="11">
        <v>30</v>
      </c>
      <c r="I357" s="14">
        <v>0.99960000000000004</v>
      </c>
      <c r="J357" s="13">
        <v>3.18</v>
      </c>
      <c r="K357" s="13">
        <v>0.63</v>
      </c>
      <c r="L357" s="11">
        <v>10.8</v>
      </c>
      <c r="M357" s="10">
        <v>7</v>
      </c>
    </row>
    <row r="358" spans="1:13" x14ac:dyDescent="0.3">
      <c r="A358" s="10">
        <v>357</v>
      </c>
      <c r="B358" s="11">
        <v>10.4</v>
      </c>
      <c r="C358" s="12">
        <v>0.34</v>
      </c>
      <c r="D358" s="13">
        <v>0.57999999999999996</v>
      </c>
      <c r="E358" s="11">
        <v>3.7</v>
      </c>
      <c r="F358" s="12">
        <v>0.17399999999999999</v>
      </c>
      <c r="G358" s="11">
        <v>6</v>
      </c>
      <c r="H358" s="11">
        <v>16</v>
      </c>
      <c r="I358" s="14">
        <v>0.997</v>
      </c>
      <c r="J358" s="13">
        <v>3.19</v>
      </c>
      <c r="K358" s="13">
        <v>0.7</v>
      </c>
      <c r="L358" s="11">
        <v>11.3</v>
      </c>
      <c r="M358" s="10">
        <v>6</v>
      </c>
    </row>
    <row r="359" spans="1:13" x14ac:dyDescent="0.3">
      <c r="A359" s="10">
        <v>358</v>
      </c>
      <c r="B359" s="11">
        <v>12.5</v>
      </c>
      <c r="C359" s="12">
        <v>0.46</v>
      </c>
      <c r="D359" s="13">
        <v>0.49</v>
      </c>
      <c r="E359" s="11">
        <v>4.5</v>
      </c>
      <c r="F359" s="12">
        <v>7.0000000000000007E-2</v>
      </c>
      <c r="G359" s="11">
        <v>26</v>
      </c>
      <c r="H359" s="11">
        <v>49</v>
      </c>
      <c r="I359" s="14">
        <v>0.99809999999999999</v>
      </c>
      <c r="J359" s="13">
        <v>3.05</v>
      </c>
      <c r="K359" s="13">
        <v>0.56999999999999995</v>
      </c>
      <c r="L359" s="11">
        <v>9.6</v>
      </c>
      <c r="M359" s="10">
        <v>4</v>
      </c>
    </row>
    <row r="360" spans="1:13" x14ac:dyDescent="0.3">
      <c r="A360" s="10">
        <v>359</v>
      </c>
      <c r="B360" s="11">
        <v>9</v>
      </c>
      <c r="C360" s="12">
        <v>0.43</v>
      </c>
      <c r="D360" s="13">
        <v>0.34</v>
      </c>
      <c r="E360" s="11">
        <v>2.5</v>
      </c>
      <c r="F360" s="12">
        <v>0.08</v>
      </c>
      <c r="G360" s="11">
        <v>26</v>
      </c>
      <c r="H360" s="11">
        <v>86</v>
      </c>
      <c r="I360" s="14">
        <v>0.99870000000000003</v>
      </c>
      <c r="J360" s="13">
        <v>3.38</v>
      </c>
      <c r="K360" s="13">
        <v>0.62</v>
      </c>
      <c r="L360" s="11">
        <v>9.5</v>
      </c>
      <c r="M360" s="10">
        <v>6</v>
      </c>
    </row>
    <row r="361" spans="1:13" x14ac:dyDescent="0.3">
      <c r="A361" s="10">
        <v>360</v>
      </c>
      <c r="B361" s="11">
        <v>9.1</v>
      </c>
      <c r="C361" s="12">
        <v>0.45</v>
      </c>
      <c r="D361" s="13">
        <v>0.35</v>
      </c>
      <c r="E361" s="11">
        <v>2.4</v>
      </c>
      <c r="F361" s="12">
        <v>0.08</v>
      </c>
      <c r="G361" s="11">
        <v>23</v>
      </c>
      <c r="H361" s="11">
        <v>78</v>
      </c>
      <c r="I361" s="14">
        <v>0.99870000000000003</v>
      </c>
      <c r="J361" s="13">
        <v>3.38</v>
      </c>
      <c r="K361" s="13">
        <v>0.62</v>
      </c>
      <c r="L361" s="11">
        <v>9.5</v>
      </c>
      <c r="M361" s="10">
        <v>5</v>
      </c>
    </row>
    <row r="362" spans="1:13" x14ac:dyDescent="0.3">
      <c r="A362" s="10">
        <v>361</v>
      </c>
      <c r="B362" s="11">
        <v>7.1</v>
      </c>
      <c r="C362" s="12">
        <v>0.73499999999999999</v>
      </c>
      <c r="D362" s="13">
        <v>0.16</v>
      </c>
      <c r="E362" s="11">
        <v>1.9</v>
      </c>
      <c r="F362" s="12">
        <v>0.1</v>
      </c>
      <c r="G362" s="11">
        <v>15</v>
      </c>
      <c r="H362" s="11">
        <v>77</v>
      </c>
      <c r="I362" s="14">
        <v>0.99660000000000004</v>
      </c>
      <c r="J362" s="13">
        <v>3.27</v>
      </c>
      <c r="K362" s="13">
        <v>0.64</v>
      </c>
      <c r="L362" s="11">
        <v>9.3000000000000007</v>
      </c>
      <c r="M362" s="10">
        <v>5</v>
      </c>
    </row>
    <row r="363" spans="1:13" x14ac:dyDescent="0.3">
      <c r="A363" s="10">
        <v>362</v>
      </c>
      <c r="B363" s="11">
        <v>9.9</v>
      </c>
      <c r="C363" s="12">
        <v>0.4</v>
      </c>
      <c r="D363" s="13">
        <v>0.53</v>
      </c>
      <c r="E363" s="11">
        <v>6.7</v>
      </c>
      <c r="F363" s="12">
        <v>9.7000000000000003E-2</v>
      </c>
      <c r="G363" s="11">
        <v>6</v>
      </c>
      <c r="H363" s="11">
        <v>19</v>
      </c>
      <c r="I363" s="14">
        <v>0.99860000000000004</v>
      </c>
      <c r="J363" s="13">
        <v>3.27</v>
      </c>
      <c r="K363" s="13">
        <v>0.82</v>
      </c>
      <c r="L363" s="11">
        <v>11.7</v>
      </c>
      <c r="M363" s="10">
        <v>7</v>
      </c>
    </row>
    <row r="364" spans="1:13" x14ac:dyDescent="0.3">
      <c r="A364" s="10">
        <v>363</v>
      </c>
      <c r="B364" s="11">
        <v>8.8000000000000007</v>
      </c>
      <c r="C364" s="12">
        <v>0.52</v>
      </c>
      <c r="D364" s="13">
        <v>0.34</v>
      </c>
      <c r="E364" s="11">
        <v>2.7</v>
      </c>
      <c r="F364" s="12">
        <v>8.6999999999999994E-2</v>
      </c>
      <c r="G364" s="11">
        <v>24</v>
      </c>
      <c r="H364" s="11">
        <v>122</v>
      </c>
      <c r="I364" s="14">
        <v>0.99819999999999998</v>
      </c>
      <c r="J364" s="13">
        <v>3.26</v>
      </c>
      <c r="K364" s="13">
        <v>0.61</v>
      </c>
      <c r="L364" s="11">
        <v>9.5</v>
      </c>
      <c r="M364" s="10">
        <v>5</v>
      </c>
    </row>
    <row r="365" spans="1:13" x14ac:dyDescent="0.3">
      <c r="A365" s="10">
        <v>364</v>
      </c>
      <c r="B365" s="11">
        <v>8.6</v>
      </c>
      <c r="C365" s="12">
        <v>0.72499999999999998</v>
      </c>
      <c r="D365" s="13">
        <v>0.24</v>
      </c>
      <c r="E365" s="11">
        <v>6.6</v>
      </c>
      <c r="F365" s="12">
        <v>0.11700000000000001</v>
      </c>
      <c r="G365" s="11">
        <v>31</v>
      </c>
      <c r="H365" s="11">
        <v>134</v>
      </c>
      <c r="I365" s="14">
        <v>1.0014000000000001</v>
      </c>
      <c r="J365" s="13">
        <v>3.32</v>
      </c>
      <c r="K365" s="13">
        <v>1.07</v>
      </c>
      <c r="L365" s="11">
        <v>9.3000000000000007</v>
      </c>
      <c r="M365" s="10">
        <v>5</v>
      </c>
    </row>
    <row r="366" spans="1:13" x14ac:dyDescent="0.3">
      <c r="A366" s="10">
        <v>365</v>
      </c>
      <c r="B366" s="11">
        <v>10.6</v>
      </c>
      <c r="C366" s="12">
        <v>0.48</v>
      </c>
      <c r="D366" s="13">
        <v>0.64</v>
      </c>
      <c r="E366" s="11">
        <v>2.2000000000000002</v>
      </c>
      <c r="F366" s="12">
        <v>0.111</v>
      </c>
      <c r="G366" s="11">
        <v>6</v>
      </c>
      <c r="H366" s="11">
        <v>20</v>
      </c>
      <c r="I366" s="14">
        <v>0.997</v>
      </c>
      <c r="J366" s="13">
        <v>3.26</v>
      </c>
      <c r="K366" s="13">
        <v>0.66</v>
      </c>
      <c r="L366" s="11">
        <v>11.7</v>
      </c>
      <c r="M366" s="10">
        <v>6</v>
      </c>
    </row>
    <row r="367" spans="1:13" x14ac:dyDescent="0.3">
      <c r="A367" s="10">
        <v>366</v>
      </c>
      <c r="B367" s="11">
        <v>7</v>
      </c>
      <c r="C367" s="12">
        <v>0.57999999999999996</v>
      </c>
      <c r="D367" s="13">
        <v>0.12</v>
      </c>
      <c r="E367" s="11">
        <v>1.9</v>
      </c>
      <c r="F367" s="12">
        <v>9.0999999999999998E-2</v>
      </c>
      <c r="G367" s="11">
        <v>34</v>
      </c>
      <c r="H367" s="11">
        <v>124</v>
      </c>
      <c r="I367" s="14">
        <v>0.99560000000000004</v>
      </c>
      <c r="J367" s="13">
        <v>3.44</v>
      </c>
      <c r="K367" s="13">
        <v>0.48</v>
      </c>
      <c r="L367" s="11">
        <v>10.5</v>
      </c>
      <c r="M367" s="10">
        <v>5</v>
      </c>
    </row>
    <row r="368" spans="1:13" x14ac:dyDescent="0.3">
      <c r="A368" s="10">
        <v>367</v>
      </c>
      <c r="B368" s="11">
        <v>11.9</v>
      </c>
      <c r="C368" s="12">
        <v>0.38</v>
      </c>
      <c r="D368" s="13">
        <v>0.51</v>
      </c>
      <c r="E368" s="11">
        <v>2</v>
      </c>
      <c r="F368" s="12">
        <v>0.121</v>
      </c>
      <c r="G368" s="11">
        <v>7</v>
      </c>
      <c r="H368" s="11">
        <v>20</v>
      </c>
      <c r="I368" s="14">
        <v>0.99960000000000004</v>
      </c>
      <c r="J368" s="13">
        <v>3.24</v>
      </c>
      <c r="K368" s="13">
        <v>0.76</v>
      </c>
      <c r="L368" s="11">
        <v>10.4</v>
      </c>
      <c r="M368" s="10">
        <v>6</v>
      </c>
    </row>
    <row r="369" spans="1:13" x14ac:dyDescent="0.3">
      <c r="A369" s="10">
        <v>368</v>
      </c>
      <c r="B369" s="11">
        <v>6.8</v>
      </c>
      <c r="C369" s="12">
        <v>0.77</v>
      </c>
      <c r="D369" s="13">
        <v>0</v>
      </c>
      <c r="E369" s="11">
        <v>1.8</v>
      </c>
      <c r="F369" s="12">
        <v>6.6000000000000003E-2</v>
      </c>
      <c r="G369" s="11">
        <v>34</v>
      </c>
      <c r="H369" s="11">
        <v>52</v>
      </c>
      <c r="I369" s="14">
        <v>0.99760000000000004</v>
      </c>
      <c r="J369" s="13">
        <v>3.62</v>
      </c>
      <c r="K369" s="13">
        <v>0.68</v>
      </c>
      <c r="L369" s="11">
        <v>9.9</v>
      </c>
      <c r="M369" s="10">
        <v>5</v>
      </c>
    </row>
    <row r="370" spans="1:13" x14ac:dyDescent="0.3">
      <c r="A370" s="10">
        <v>369</v>
      </c>
      <c r="B370" s="11">
        <v>9.5</v>
      </c>
      <c r="C370" s="12">
        <v>0.56000000000000005</v>
      </c>
      <c r="D370" s="13">
        <v>0.33</v>
      </c>
      <c r="E370" s="11">
        <v>2.4</v>
      </c>
      <c r="F370" s="12">
        <v>8.8999999999999996E-2</v>
      </c>
      <c r="G370" s="11">
        <v>35</v>
      </c>
      <c r="H370" s="11">
        <v>67</v>
      </c>
      <c r="I370" s="14">
        <v>0.99719999999999998</v>
      </c>
      <c r="J370" s="13">
        <v>3.28</v>
      </c>
      <c r="K370" s="13">
        <v>0.73</v>
      </c>
      <c r="L370" s="11">
        <v>11.8</v>
      </c>
      <c r="M370" s="10">
        <v>7</v>
      </c>
    </row>
    <row r="371" spans="1:13" x14ac:dyDescent="0.3">
      <c r="A371" s="10">
        <v>370</v>
      </c>
      <c r="B371" s="11">
        <v>6.6</v>
      </c>
      <c r="C371" s="12">
        <v>0.84</v>
      </c>
      <c r="D371" s="13">
        <v>0.03</v>
      </c>
      <c r="E371" s="11">
        <v>2.2999999999999998</v>
      </c>
      <c r="F371" s="12">
        <v>5.8999999999999997E-2</v>
      </c>
      <c r="G371" s="11">
        <v>32</v>
      </c>
      <c r="H371" s="11">
        <v>48</v>
      </c>
      <c r="I371" s="14">
        <v>0.99519999999999997</v>
      </c>
      <c r="J371" s="13">
        <v>3.52</v>
      </c>
      <c r="K371" s="13">
        <v>0.56000000000000005</v>
      </c>
      <c r="L371" s="11">
        <v>12.3</v>
      </c>
      <c r="M371" s="10">
        <v>7</v>
      </c>
    </row>
    <row r="372" spans="1:13" x14ac:dyDescent="0.3">
      <c r="A372" s="10">
        <v>371</v>
      </c>
      <c r="B372" s="11">
        <v>7.7</v>
      </c>
      <c r="C372" s="12">
        <v>0.96</v>
      </c>
      <c r="D372" s="13">
        <v>0.2</v>
      </c>
      <c r="E372" s="11">
        <v>2</v>
      </c>
      <c r="F372" s="12">
        <v>4.7E-2</v>
      </c>
      <c r="G372" s="11">
        <v>15</v>
      </c>
      <c r="H372" s="11">
        <v>60</v>
      </c>
      <c r="I372" s="14">
        <v>0.99550000000000005</v>
      </c>
      <c r="J372" s="13">
        <v>3.36</v>
      </c>
      <c r="K372" s="13">
        <v>0.44</v>
      </c>
      <c r="L372" s="11">
        <v>10.9</v>
      </c>
      <c r="M372" s="10">
        <v>5</v>
      </c>
    </row>
    <row r="373" spans="1:13" x14ac:dyDescent="0.3">
      <c r="A373" s="10">
        <v>372</v>
      </c>
      <c r="B373" s="11">
        <v>10.5</v>
      </c>
      <c r="C373" s="12">
        <v>0.24</v>
      </c>
      <c r="D373" s="13">
        <v>0.47</v>
      </c>
      <c r="E373" s="11">
        <v>2.1</v>
      </c>
      <c r="F373" s="12">
        <v>6.6000000000000003E-2</v>
      </c>
      <c r="G373" s="11">
        <v>6</v>
      </c>
      <c r="H373" s="11">
        <v>24</v>
      </c>
      <c r="I373" s="14">
        <v>0.99780000000000002</v>
      </c>
      <c r="J373" s="13">
        <v>3.15</v>
      </c>
      <c r="K373" s="13">
        <v>0.9</v>
      </c>
      <c r="L373" s="11">
        <v>11</v>
      </c>
      <c r="M373" s="10">
        <v>7</v>
      </c>
    </row>
    <row r="374" spans="1:13" x14ac:dyDescent="0.3">
      <c r="A374" s="10">
        <v>373</v>
      </c>
      <c r="B374" s="11">
        <v>6.4</v>
      </c>
      <c r="C374" s="12">
        <v>0.67</v>
      </c>
      <c r="D374" s="13">
        <v>0.08</v>
      </c>
      <c r="E374" s="11">
        <v>2.1</v>
      </c>
      <c r="F374" s="12">
        <v>4.4999999999999998E-2</v>
      </c>
      <c r="G374" s="11">
        <v>19</v>
      </c>
      <c r="H374" s="11">
        <v>48</v>
      </c>
      <c r="I374" s="14">
        <v>0.99490000000000001</v>
      </c>
      <c r="J374" s="13">
        <v>3.49</v>
      </c>
      <c r="K374" s="13">
        <v>0.49</v>
      </c>
      <c r="L374" s="11">
        <v>11.4</v>
      </c>
      <c r="M374" s="10">
        <v>6</v>
      </c>
    </row>
    <row r="375" spans="1:13" x14ac:dyDescent="0.3">
      <c r="A375" s="10">
        <v>374</v>
      </c>
      <c r="B375" s="11">
        <v>9.5</v>
      </c>
      <c r="C375" s="12">
        <v>0.78</v>
      </c>
      <c r="D375" s="13">
        <v>0.22</v>
      </c>
      <c r="E375" s="11">
        <v>1.9</v>
      </c>
      <c r="F375" s="12">
        <v>7.6999999999999999E-2</v>
      </c>
      <c r="G375" s="11">
        <v>6</v>
      </c>
      <c r="H375" s="11">
        <v>32</v>
      </c>
      <c r="I375" s="14">
        <v>0.99880000000000002</v>
      </c>
      <c r="J375" s="13">
        <v>3.26</v>
      </c>
      <c r="K375" s="13">
        <v>0.56000000000000005</v>
      </c>
      <c r="L375" s="11">
        <v>10.6</v>
      </c>
      <c r="M375" s="10">
        <v>6</v>
      </c>
    </row>
    <row r="376" spans="1:13" x14ac:dyDescent="0.3">
      <c r="A376" s="10">
        <v>375</v>
      </c>
      <c r="B376" s="11">
        <v>9.1</v>
      </c>
      <c r="C376" s="12">
        <v>0.52</v>
      </c>
      <c r="D376" s="13">
        <v>0.33</v>
      </c>
      <c r="E376" s="11">
        <v>1.3</v>
      </c>
      <c r="F376" s="12">
        <v>7.0000000000000007E-2</v>
      </c>
      <c r="G376" s="11">
        <v>9</v>
      </c>
      <c r="H376" s="11">
        <v>30</v>
      </c>
      <c r="I376" s="14">
        <v>0.99780000000000002</v>
      </c>
      <c r="J376" s="13">
        <v>3.24</v>
      </c>
      <c r="K376" s="13">
        <v>0.6</v>
      </c>
      <c r="L376" s="11">
        <v>9.3000000000000007</v>
      </c>
      <c r="M376" s="10">
        <v>5</v>
      </c>
    </row>
    <row r="377" spans="1:13" x14ac:dyDescent="0.3">
      <c r="A377" s="10">
        <v>376</v>
      </c>
      <c r="B377" s="11">
        <v>12.8</v>
      </c>
      <c r="C377" s="12">
        <v>0.84</v>
      </c>
      <c r="D377" s="13">
        <v>0.63</v>
      </c>
      <c r="E377" s="11">
        <v>2.4</v>
      </c>
      <c r="F377" s="12">
        <v>8.7999999999999995E-2</v>
      </c>
      <c r="G377" s="11">
        <v>13</v>
      </c>
      <c r="H377" s="11">
        <v>35</v>
      </c>
      <c r="I377" s="14">
        <v>0.99970000000000003</v>
      </c>
      <c r="J377" s="13">
        <v>3.1</v>
      </c>
      <c r="K377" s="13">
        <v>0.6</v>
      </c>
      <c r="L377" s="11">
        <v>10.4</v>
      </c>
      <c r="M377" s="10">
        <v>6</v>
      </c>
    </row>
    <row r="378" spans="1:13" x14ac:dyDescent="0.3">
      <c r="A378" s="10">
        <v>377</v>
      </c>
      <c r="B378" s="11">
        <v>7.8</v>
      </c>
      <c r="C378" s="12">
        <v>0.55000000000000004</v>
      </c>
      <c r="D378" s="13">
        <v>0.35</v>
      </c>
      <c r="E378" s="11">
        <v>2.2000000000000002</v>
      </c>
      <c r="F378" s="12">
        <v>7.3999999999999996E-2</v>
      </c>
      <c r="G378" s="11">
        <v>21</v>
      </c>
      <c r="H378" s="11">
        <v>66</v>
      </c>
      <c r="I378" s="14">
        <v>0.99739999999999995</v>
      </c>
      <c r="J378" s="13">
        <v>3.25</v>
      </c>
      <c r="K378" s="13">
        <v>0.56000000000000005</v>
      </c>
      <c r="L378" s="11">
        <v>9.1999999999999993</v>
      </c>
      <c r="M378" s="10">
        <v>5</v>
      </c>
    </row>
    <row r="379" spans="1:13" x14ac:dyDescent="0.3">
      <c r="A379" s="10">
        <v>378</v>
      </c>
      <c r="B379" s="11">
        <v>11.9</v>
      </c>
      <c r="C379" s="12">
        <v>0.37</v>
      </c>
      <c r="D379" s="13">
        <v>0.69</v>
      </c>
      <c r="E379" s="11">
        <v>2.2999999999999998</v>
      </c>
      <c r="F379" s="12">
        <v>7.8E-2</v>
      </c>
      <c r="G379" s="11">
        <v>12</v>
      </c>
      <c r="H379" s="11">
        <v>24</v>
      </c>
      <c r="I379" s="14">
        <v>0.99580000000000002</v>
      </c>
      <c r="J379" s="13">
        <v>3</v>
      </c>
      <c r="K379" s="13">
        <v>0.65</v>
      </c>
      <c r="L379" s="11">
        <v>12.8</v>
      </c>
      <c r="M379" s="10">
        <v>6</v>
      </c>
    </row>
    <row r="380" spans="1:13" x14ac:dyDescent="0.3">
      <c r="A380" s="10">
        <v>379</v>
      </c>
      <c r="B380" s="11">
        <v>12.3</v>
      </c>
      <c r="C380" s="12">
        <v>0.39</v>
      </c>
      <c r="D380" s="13">
        <v>0.63</v>
      </c>
      <c r="E380" s="11">
        <v>2.2999999999999998</v>
      </c>
      <c r="F380" s="12">
        <v>9.0999999999999998E-2</v>
      </c>
      <c r="G380" s="11">
        <v>6</v>
      </c>
      <c r="H380" s="11">
        <v>18</v>
      </c>
      <c r="I380" s="14">
        <v>1.0004</v>
      </c>
      <c r="J380" s="13">
        <v>3.16</v>
      </c>
      <c r="K380" s="13">
        <v>0.49</v>
      </c>
      <c r="L380" s="11">
        <v>9.5</v>
      </c>
      <c r="M380" s="10">
        <v>5</v>
      </c>
    </row>
    <row r="381" spans="1:13" x14ac:dyDescent="0.3">
      <c r="A381" s="10">
        <v>380</v>
      </c>
      <c r="B381" s="11">
        <v>10.4</v>
      </c>
      <c r="C381" s="12">
        <v>0.41</v>
      </c>
      <c r="D381" s="13">
        <v>0.55000000000000004</v>
      </c>
      <c r="E381" s="11">
        <v>3.2</v>
      </c>
      <c r="F381" s="12">
        <v>7.5999999999999998E-2</v>
      </c>
      <c r="G381" s="11">
        <v>22</v>
      </c>
      <c r="H381" s="11">
        <v>54</v>
      </c>
      <c r="I381" s="14">
        <v>0.99960000000000004</v>
      </c>
      <c r="J381" s="13">
        <v>3.15</v>
      </c>
      <c r="K381" s="13">
        <v>0.89</v>
      </c>
      <c r="L381" s="11">
        <v>9.9</v>
      </c>
      <c r="M381" s="10">
        <v>6</v>
      </c>
    </row>
    <row r="382" spans="1:13" x14ac:dyDescent="0.3">
      <c r="A382" s="10">
        <v>381</v>
      </c>
      <c r="B382" s="11">
        <v>8</v>
      </c>
      <c r="C382" s="12">
        <v>0.67</v>
      </c>
      <c r="D382" s="13">
        <v>0.3</v>
      </c>
      <c r="E382" s="11">
        <v>2</v>
      </c>
      <c r="F382" s="12">
        <v>0.06</v>
      </c>
      <c r="G382" s="11">
        <v>38</v>
      </c>
      <c r="H382" s="11">
        <v>62</v>
      </c>
      <c r="I382" s="14">
        <v>0.99580000000000002</v>
      </c>
      <c r="J382" s="13">
        <v>3.26</v>
      </c>
      <c r="K382" s="13">
        <v>0.56000000000000005</v>
      </c>
      <c r="L382" s="11">
        <v>10.199999999999999</v>
      </c>
      <c r="M382" s="10">
        <v>6</v>
      </c>
    </row>
    <row r="383" spans="1:13" x14ac:dyDescent="0.3">
      <c r="A383" s="10">
        <v>382</v>
      </c>
      <c r="B383" s="11">
        <v>11.1</v>
      </c>
      <c r="C383" s="12">
        <v>0.45</v>
      </c>
      <c r="D383" s="13">
        <v>0.73</v>
      </c>
      <c r="E383" s="11">
        <v>3.2</v>
      </c>
      <c r="F383" s="12">
        <v>6.6000000000000003E-2</v>
      </c>
      <c r="G383" s="11">
        <v>6</v>
      </c>
      <c r="H383" s="11">
        <v>22</v>
      </c>
      <c r="I383" s="14">
        <v>0.99860000000000004</v>
      </c>
      <c r="J383" s="13">
        <v>3.17</v>
      </c>
      <c r="K383" s="13">
        <v>0.66</v>
      </c>
      <c r="L383" s="11">
        <v>11.2</v>
      </c>
      <c r="M383" s="10">
        <v>6</v>
      </c>
    </row>
    <row r="384" spans="1:13" x14ac:dyDescent="0.3">
      <c r="A384" s="10">
        <v>383</v>
      </c>
      <c r="B384" s="11">
        <v>7</v>
      </c>
      <c r="C384" s="12">
        <v>0.62</v>
      </c>
      <c r="D384" s="13">
        <v>0.18</v>
      </c>
      <c r="E384" s="11">
        <v>1.5</v>
      </c>
      <c r="F384" s="12">
        <v>6.2E-2</v>
      </c>
      <c r="G384" s="11">
        <v>7</v>
      </c>
      <c r="H384" s="11">
        <v>50</v>
      </c>
      <c r="I384" s="14">
        <v>0.99509999999999998</v>
      </c>
      <c r="J384" s="13">
        <v>3.08</v>
      </c>
      <c r="K384" s="13">
        <v>0.6</v>
      </c>
      <c r="L384" s="11">
        <v>9.3000000000000007</v>
      </c>
      <c r="M384" s="10">
        <v>5</v>
      </c>
    </row>
    <row r="385" spans="1:13" x14ac:dyDescent="0.3">
      <c r="A385" s="10">
        <v>384</v>
      </c>
      <c r="B385" s="11">
        <v>12.6</v>
      </c>
      <c r="C385" s="12">
        <v>0.31</v>
      </c>
      <c r="D385" s="13">
        <v>0.72</v>
      </c>
      <c r="E385" s="11">
        <v>2.2000000000000002</v>
      </c>
      <c r="F385" s="12">
        <v>7.1999999999999995E-2</v>
      </c>
      <c r="G385" s="11">
        <v>6</v>
      </c>
      <c r="H385" s="11">
        <v>29</v>
      </c>
      <c r="I385" s="14">
        <v>0.99870000000000003</v>
      </c>
      <c r="J385" s="13">
        <v>2.88</v>
      </c>
      <c r="K385" s="13">
        <v>0.82</v>
      </c>
      <c r="L385" s="11">
        <v>9.8000000000000007</v>
      </c>
      <c r="M385" s="10">
        <v>8</v>
      </c>
    </row>
    <row r="386" spans="1:13" x14ac:dyDescent="0.3">
      <c r="A386" s="10">
        <v>385</v>
      </c>
      <c r="B386" s="11">
        <v>11.9</v>
      </c>
      <c r="C386" s="12">
        <v>0.4</v>
      </c>
      <c r="D386" s="13">
        <v>0.65</v>
      </c>
      <c r="E386" s="11">
        <v>2.15</v>
      </c>
      <c r="F386" s="12">
        <v>6.8000000000000005E-2</v>
      </c>
      <c r="G386" s="11">
        <v>7</v>
      </c>
      <c r="H386" s="11">
        <v>27</v>
      </c>
      <c r="I386" s="14">
        <v>0.99880000000000002</v>
      </c>
      <c r="J386" s="13">
        <v>3.06</v>
      </c>
      <c r="K386" s="13">
        <v>0.68</v>
      </c>
      <c r="L386" s="11">
        <v>11.3</v>
      </c>
      <c r="M386" s="10">
        <v>6</v>
      </c>
    </row>
    <row r="387" spans="1:13" x14ac:dyDescent="0.3">
      <c r="A387" s="10">
        <v>386</v>
      </c>
      <c r="B387" s="11">
        <v>15.6</v>
      </c>
      <c r="C387" s="12">
        <v>0.68500000000000005</v>
      </c>
      <c r="D387" s="13">
        <v>0.76</v>
      </c>
      <c r="E387" s="11">
        <v>3.7</v>
      </c>
      <c r="F387" s="12">
        <v>0.1</v>
      </c>
      <c r="G387" s="11">
        <v>6</v>
      </c>
      <c r="H387" s="11">
        <v>43</v>
      </c>
      <c r="I387" s="14">
        <v>1.0032000000000001</v>
      </c>
      <c r="J387" s="13">
        <v>2.95</v>
      </c>
      <c r="K387" s="13">
        <v>0.68</v>
      </c>
      <c r="L387" s="11">
        <v>11.2</v>
      </c>
      <c r="M387" s="10">
        <v>7</v>
      </c>
    </row>
    <row r="388" spans="1:13" x14ac:dyDescent="0.3">
      <c r="A388" s="10">
        <v>387</v>
      </c>
      <c r="B388" s="11">
        <v>10</v>
      </c>
      <c r="C388" s="12">
        <v>0.44</v>
      </c>
      <c r="D388" s="13">
        <v>0.49</v>
      </c>
      <c r="E388" s="11">
        <v>2.7</v>
      </c>
      <c r="F388" s="12">
        <v>7.6999999999999999E-2</v>
      </c>
      <c r="G388" s="11">
        <v>11</v>
      </c>
      <c r="H388" s="11">
        <v>19</v>
      </c>
      <c r="I388" s="14">
        <v>0.99629999999999996</v>
      </c>
      <c r="J388" s="13">
        <v>3.23</v>
      </c>
      <c r="K388" s="13">
        <v>0.63</v>
      </c>
      <c r="L388" s="11">
        <v>11.6</v>
      </c>
      <c r="M388" s="10">
        <v>7</v>
      </c>
    </row>
    <row r="389" spans="1:13" x14ac:dyDescent="0.3">
      <c r="A389" s="10">
        <v>388</v>
      </c>
      <c r="B389" s="11">
        <v>5.3</v>
      </c>
      <c r="C389" s="12">
        <v>0.56999999999999995</v>
      </c>
      <c r="D389" s="13">
        <v>0.01</v>
      </c>
      <c r="E389" s="11">
        <v>1.7</v>
      </c>
      <c r="F389" s="12">
        <v>5.3999999999999999E-2</v>
      </c>
      <c r="G389" s="11">
        <v>5</v>
      </c>
      <c r="H389" s="11">
        <v>27</v>
      </c>
      <c r="I389" s="14">
        <v>0.99339999999999995</v>
      </c>
      <c r="J389" s="13">
        <v>3.57</v>
      </c>
      <c r="K389" s="13">
        <v>0.84</v>
      </c>
      <c r="L389" s="11">
        <v>12.5</v>
      </c>
      <c r="M389" s="10">
        <v>7</v>
      </c>
    </row>
    <row r="390" spans="1:13" x14ac:dyDescent="0.3">
      <c r="A390" s="10">
        <v>389</v>
      </c>
      <c r="B390" s="11">
        <v>9.5</v>
      </c>
      <c r="C390" s="12">
        <v>0.73499999999999999</v>
      </c>
      <c r="D390" s="13">
        <v>0.1</v>
      </c>
      <c r="E390" s="11">
        <v>2.1</v>
      </c>
      <c r="F390" s="12">
        <v>7.9000000000000001E-2</v>
      </c>
      <c r="G390" s="11">
        <v>6</v>
      </c>
      <c r="H390" s="11">
        <v>31</v>
      </c>
      <c r="I390" s="14">
        <v>0.99860000000000004</v>
      </c>
      <c r="J390" s="13">
        <v>3.23</v>
      </c>
      <c r="K390" s="13">
        <v>0.56000000000000005</v>
      </c>
      <c r="L390" s="11">
        <v>10.1</v>
      </c>
      <c r="M390" s="10">
        <v>6</v>
      </c>
    </row>
    <row r="391" spans="1:13" x14ac:dyDescent="0.3">
      <c r="A391" s="10">
        <v>390</v>
      </c>
      <c r="B391" s="11">
        <v>12.5</v>
      </c>
      <c r="C391" s="12">
        <v>0.38</v>
      </c>
      <c r="D391" s="13">
        <v>0.6</v>
      </c>
      <c r="E391" s="11">
        <v>2.6</v>
      </c>
      <c r="F391" s="12">
        <v>8.1000000000000003E-2</v>
      </c>
      <c r="G391" s="11">
        <v>31</v>
      </c>
      <c r="H391" s="11">
        <v>72</v>
      </c>
      <c r="I391" s="14">
        <v>0.99960000000000004</v>
      </c>
      <c r="J391" s="13">
        <v>3.1</v>
      </c>
      <c r="K391" s="13">
        <v>0.73</v>
      </c>
      <c r="L391" s="11">
        <v>10.5</v>
      </c>
      <c r="M391" s="10">
        <v>5</v>
      </c>
    </row>
    <row r="392" spans="1:13" x14ac:dyDescent="0.3">
      <c r="A392" s="10">
        <v>391</v>
      </c>
      <c r="B392" s="11">
        <v>9.3000000000000007</v>
      </c>
      <c r="C392" s="12">
        <v>0.48</v>
      </c>
      <c r="D392" s="13">
        <v>0.28999999999999998</v>
      </c>
      <c r="E392" s="11">
        <v>2.1</v>
      </c>
      <c r="F392" s="12">
        <v>0.127</v>
      </c>
      <c r="G392" s="11">
        <v>6</v>
      </c>
      <c r="H392" s="11">
        <v>16</v>
      </c>
      <c r="I392" s="14">
        <v>0.99680000000000002</v>
      </c>
      <c r="J392" s="13">
        <v>3.22</v>
      </c>
      <c r="K392" s="13">
        <v>0.72</v>
      </c>
      <c r="L392" s="11">
        <v>11.2</v>
      </c>
      <c r="M392" s="10">
        <v>5</v>
      </c>
    </row>
    <row r="393" spans="1:13" x14ac:dyDescent="0.3">
      <c r="A393" s="10">
        <v>392</v>
      </c>
      <c r="B393" s="11">
        <v>8.6</v>
      </c>
      <c r="C393" s="12">
        <v>0.53</v>
      </c>
      <c r="D393" s="13">
        <v>0.22</v>
      </c>
      <c r="E393" s="11">
        <v>2</v>
      </c>
      <c r="F393" s="12">
        <v>0.1</v>
      </c>
      <c r="G393" s="11">
        <v>7</v>
      </c>
      <c r="H393" s="11">
        <v>27</v>
      </c>
      <c r="I393" s="14">
        <v>0.99670000000000003</v>
      </c>
      <c r="J393" s="13">
        <v>3.2</v>
      </c>
      <c r="K393" s="13">
        <v>0.56000000000000005</v>
      </c>
      <c r="L393" s="11">
        <v>10.199999999999999</v>
      </c>
      <c r="M393" s="10">
        <v>6</v>
      </c>
    </row>
    <row r="394" spans="1:13" x14ac:dyDescent="0.3">
      <c r="A394" s="10">
        <v>393</v>
      </c>
      <c r="B394" s="11">
        <v>11.9</v>
      </c>
      <c r="C394" s="12">
        <v>0.39</v>
      </c>
      <c r="D394" s="13">
        <v>0.69</v>
      </c>
      <c r="E394" s="11">
        <v>2.8</v>
      </c>
      <c r="F394" s="12">
        <v>9.5000000000000001E-2</v>
      </c>
      <c r="G394" s="11">
        <v>17</v>
      </c>
      <c r="H394" s="11">
        <v>35</v>
      </c>
      <c r="I394" s="14">
        <v>0.99939999999999996</v>
      </c>
      <c r="J394" s="13">
        <v>3.1</v>
      </c>
      <c r="K394" s="13">
        <v>0.61</v>
      </c>
      <c r="L394" s="11">
        <v>10.8</v>
      </c>
      <c r="M394" s="10">
        <v>6</v>
      </c>
    </row>
    <row r="395" spans="1:13" x14ac:dyDescent="0.3">
      <c r="A395" s="10">
        <v>394</v>
      </c>
      <c r="B395" s="11">
        <v>8.4</v>
      </c>
      <c r="C395" s="12">
        <v>0.37</v>
      </c>
      <c r="D395" s="13">
        <v>0.53</v>
      </c>
      <c r="E395" s="11">
        <v>1.8</v>
      </c>
      <c r="F395" s="12">
        <v>0.41299999999999998</v>
      </c>
      <c r="G395" s="11">
        <v>9</v>
      </c>
      <c r="H395" s="11">
        <v>26</v>
      </c>
      <c r="I395" s="14">
        <v>0.99790000000000001</v>
      </c>
      <c r="J395" s="13">
        <v>3.06</v>
      </c>
      <c r="K395" s="13">
        <v>1.06</v>
      </c>
      <c r="L395" s="11">
        <v>9.1</v>
      </c>
      <c r="M395" s="10">
        <v>6</v>
      </c>
    </row>
    <row r="396" spans="1:13" x14ac:dyDescent="0.3">
      <c r="A396" s="10">
        <v>395</v>
      </c>
      <c r="B396" s="11">
        <v>6.8</v>
      </c>
      <c r="C396" s="12">
        <v>0.56000000000000005</v>
      </c>
      <c r="D396" s="13">
        <v>0.03</v>
      </c>
      <c r="E396" s="11">
        <v>1.7</v>
      </c>
      <c r="F396" s="12">
        <v>8.4000000000000005E-2</v>
      </c>
      <c r="G396" s="11">
        <v>18</v>
      </c>
      <c r="H396" s="11">
        <v>35</v>
      </c>
      <c r="I396" s="14">
        <v>0.99680000000000002</v>
      </c>
      <c r="J396" s="13">
        <v>3.44</v>
      </c>
      <c r="K396" s="13">
        <v>0.63</v>
      </c>
      <c r="L396" s="11">
        <v>10</v>
      </c>
      <c r="M396" s="10">
        <v>6</v>
      </c>
    </row>
    <row r="397" spans="1:13" x14ac:dyDescent="0.3">
      <c r="A397" s="10">
        <v>396</v>
      </c>
      <c r="B397" s="11">
        <v>10.4</v>
      </c>
      <c r="C397" s="12">
        <v>0.33</v>
      </c>
      <c r="D397" s="13">
        <v>0.63</v>
      </c>
      <c r="E397" s="11">
        <v>2.8</v>
      </c>
      <c r="F397" s="12">
        <v>8.4000000000000005E-2</v>
      </c>
      <c r="G397" s="11">
        <v>5</v>
      </c>
      <c r="H397" s="11">
        <v>22</v>
      </c>
      <c r="I397" s="14">
        <v>0.99980000000000002</v>
      </c>
      <c r="J397" s="13">
        <v>3.26</v>
      </c>
      <c r="K397" s="13">
        <v>0.74</v>
      </c>
      <c r="L397" s="11">
        <v>11.2</v>
      </c>
      <c r="M397" s="10">
        <v>7</v>
      </c>
    </row>
    <row r="398" spans="1:13" x14ac:dyDescent="0.3">
      <c r="A398" s="10">
        <v>397</v>
      </c>
      <c r="B398" s="11">
        <v>7</v>
      </c>
      <c r="C398" s="12">
        <v>0.23</v>
      </c>
      <c r="D398" s="13">
        <v>0.4</v>
      </c>
      <c r="E398" s="11">
        <v>1.6</v>
      </c>
      <c r="F398" s="12">
        <v>6.3E-2</v>
      </c>
      <c r="G398" s="11">
        <v>21</v>
      </c>
      <c r="H398" s="11">
        <v>67</v>
      </c>
      <c r="I398" s="14">
        <v>0.99519999999999997</v>
      </c>
      <c r="J398" s="13">
        <v>3.5</v>
      </c>
      <c r="K398" s="13">
        <v>0.63</v>
      </c>
      <c r="L398" s="11">
        <v>11.1</v>
      </c>
      <c r="M398" s="10">
        <v>5</v>
      </c>
    </row>
    <row r="399" spans="1:13" x14ac:dyDescent="0.3">
      <c r="A399" s="10">
        <v>398</v>
      </c>
      <c r="B399" s="11">
        <v>11.3</v>
      </c>
      <c r="C399" s="12">
        <v>0.62</v>
      </c>
      <c r="D399" s="13">
        <v>0.67</v>
      </c>
      <c r="E399" s="11">
        <v>5.2</v>
      </c>
      <c r="F399" s="12">
        <v>8.5999999999999993E-2</v>
      </c>
      <c r="G399" s="11">
        <v>6</v>
      </c>
      <c r="H399" s="11">
        <v>19</v>
      </c>
      <c r="I399" s="14">
        <v>0.99880000000000002</v>
      </c>
      <c r="J399" s="13">
        <v>3.22</v>
      </c>
      <c r="K399" s="13">
        <v>0.69</v>
      </c>
      <c r="L399" s="11">
        <v>13.4</v>
      </c>
      <c r="M399" s="10">
        <v>8</v>
      </c>
    </row>
    <row r="400" spans="1:13" x14ac:dyDescent="0.3">
      <c r="A400" s="10">
        <v>399</v>
      </c>
      <c r="B400" s="11">
        <v>8.9</v>
      </c>
      <c r="C400" s="12">
        <v>0.59</v>
      </c>
      <c r="D400" s="13">
        <v>0.39</v>
      </c>
      <c r="E400" s="11">
        <v>2.2999999999999998</v>
      </c>
      <c r="F400" s="12">
        <v>9.5000000000000001E-2</v>
      </c>
      <c r="G400" s="11">
        <v>5</v>
      </c>
      <c r="H400" s="11">
        <v>22</v>
      </c>
      <c r="I400" s="14">
        <v>0.99860000000000004</v>
      </c>
      <c r="J400" s="13">
        <v>3.37</v>
      </c>
      <c r="K400" s="13">
        <v>0.57999999999999996</v>
      </c>
      <c r="L400" s="11">
        <v>10.3</v>
      </c>
      <c r="M400" s="10">
        <v>5</v>
      </c>
    </row>
    <row r="401" spans="1:13" x14ac:dyDescent="0.3">
      <c r="A401" s="10">
        <v>400</v>
      </c>
      <c r="B401" s="11">
        <v>9.1999999999999993</v>
      </c>
      <c r="C401" s="12">
        <v>0.63</v>
      </c>
      <c r="D401" s="13">
        <v>0.21</v>
      </c>
      <c r="E401" s="11">
        <v>2.7</v>
      </c>
      <c r="F401" s="12">
        <v>9.7000000000000003E-2</v>
      </c>
      <c r="G401" s="11">
        <v>29</v>
      </c>
      <c r="H401" s="11">
        <v>65</v>
      </c>
      <c r="I401" s="14">
        <v>0.99880000000000002</v>
      </c>
      <c r="J401" s="13">
        <v>3.28</v>
      </c>
      <c r="K401" s="13">
        <v>0.57999999999999996</v>
      </c>
      <c r="L401" s="11">
        <v>9.6</v>
      </c>
      <c r="M401" s="10">
        <v>5</v>
      </c>
    </row>
    <row r="402" spans="1:13" x14ac:dyDescent="0.3">
      <c r="A402" s="10">
        <v>401</v>
      </c>
      <c r="B402" s="11">
        <v>11.6</v>
      </c>
      <c r="C402" s="12">
        <v>0.57999999999999996</v>
      </c>
      <c r="D402" s="13">
        <v>0.66</v>
      </c>
      <c r="E402" s="11">
        <v>2.2000000000000002</v>
      </c>
      <c r="F402" s="12">
        <v>7.3999999999999996E-2</v>
      </c>
      <c r="G402" s="11">
        <v>10</v>
      </c>
      <c r="H402" s="11">
        <v>47</v>
      </c>
      <c r="I402" s="14">
        <v>1.0007999999999999</v>
      </c>
      <c r="J402" s="13">
        <v>3.25</v>
      </c>
      <c r="K402" s="13">
        <v>0.56999999999999995</v>
      </c>
      <c r="L402" s="11">
        <v>9</v>
      </c>
      <c r="M402" s="10">
        <v>3</v>
      </c>
    </row>
    <row r="403" spans="1:13" x14ac:dyDescent="0.3">
      <c r="A403" s="10">
        <v>402</v>
      </c>
      <c r="B403" s="11">
        <v>9.1999999999999993</v>
      </c>
      <c r="C403" s="12">
        <v>0.43</v>
      </c>
      <c r="D403" s="13">
        <v>0.52</v>
      </c>
      <c r="E403" s="11">
        <v>2.2999999999999998</v>
      </c>
      <c r="F403" s="12">
        <v>8.3000000000000004E-2</v>
      </c>
      <c r="G403" s="11">
        <v>14</v>
      </c>
      <c r="H403" s="11">
        <v>23</v>
      </c>
      <c r="I403" s="14">
        <v>0.99760000000000004</v>
      </c>
      <c r="J403" s="13">
        <v>3.35</v>
      </c>
      <c r="K403" s="13">
        <v>0.61</v>
      </c>
      <c r="L403" s="11">
        <v>11.3</v>
      </c>
      <c r="M403" s="10">
        <v>6</v>
      </c>
    </row>
    <row r="404" spans="1:13" x14ac:dyDescent="0.3">
      <c r="A404" s="10">
        <v>403</v>
      </c>
      <c r="B404" s="11">
        <v>8.3000000000000007</v>
      </c>
      <c r="C404" s="12">
        <v>0.61499999999999999</v>
      </c>
      <c r="D404" s="13">
        <v>0.22</v>
      </c>
      <c r="E404" s="11">
        <v>2.6</v>
      </c>
      <c r="F404" s="12">
        <v>8.6999999999999994E-2</v>
      </c>
      <c r="G404" s="11">
        <v>6</v>
      </c>
      <c r="H404" s="11">
        <v>19</v>
      </c>
      <c r="I404" s="14">
        <v>0.99819999999999998</v>
      </c>
      <c r="J404" s="13">
        <v>3.26</v>
      </c>
      <c r="K404" s="13">
        <v>0.61</v>
      </c>
      <c r="L404" s="11">
        <v>9.3000000000000007</v>
      </c>
      <c r="M404" s="10">
        <v>5</v>
      </c>
    </row>
    <row r="405" spans="1:13" x14ac:dyDescent="0.3">
      <c r="A405" s="10">
        <v>404</v>
      </c>
      <c r="B405" s="11">
        <v>11</v>
      </c>
      <c r="C405" s="12">
        <v>0.26</v>
      </c>
      <c r="D405" s="13">
        <v>0.68</v>
      </c>
      <c r="E405" s="11">
        <v>2.5499999999999998</v>
      </c>
      <c r="F405" s="12">
        <v>8.5000000000000006E-2</v>
      </c>
      <c r="G405" s="11">
        <v>10</v>
      </c>
      <c r="H405" s="11">
        <v>25</v>
      </c>
      <c r="I405" s="14">
        <v>0.997</v>
      </c>
      <c r="J405" s="13">
        <v>3.18</v>
      </c>
      <c r="K405" s="13">
        <v>0.61</v>
      </c>
      <c r="L405" s="11">
        <v>11.8</v>
      </c>
      <c r="M405" s="10">
        <v>5</v>
      </c>
    </row>
    <row r="406" spans="1:13" x14ac:dyDescent="0.3">
      <c r="A406" s="10">
        <v>405</v>
      </c>
      <c r="B406" s="11">
        <v>8.1</v>
      </c>
      <c r="C406" s="12">
        <v>0.66</v>
      </c>
      <c r="D406" s="13">
        <v>0.7</v>
      </c>
      <c r="E406" s="11">
        <v>2.2000000000000002</v>
      </c>
      <c r="F406" s="12">
        <v>9.8000000000000004E-2</v>
      </c>
      <c r="G406" s="11">
        <v>25</v>
      </c>
      <c r="H406" s="11">
        <v>129</v>
      </c>
      <c r="I406" s="14">
        <v>0.99719999999999998</v>
      </c>
      <c r="J406" s="13">
        <v>3.08</v>
      </c>
      <c r="K406" s="13">
        <v>0.53</v>
      </c>
      <c r="L406" s="11">
        <v>9</v>
      </c>
      <c r="M406" s="10">
        <v>5</v>
      </c>
    </row>
    <row r="407" spans="1:13" x14ac:dyDescent="0.3">
      <c r="A407" s="10">
        <v>406</v>
      </c>
      <c r="B407" s="11">
        <v>11.5</v>
      </c>
      <c r="C407" s="12">
        <v>0.315</v>
      </c>
      <c r="D407" s="13">
        <v>0.54</v>
      </c>
      <c r="E407" s="11">
        <v>2.1</v>
      </c>
      <c r="F407" s="12">
        <v>8.4000000000000005E-2</v>
      </c>
      <c r="G407" s="11">
        <v>5</v>
      </c>
      <c r="H407" s="11">
        <v>15</v>
      </c>
      <c r="I407" s="14">
        <v>0.99870000000000003</v>
      </c>
      <c r="J407" s="13">
        <v>2.98</v>
      </c>
      <c r="K407" s="13">
        <v>0.7</v>
      </c>
      <c r="L407" s="11">
        <v>9.1999999999999993</v>
      </c>
      <c r="M407" s="10">
        <v>6</v>
      </c>
    </row>
    <row r="408" spans="1:13" x14ac:dyDescent="0.3">
      <c r="A408" s="10">
        <v>407</v>
      </c>
      <c r="B408" s="11">
        <v>10</v>
      </c>
      <c r="C408" s="12">
        <v>0.28999999999999998</v>
      </c>
      <c r="D408" s="13">
        <v>0.4</v>
      </c>
      <c r="E408" s="11">
        <v>2.9</v>
      </c>
      <c r="F408" s="12">
        <v>9.8000000000000004E-2</v>
      </c>
      <c r="G408" s="11">
        <v>10</v>
      </c>
      <c r="H408" s="11">
        <v>26</v>
      </c>
      <c r="I408" s="14">
        <v>1.0005999999999999</v>
      </c>
      <c r="J408" s="13">
        <v>3.48</v>
      </c>
      <c r="K408" s="13">
        <v>0.91</v>
      </c>
      <c r="L408" s="11">
        <v>9.6999999999999993</v>
      </c>
      <c r="M408" s="10">
        <v>5</v>
      </c>
    </row>
    <row r="409" spans="1:13" x14ac:dyDescent="0.3">
      <c r="A409" s="10">
        <v>408</v>
      </c>
      <c r="B409" s="11">
        <v>10.3</v>
      </c>
      <c r="C409" s="12">
        <v>0.5</v>
      </c>
      <c r="D409" s="13">
        <v>0.42</v>
      </c>
      <c r="E409" s="11">
        <v>2</v>
      </c>
      <c r="F409" s="12">
        <v>6.9000000000000006E-2</v>
      </c>
      <c r="G409" s="11">
        <v>21</v>
      </c>
      <c r="H409" s="11">
        <v>51</v>
      </c>
      <c r="I409" s="14">
        <v>0.99819999999999998</v>
      </c>
      <c r="J409" s="13">
        <v>3.16</v>
      </c>
      <c r="K409" s="13">
        <v>0.72</v>
      </c>
      <c r="L409" s="11">
        <v>11.5</v>
      </c>
      <c r="M409" s="10">
        <v>6</v>
      </c>
    </row>
    <row r="410" spans="1:13" x14ac:dyDescent="0.3">
      <c r="A410" s="10">
        <v>409</v>
      </c>
      <c r="B410" s="11">
        <v>8.8000000000000007</v>
      </c>
      <c r="C410" s="12">
        <v>0.46</v>
      </c>
      <c r="D410" s="13">
        <v>0.45</v>
      </c>
      <c r="E410" s="11">
        <v>2.6</v>
      </c>
      <c r="F410" s="12">
        <v>6.5000000000000002E-2</v>
      </c>
      <c r="G410" s="11">
        <v>7</v>
      </c>
      <c r="H410" s="11">
        <v>18</v>
      </c>
      <c r="I410" s="14">
        <v>0.99470000000000003</v>
      </c>
      <c r="J410" s="13">
        <v>3.32</v>
      </c>
      <c r="K410" s="13">
        <v>0.79</v>
      </c>
      <c r="L410" s="11">
        <v>14</v>
      </c>
      <c r="M410" s="10">
        <v>6</v>
      </c>
    </row>
    <row r="411" spans="1:13" x14ac:dyDescent="0.3">
      <c r="A411" s="10">
        <v>410</v>
      </c>
      <c r="B411" s="11">
        <v>11.4</v>
      </c>
      <c r="C411" s="12">
        <v>0.36</v>
      </c>
      <c r="D411" s="13">
        <v>0.69</v>
      </c>
      <c r="E411" s="11">
        <v>2.1</v>
      </c>
      <c r="F411" s="12">
        <v>0.09</v>
      </c>
      <c r="G411" s="11">
        <v>6</v>
      </c>
      <c r="H411" s="11">
        <v>21</v>
      </c>
      <c r="I411" s="14">
        <v>1</v>
      </c>
      <c r="J411" s="13">
        <v>3.17</v>
      </c>
      <c r="K411" s="13">
        <v>0.62</v>
      </c>
      <c r="L411" s="11">
        <v>9.1999999999999993</v>
      </c>
      <c r="M411" s="10">
        <v>6</v>
      </c>
    </row>
    <row r="412" spans="1:13" x14ac:dyDescent="0.3">
      <c r="A412" s="10">
        <v>411</v>
      </c>
      <c r="B412" s="11">
        <v>8.6999999999999993</v>
      </c>
      <c r="C412" s="12">
        <v>0.82</v>
      </c>
      <c r="D412" s="13">
        <v>0.02</v>
      </c>
      <c r="E412" s="11">
        <v>1.2</v>
      </c>
      <c r="F412" s="12">
        <v>7.0000000000000007E-2</v>
      </c>
      <c r="G412" s="11">
        <v>36</v>
      </c>
      <c r="H412" s="11">
        <v>48</v>
      </c>
      <c r="I412" s="14">
        <v>0.99519999999999997</v>
      </c>
      <c r="J412" s="13">
        <v>3.2</v>
      </c>
      <c r="K412" s="13">
        <v>0.57999999999999996</v>
      </c>
      <c r="L412" s="11">
        <v>9.8000000000000007</v>
      </c>
      <c r="M412" s="10">
        <v>5</v>
      </c>
    </row>
    <row r="413" spans="1:13" x14ac:dyDescent="0.3">
      <c r="A413" s="10">
        <v>412</v>
      </c>
      <c r="B413" s="11">
        <v>13</v>
      </c>
      <c r="C413" s="12">
        <v>0.32</v>
      </c>
      <c r="D413" s="13">
        <v>0.65</v>
      </c>
      <c r="E413" s="11">
        <v>2.6</v>
      </c>
      <c r="F413" s="12">
        <v>9.2999999999999999E-2</v>
      </c>
      <c r="G413" s="11">
        <v>15</v>
      </c>
      <c r="H413" s="11">
        <v>47</v>
      </c>
      <c r="I413" s="14">
        <v>0.99960000000000004</v>
      </c>
      <c r="J413" s="13">
        <v>3.05</v>
      </c>
      <c r="K413" s="13">
        <v>0.61</v>
      </c>
      <c r="L413" s="11">
        <v>10.6</v>
      </c>
      <c r="M413" s="10">
        <v>5</v>
      </c>
    </row>
    <row r="414" spans="1:13" x14ac:dyDescent="0.3">
      <c r="A414" s="10">
        <v>413</v>
      </c>
      <c r="B414" s="11">
        <v>9.6</v>
      </c>
      <c r="C414" s="12">
        <v>0.54</v>
      </c>
      <c r="D414" s="13">
        <v>0.42</v>
      </c>
      <c r="E414" s="11">
        <v>2.4</v>
      </c>
      <c r="F414" s="12">
        <v>8.1000000000000003E-2</v>
      </c>
      <c r="G414" s="11">
        <v>25</v>
      </c>
      <c r="H414" s="11">
        <v>52</v>
      </c>
      <c r="I414" s="14">
        <v>0.997</v>
      </c>
      <c r="J414" s="13">
        <v>3.2</v>
      </c>
      <c r="K414" s="13">
        <v>0.71</v>
      </c>
      <c r="L414" s="11">
        <v>11.4</v>
      </c>
      <c r="M414" s="10">
        <v>6</v>
      </c>
    </row>
    <row r="415" spans="1:13" x14ac:dyDescent="0.3">
      <c r="A415" s="10">
        <v>414</v>
      </c>
      <c r="B415" s="11">
        <v>12.5</v>
      </c>
      <c r="C415" s="12">
        <v>0.37</v>
      </c>
      <c r="D415" s="13">
        <v>0.55000000000000004</v>
      </c>
      <c r="E415" s="11">
        <v>2.6</v>
      </c>
      <c r="F415" s="12">
        <v>8.3000000000000004E-2</v>
      </c>
      <c r="G415" s="11">
        <v>25</v>
      </c>
      <c r="H415" s="11">
        <v>68</v>
      </c>
      <c r="I415" s="14">
        <v>0.99950000000000006</v>
      </c>
      <c r="J415" s="13">
        <v>3.15</v>
      </c>
      <c r="K415" s="13">
        <v>0.82</v>
      </c>
      <c r="L415" s="11">
        <v>10.4</v>
      </c>
      <c r="M415" s="10">
        <v>6</v>
      </c>
    </row>
    <row r="416" spans="1:13" x14ac:dyDescent="0.3">
      <c r="A416" s="10">
        <v>415</v>
      </c>
      <c r="B416" s="11">
        <v>9.9</v>
      </c>
      <c r="C416" s="12">
        <v>0.35</v>
      </c>
      <c r="D416" s="13">
        <v>0.55000000000000004</v>
      </c>
      <c r="E416" s="11">
        <v>2.1</v>
      </c>
      <c r="F416" s="12">
        <v>6.2E-2</v>
      </c>
      <c r="G416" s="11">
        <v>5</v>
      </c>
      <c r="H416" s="11">
        <v>14</v>
      </c>
      <c r="I416" s="14">
        <v>0.99709999999999999</v>
      </c>
      <c r="J416" s="13">
        <v>3.26</v>
      </c>
      <c r="K416" s="13">
        <v>0.79</v>
      </c>
      <c r="L416" s="11">
        <v>10.6</v>
      </c>
      <c r="M416" s="10">
        <v>5</v>
      </c>
    </row>
    <row r="417" spans="1:13" x14ac:dyDescent="0.3">
      <c r="A417" s="10">
        <v>416</v>
      </c>
      <c r="B417" s="11">
        <v>10.5</v>
      </c>
      <c r="C417" s="12">
        <v>0.28000000000000003</v>
      </c>
      <c r="D417" s="13">
        <v>0.51</v>
      </c>
      <c r="E417" s="11">
        <v>1.7</v>
      </c>
      <c r="F417" s="12">
        <v>0.08</v>
      </c>
      <c r="G417" s="11">
        <v>10</v>
      </c>
      <c r="H417" s="11">
        <v>24</v>
      </c>
      <c r="I417" s="14">
        <v>0.99819999999999998</v>
      </c>
      <c r="J417" s="13">
        <v>3.2</v>
      </c>
      <c r="K417" s="13">
        <v>0.89</v>
      </c>
      <c r="L417" s="11">
        <v>9.4</v>
      </c>
      <c r="M417" s="10">
        <v>6</v>
      </c>
    </row>
    <row r="418" spans="1:13" x14ac:dyDescent="0.3">
      <c r="A418" s="10">
        <v>417</v>
      </c>
      <c r="B418" s="11">
        <v>9.6</v>
      </c>
      <c r="C418" s="12">
        <v>0.68</v>
      </c>
      <c r="D418" s="13">
        <v>0.24</v>
      </c>
      <c r="E418" s="11">
        <v>2.2000000000000002</v>
      </c>
      <c r="F418" s="12">
        <v>8.6999999999999994E-2</v>
      </c>
      <c r="G418" s="11">
        <v>5</v>
      </c>
      <c r="H418" s="11">
        <v>28</v>
      </c>
      <c r="I418" s="14">
        <v>0.99880000000000002</v>
      </c>
      <c r="J418" s="13">
        <v>3.14</v>
      </c>
      <c r="K418" s="13">
        <v>0.6</v>
      </c>
      <c r="L418" s="11">
        <v>10.199999999999999</v>
      </c>
      <c r="M418" s="10">
        <v>5</v>
      </c>
    </row>
    <row r="419" spans="1:13" x14ac:dyDescent="0.3">
      <c r="A419" s="10">
        <v>418</v>
      </c>
      <c r="B419" s="11">
        <v>9.3000000000000007</v>
      </c>
      <c r="C419" s="12">
        <v>0.27</v>
      </c>
      <c r="D419" s="13">
        <v>0.41</v>
      </c>
      <c r="E419" s="11">
        <v>2</v>
      </c>
      <c r="F419" s="12">
        <v>9.0999999999999998E-2</v>
      </c>
      <c r="G419" s="11">
        <v>6</v>
      </c>
      <c r="H419" s="11">
        <v>16</v>
      </c>
      <c r="I419" s="14">
        <v>0.998</v>
      </c>
      <c r="J419" s="13">
        <v>3.28</v>
      </c>
      <c r="K419" s="13">
        <v>0.7</v>
      </c>
      <c r="L419" s="11">
        <v>9.6999999999999993</v>
      </c>
      <c r="M419" s="10">
        <v>5</v>
      </c>
    </row>
    <row r="420" spans="1:13" x14ac:dyDescent="0.3">
      <c r="A420" s="10">
        <v>419</v>
      </c>
      <c r="B420" s="11">
        <v>10.4</v>
      </c>
      <c r="C420" s="12">
        <v>0.24</v>
      </c>
      <c r="D420" s="13">
        <v>0.49</v>
      </c>
      <c r="E420" s="11">
        <v>1.8</v>
      </c>
      <c r="F420" s="12">
        <v>7.4999999999999997E-2</v>
      </c>
      <c r="G420" s="11">
        <v>6</v>
      </c>
      <c r="H420" s="11">
        <v>20</v>
      </c>
      <c r="I420" s="14">
        <v>0.99770000000000003</v>
      </c>
      <c r="J420" s="13">
        <v>3.18</v>
      </c>
      <c r="K420" s="13">
        <v>1.06</v>
      </c>
      <c r="L420" s="11">
        <v>11</v>
      </c>
      <c r="M420" s="10">
        <v>6</v>
      </c>
    </row>
    <row r="421" spans="1:13" x14ac:dyDescent="0.3">
      <c r="A421" s="10">
        <v>420</v>
      </c>
      <c r="B421" s="11">
        <v>9.4</v>
      </c>
      <c r="C421" s="12">
        <v>0.68500000000000005</v>
      </c>
      <c r="D421" s="13">
        <v>0.11</v>
      </c>
      <c r="E421" s="11">
        <v>2.7</v>
      </c>
      <c r="F421" s="12">
        <v>7.6999999999999999E-2</v>
      </c>
      <c r="G421" s="11">
        <v>6</v>
      </c>
      <c r="H421" s="11">
        <v>31</v>
      </c>
      <c r="I421" s="14">
        <v>0.99839999999999995</v>
      </c>
      <c r="J421" s="13">
        <v>3.19</v>
      </c>
      <c r="K421" s="13">
        <v>0.7</v>
      </c>
      <c r="L421" s="11">
        <v>10.1</v>
      </c>
      <c r="M421" s="10">
        <v>6</v>
      </c>
    </row>
    <row r="422" spans="1:13" x14ac:dyDescent="0.3">
      <c r="A422" s="10">
        <v>421</v>
      </c>
      <c r="B422" s="11">
        <v>10.6</v>
      </c>
      <c r="C422" s="12">
        <v>0.28000000000000003</v>
      </c>
      <c r="D422" s="13">
        <v>0.39</v>
      </c>
      <c r="E422" s="11">
        <v>15.5</v>
      </c>
      <c r="F422" s="12">
        <v>6.9000000000000006E-2</v>
      </c>
      <c r="G422" s="11">
        <v>6</v>
      </c>
      <c r="H422" s="11">
        <v>23</v>
      </c>
      <c r="I422" s="14">
        <v>1.0025999999999999</v>
      </c>
      <c r="J422" s="13">
        <v>3.12</v>
      </c>
      <c r="K422" s="13">
        <v>0.66</v>
      </c>
      <c r="L422" s="11">
        <v>9.1999999999999993</v>
      </c>
      <c r="M422" s="10">
        <v>5</v>
      </c>
    </row>
    <row r="423" spans="1:13" x14ac:dyDescent="0.3">
      <c r="A423" s="10">
        <v>422</v>
      </c>
      <c r="B423" s="11">
        <v>9.4</v>
      </c>
      <c r="C423" s="12">
        <v>0.3</v>
      </c>
      <c r="D423" s="13">
        <v>0.56000000000000005</v>
      </c>
      <c r="E423" s="11">
        <v>2.8</v>
      </c>
      <c r="F423" s="12">
        <v>0.08</v>
      </c>
      <c r="G423" s="11">
        <v>6</v>
      </c>
      <c r="H423" s="11">
        <v>17</v>
      </c>
      <c r="I423" s="14">
        <v>0.99639999999999995</v>
      </c>
      <c r="J423" s="13">
        <v>3.15</v>
      </c>
      <c r="K423" s="13">
        <v>0.92</v>
      </c>
      <c r="L423" s="11">
        <v>11.7</v>
      </c>
      <c r="M423" s="10">
        <v>8</v>
      </c>
    </row>
    <row r="424" spans="1:13" x14ac:dyDescent="0.3">
      <c r="A424" s="10">
        <v>423</v>
      </c>
      <c r="B424" s="11">
        <v>10.6</v>
      </c>
      <c r="C424" s="12">
        <v>0.36</v>
      </c>
      <c r="D424" s="13">
        <v>0.59</v>
      </c>
      <c r="E424" s="11">
        <v>2.2000000000000002</v>
      </c>
      <c r="F424" s="12">
        <v>0.152</v>
      </c>
      <c r="G424" s="11">
        <v>6</v>
      </c>
      <c r="H424" s="11">
        <v>18</v>
      </c>
      <c r="I424" s="14">
        <v>0.99860000000000004</v>
      </c>
      <c r="J424" s="13">
        <v>3.04</v>
      </c>
      <c r="K424" s="13">
        <v>1.05</v>
      </c>
      <c r="L424" s="11">
        <v>9.4</v>
      </c>
      <c r="M424" s="10">
        <v>5</v>
      </c>
    </row>
    <row r="425" spans="1:13" x14ac:dyDescent="0.3">
      <c r="A425" s="10">
        <v>424</v>
      </c>
      <c r="B425" s="11">
        <v>10.6</v>
      </c>
      <c r="C425" s="12">
        <v>0.36</v>
      </c>
      <c r="D425" s="13">
        <v>0.6</v>
      </c>
      <c r="E425" s="11">
        <v>2.2000000000000002</v>
      </c>
      <c r="F425" s="12">
        <v>0.152</v>
      </c>
      <c r="G425" s="11">
        <v>7</v>
      </c>
      <c r="H425" s="11">
        <v>18</v>
      </c>
      <c r="I425" s="14">
        <v>0.99860000000000004</v>
      </c>
      <c r="J425" s="13">
        <v>3.04</v>
      </c>
      <c r="K425" s="13">
        <v>1.06</v>
      </c>
      <c r="L425" s="11">
        <v>9.4</v>
      </c>
      <c r="M425" s="10">
        <v>5</v>
      </c>
    </row>
    <row r="426" spans="1:13" x14ac:dyDescent="0.3">
      <c r="A426" s="10">
        <v>425</v>
      </c>
      <c r="B426" s="11">
        <v>10.6</v>
      </c>
      <c r="C426" s="12">
        <v>0.44</v>
      </c>
      <c r="D426" s="13">
        <v>0.68</v>
      </c>
      <c r="E426" s="11">
        <v>4.0999999999999996</v>
      </c>
      <c r="F426" s="12">
        <v>0.114</v>
      </c>
      <c r="G426" s="11">
        <v>6</v>
      </c>
      <c r="H426" s="11">
        <v>24</v>
      </c>
      <c r="I426" s="14">
        <v>0.997</v>
      </c>
      <c r="J426" s="13">
        <v>3.06</v>
      </c>
      <c r="K426" s="13">
        <v>0.66</v>
      </c>
      <c r="L426" s="11">
        <v>13.4</v>
      </c>
      <c r="M426" s="10">
        <v>6</v>
      </c>
    </row>
    <row r="427" spans="1:13" x14ac:dyDescent="0.3">
      <c r="A427" s="10">
        <v>426</v>
      </c>
      <c r="B427" s="11">
        <v>10.199999999999999</v>
      </c>
      <c r="C427" s="12">
        <v>0.67</v>
      </c>
      <c r="D427" s="13">
        <v>0.39</v>
      </c>
      <c r="E427" s="11">
        <v>1.9</v>
      </c>
      <c r="F427" s="12">
        <v>5.3999999999999999E-2</v>
      </c>
      <c r="G427" s="11">
        <v>6</v>
      </c>
      <c r="H427" s="11">
        <v>17</v>
      </c>
      <c r="I427" s="14">
        <v>0.99760000000000004</v>
      </c>
      <c r="J427" s="13">
        <v>3.17</v>
      </c>
      <c r="K427" s="13">
        <v>0.47</v>
      </c>
      <c r="L427" s="11">
        <v>10</v>
      </c>
      <c r="M427" s="10">
        <v>5</v>
      </c>
    </row>
    <row r="428" spans="1:13" x14ac:dyDescent="0.3">
      <c r="A428" s="10">
        <v>427</v>
      </c>
      <c r="B428" s="11">
        <v>10.199999999999999</v>
      </c>
      <c r="C428" s="12">
        <v>0.64500000000000002</v>
      </c>
      <c r="D428" s="13">
        <v>0.36</v>
      </c>
      <c r="E428" s="11">
        <v>1.8</v>
      </c>
      <c r="F428" s="12">
        <v>5.2999999999999999E-2</v>
      </c>
      <c r="G428" s="11">
        <v>5</v>
      </c>
      <c r="H428" s="11">
        <v>14</v>
      </c>
      <c r="I428" s="14">
        <v>0.99819999999999998</v>
      </c>
      <c r="J428" s="13">
        <v>3.17</v>
      </c>
      <c r="K428" s="13">
        <v>0.42</v>
      </c>
      <c r="L428" s="11">
        <v>10</v>
      </c>
      <c r="M428" s="10">
        <v>6</v>
      </c>
    </row>
    <row r="429" spans="1:13" x14ac:dyDescent="0.3">
      <c r="A429" s="10">
        <v>428</v>
      </c>
      <c r="B429" s="11">
        <v>11.6</v>
      </c>
      <c r="C429" s="12">
        <v>0.32</v>
      </c>
      <c r="D429" s="13">
        <v>0.55000000000000004</v>
      </c>
      <c r="E429" s="11">
        <v>2.8</v>
      </c>
      <c r="F429" s="12">
        <v>8.1000000000000003E-2</v>
      </c>
      <c r="G429" s="11">
        <v>35</v>
      </c>
      <c r="H429" s="11">
        <v>67</v>
      </c>
      <c r="I429" s="14">
        <v>1.0002</v>
      </c>
      <c r="J429" s="13">
        <v>3.32</v>
      </c>
      <c r="K429" s="13">
        <v>0.92</v>
      </c>
      <c r="L429" s="11">
        <v>10.8</v>
      </c>
      <c r="M429" s="10">
        <v>7</v>
      </c>
    </row>
    <row r="430" spans="1:13" x14ac:dyDescent="0.3">
      <c r="A430" s="10">
        <v>429</v>
      </c>
      <c r="B430" s="11">
        <v>9.3000000000000007</v>
      </c>
      <c r="C430" s="12">
        <v>0.39</v>
      </c>
      <c r="D430" s="13">
        <v>0.4</v>
      </c>
      <c r="E430" s="11">
        <v>2.6</v>
      </c>
      <c r="F430" s="12">
        <v>7.2999999999999995E-2</v>
      </c>
      <c r="G430" s="11">
        <v>10</v>
      </c>
      <c r="H430" s="11">
        <v>26</v>
      </c>
      <c r="I430" s="14">
        <v>0.99839999999999995</v>
      </c>
      <c r="J430" s="13">
        <v>3.34</v>
      </c>
      <c r="K430" s="13">
        <v>0.75</v>
      </c>
      <c r="L430" s="11">
        <v>10.199999999999999</v>
      </c>
      <c r="M430" s="10">
        <v>6</v>
      </c>
    </row>
    <row r="431" spans="1:13" x14ac:dyDescent="0.3">
      <c r="A431" s="10">
        <v>430</v>
      </c>
      <c r="B431" s="11">
        <v>9.3000000000000007</v>
      </c>
      <c r="C431" s="12">
        <v>0.77500000000000002</v>
      </c>
      <c r="D431" s="13">
        <v>0.27</v>
      </c>
      <c r="E431" s="11">
        <v>2.8</v>
      </c>
      <c r="F431" s="12">
        <v>7.8E-2</v>
      </c>
      <c r="G431" s="11">
        <v>24</v>
      </c>
      <c r="H431" s="11">
        <v>56</v>
      </c>
      <c r="I431" s="14">
        <v>0.99839999999999995</v>
      </c>
      <c r="J431" s="13">
        <v>3.31</v>
      </c>
      <c r="K431" s="13">
        <v>0.67</v>
      </c>
      <c r="L431" s="11">
        <v>10.6</v>
      </c>
      <c r="M431" s="10">
        <v>6</v>
      </c>
    </row>
    <row r="432" spans="1:13" x14ac:dyDescent="0.3">
      <c r="A432" s="10">
        <v>431</v>
      </c>
      <c r="B432" s="11">
        <v>9.1999999999999993</v>
      </c>
      <c r="C432" s="12">
        <v>0.41</v>
      </c>
      <c r="D432" s="13">
        <v>0.5</v>
      </c>
      <c r="E432" s="11">
        <v>2.5</v>
      </c>
      <c r="F432" s="12">
        <v>5.5E-2</v>
      </c>
      <c r="G432" s="11">
        <v>12</v>
      </c>
      <c r="H432" s="11">
        <v>25</v>
      </c>
      <c r="I432" s="14">
        <v>0.99519999999999997</v>
      </c>
      <c r="J432" s="13">
        <v>3.34</v>
      </c>
      <c r="K432" s="13">
        <v>0.79</v>
      </c>
      <c r="L432" s="11">
        <v>13.3</v>
      </c>
      <c r="M432" s="10">
        <v>7</v>
      </c>
    </row>
    <row r="433" spans="1:13" x14ac:dyDescent="0.3">
      <c r="A433" s="10">
        <v>432</v>
      </c>
      <c r="B433" s="11">
        <v>8.9</v>
      </c>
      <c r="C433" s="12">
        <v>0.4</v>
      </c>
      <c r="D433" s="13">
        <v>0.51</v>
      </c>
      <c r="E433" s="11">
        <v>2.6</v>
      </c>
      <c r="F433" s="12">
        <v>5.1999999999999998E-2</v>
      </c>
      <c r="G433" s="11">
        <v>13</v>
      </c>
      <c r="H433" s="11">
        <v>27</v>
      </c>
      <c r="I433" s="14">
        <v>0.995</v>
      </c>
      <c r="J433" s="13">
        <v>3.32</v>
      </c>
      <c r="K433" s="13">
        <v>0.9</v>
      </c>
      <c r="L433" s="11">
        <v>13.4</v>
      </c>
      <c r="M433" s="10">
        <v>7</v>
      </c>
    </row>
    <row r="434" spans="1:13" x14ac:dyDescent="0.3">
      <c r="A434" s="10">
        <v>433</v>
      </c>
      <c r="B434" s="11">
        <v>8.6999999999999993</v>
      </c>
      <c r="C434" s="12">
        <v>0.69</v>
      </c>
      <c r="D434" s="13">
        <v>0.31</v>
      </c>
      <c r="E434" s="11">
        <v>3</v>
      </c>
      <c r="F434" s="12">
        <v>8.5999999999999993E-2</v>
      </c>
      <c r="G434" s="11">
        <v>23</v>
      </c>
      <c r="H434" s="11">
        <v>81</v>
      </c>
      <c r="I434" s="14">
        <v>1.0002</v>
      </c>
      <c r="J434" s="13">
        <v>3.48</v>
      </c>
      <c r="K434" s="13">
        <v>0.74</v>
      </c>
      <c r="L434" s="11">
        <v>11.6</v>
      </c>
      <c r="M434" s="10">
        <v>6</v>
      </c>
    </row>
    <row r="435" spans="1:13" x14ac:dyDescent="0.3">
      <c r="A435" s="10">
        <v>434</v>
      </c>
      <c r="B435" s="11">
        <v>6.5</v>
      </c>
      <c r="C435" s="12">
        <v>0.39</v>
      </c>
      <c r="D435" s="13">
        <v>0.23</v>
      </c>
      <c r="E435" s="11">
        <v>8.3000000000000007</v>
      </c>
      <c r="F435" s="12">
        <v>5.0999999999999997E-2</v>
      </c>
      <c r="G435" s="11">
        <v>28</v>
      </c>
      <c r="H435" s="11">
        <v>91</v>
      </c>
      <c r="I435" s="14">
        <v>0.99519999999999997</v>
      </c>
      <c r="J435" s="13">
        <v>3.44</v>
      </c>
      <c r="K435" s="13">
        <v>0.55000000000000004</v>
      </c>
      <c r="L435" s="11">
        <v>12.1</v>
      </c>
      <c r="M435" s="10">
        <v>6</v>
      </c>
    </row>
    <row r="436" spans="1:13" x14ac:dyDescent="0.3">
      <c r="A436" s="10">
        <v>435</v>
      </c>
      <c r="B436" s="11">
        <v>10.7</v>
      </c>
      <c r="C436" s="12">
        <v>0.35</v>
      </c>
      <c r="D436" s="13">
        <v>0.53</v>
      </c>
      <c r="E436" s="11">
        <v>2.6</v>
      </c>
      <c r="F436" s="12">
        <v>7.0000000000000007E-2</v>
      </c>
      <c r="G436" s="11">
        <v>5</v>
      </c>
      <c r="H436" s="11">
        <v>16</v>
      </c>
      <c r="I436" s="14">
        <v>0.99719999999999998</v>
      </c>
      <c r="J436" s="13">
        <v>3.15</v>
      </c>
      <c r="K436" s="13">
        <v>0.65</v>
      </c>
      <c r="L436" s="11">
        <v>11</v>
      </c>
      <c r="M436" s="10">
        <v>8</v>
      </c>
    </row>
    <row r="437" spans="1:13" x14ac:dyDescent="0.3">
      <c r="A437" s="10">
        <v>436</v>
      </c>
      <c r="B437" s="11">
        <v>7.8</v>
      </c>
      <c r="C437" s="12">
        <v>0.52</v>
      </c>
      <c r="D437" s="13">
        <v>0.25</v>
      </c>
      <c r="E437" s="11">
        <v>1.9</v>
      </c>
      <c r="F437" s="12">
        <v>8.1000000000000003E-2</v>
      </c>
      <c r="G437" s="11">
        <v>14</v>
      </c>
      <c r="H437" s="11">
        <v>38</v>
      </c>
      <c r="I437" s="14">
        <v>0.99839999999999995</v>
      </c>
      <c r="J437" s="13">
        <v>3.43</v>
      </c>
      <c r="K437" s="13">
        <v>0.65</v>
      </c>
      <c r="L437" s="11">
        <v>9</v>
      </c>
      <c r="M437" s="10">
        <v>6</v>
      </c>
    </row>
    <row r="438" spans="1:13" x14ac:dyDescent="0.3">
      <c r="A438" s="10">
        <v>437</v>
      </c>
      <c r="B438" s="11">
        <v>7.2</v>
      </c>
      <c r="C438" s="12">
        <v>0.34</v>
      </c>
      <c r="D438" s="13">
        <v>0.32</v>
      </c>
      <c r="E438" s="11">
        <v>2.5</v>
      </c>
      <c r="F438" s="12">
        <v>0.09</v>
      </c>
      <c r="G438" s="11">
        <v>43</v>
      </c>
      <c r="H438" s="11">
        <v>113</v>
      </c>
      <c r="I438" s="14">
        <v>0.99660000000000004</v>
      </c>
      <c r="J438" s="13">
        <v>3.32</v>
      </c>
      <c r="K438" s="13">
        <v>0.79</v>
      </c>
      <c r="L438" s="11">
        <v>11.1</v>
      </c>
      <c r="M438" s="10">
        <v>5</v>
      </c>
    </row>
    <row r="439" spans="1:13" x14ac:dyDescent="0.3">
      <c r="A439" s="10">
        <v>438</v>
      </c>
      <c r="B439" s="11">
        <v>10.4</v>
      </c>
      <c r="C439" s="12">
        <v>0.44</v>
      </c>
      <c r="D439" s="13">
        <v>0.73</v>
      </c>
      <c r="E439" s="11">
        <v>6.55</v>
      </c>
      <c r="F439" s="12">
        <v>7.3999999999999996E-2</v>
      </c>
      <c r="G439" s="11">
        <v>38</v>
      </c>
      <c r="H439" s="11">
        <v>76</v>
      </c>
      <c r="I439" s="14">
        <v>0.999</v>
      </c>
      <c r="J439" s="13">
        <v>3.17</v>
      </c>
      <c r="K439" s="13">
        <v>0.85</v>
      </c>
      <c r="L439" s="11">
        <v>12</v>
      </c>
      <c r="M439" s="10">
        <v>7</v>
      </c>
    </row>
    <row r="440" spans="1:13" x14ac:dyDescent="0.3">
      <c r="A440" s="10">
        <v>439</v>
      </c>
      <c r="B440" s="11">
        <v>10.5</v>
      </c>
      <c r="C440" s="12">
        <v>0.26</v>
      </c>
      <c r="D440" s="13">
        <v>0.47</v>
      </c>
      <c r="E440" s="11">
        <v>1.9</v>
      </c>
      <c r="F440" s="12">
        <v>7.8E-2</v>
      </c>
      <c r="G440" s="11">
        <v>6</v>
      </c>
      <c r="H440" s="11">
        <v>24</v>
      </c>
      <c r="I440" s="14">
        <v>0.99760000000000004</v>
      </c>
      <c r="J440" s="13">
        <v>3.18</v>
      </c>
      <c r="K440" s="13">
        <v>1.04</v>
      </c>
      <c r="L440" s="11">
        <v>10.9</v>
      </c>
      <c r="M440" s="10">
        <v>7</v>
      </c>
    </row>
    <row r="441" spans="1:13" x14ac:dyDescent="0.3">
      <c r="A441" s="10">
        <v>440</v>
      </c>
      <c r="B441" s="11">
        <v>10.5</v>
      </c>
      <c r="C441" s="12">
        <v>0.24</v>
      </c>
      <c r="D441" s="13">
        <v>0.42</v>
      </c>
      <c r="E441" s="11">
        <v>1.8</v>
      </c>
      <c r="F441" s="12">
        <v>7.6999999999999999E-2</v>
      </c>
      <c r="G441" s="11">
        <v>6</v>
      </c>
      <c r="H441" s="11">
        <v>22</v>
      </c>
      <c r="I441" s="14">
        <v>0.99760000000000004</v>
      </c>
      <c r="J441" s="13">
        <v>3.21</v>
      </c>
      <c r="K441" s="13">
        <v>1.05</v>
      </c>
      <c r="L441" s="11">
        <v>10.8</v>
      </c>
      <c r="M441" s="10">
        <v>7</v>
      </c>
    </row>
    <row r="442" spans="1:13" x14ac:dyDescent="0.3">
      <c r="A442" s="10">
        <v>441</v>
      </c>
      <c r="B442" s="11">
        <v>10.199999999999999</v>
      </c>
      <c r="C442" s="12">
        <v>0.49</v>
      </c>
      <c r="D442" s="13">
        <v>0.63</v>
      </c>
      <c r="E442" s="11">
        <v>2.9</v>
      </c>
      <c r="F442" s="12">
        <v>7.1999999999999995E-2</v>
      </c>
      <c r="G442" s="11">
        <v>10</v>
      </c>
      <c r="H442" s="11">
        <v>26</v>
      </c>
      <c r="I442" s="14">
        <v>0.99680000000000002</v>
      </c>
      <c r="J442" s="13">
        <v>3.16</v>
      </c>
      <c r="K442" s="13">
        <v>0.78</v>
      </c>
      <c r="L442" s="11">
        <v>12.5</v>
      </c>
      <c r="M442" s="10">
        <v>7</v>
      </c>
    </row>
    <row r="443" spans="1:13" x14ac:dyDescent="0.3">
      <c r="A443" s="10">
        <v>442</v>
      </c>
      <c r="B443" s="11">
        <v>10.4</v>
      </c>
      <c r="C443" s="12">
        <v>0.24</v>
      </c>
      <c r="D443" s="13">
        <v>0.46</v>
      </c>
      <c r="E443" s="11">
        <v>1.8</v>
      </c>
      <c r="F443" s="12">
        <v>7.4999999999999997E-2</v>
      </c>
      <c r="G443" s="11">
        <v>6</v>
      </c>
      <c r="H443" s="11">
        <v>21</v>
      </c>
      <c r="I443" s="14">
        <v>0.99760000000000004</v>
      </c>
      <c r="J443" s="13">
        <v>3.25</v>
      </c>
      <c r="K443" s="13">
        <v>1.02</v>
      </c>
      <c r="L443" s="11">
        <v>10.8</v>
      </c>
      <c r="M443" s="10">
        <v>7</v>
      </c>
    </row>
    <row r="444" spans="1:13" x14ac:dyDescent="0.3">
      <c r="A444" s="10">
        <v>443</v>
      </c>
      <c r="B444" s="11">
        <v>11.2</v>
      </c>
      <c r="C444" s="12">
        <v>0.67</v>
      </c>
      <c r="D444" s="13">
        <v>0.55000000000000004</v>
      </c>
      <c r="E444" s="11">
        <v>2.2999999999999998</v>
      </c>
      <c r="F444" s="12">
        <v>8.4000000000000005E-2</v>
      </c>
      <c r="G444" s="11">
        <v>6</v>
      </c>
      <c r="H444" s="11">
        <v>13</v>
      </c>
      <c r="I444" s="14">
        <v>1</v>
      </c>
      <c r="J444" s="13">
        <v>3.17</v>
      </c>
      <c r="K444" s="13">
        <v>0.71</v>
      </c>
      <c r="L444" s="11">
        <v>9.5</v>
      </c>
      <c r="M444" s="10">
        <v>6</v>
      </c>
    </row>
    <row r="445" spans="1:13" x14ac:dyDescent="0.3">
      <c r="A445" s="10">
        <v>444</v>
      </c>
      <c r="B445" s="11">
        <v>10</v>
      </c>
      <c r="C445" s="12">
        <v>0.59</v>
      </c>
      <c r="D445" s="13">
        <v>0.31</v>
      </c>
      <c r="E445" s="11">
        <v>2.2000000000000002</v>
      </c>
      <c r="F445" s="12">
        <v>0.09</v>
      </c>
      <c r="G445" s="11">
        <v>26</v>
      </c>
      <c r="H445" s="11">
        <v>62</v>
      </c>
      <c r="I445" s="14">
        <v>0.99939999999999996</v>
      </c>
      <c r="J445" s="13">
        <v>3.18</v>
      </c>
      <c r="K445" s="13">
        <v>0.63</v>
      </c>
      <c r="L445" s="11">
        <v>10.199999999999999</v>
      </c>
      <c r="M445" s="10">
        <v>6</v>
      </c>
    </row>
    <row r="446" spans="1:13" x14ac:dyDescent="0.3">
      <c r="A446" s="10">
        <v>445</v>
      </c>
      <c r="B446" s="11">
        <v>13.3</v>
      </c>
      <c r="C446" s="12">
        <v>0.28999999999999998</v>
      </c>
      <c r="D446" s="13">
        <v>0.75</v>
      </c>
      <c r="E446" s="11">
        <v>2.8</v>
      </c>
      <c r="F446" s="12">
        <v>8.4000000000000005E-2</v>
      </c>
      <c r="G446" s="11">
        <v>23</v>
      </c>
      <c r="H446" s="11">
        <v>43</v>
      </c>
      <c r="I446" s="14">
        <v>0.99860000000000004</v>
      </c>
      <c r="J446" s="13">
        <v>3.04</v>
      </c>
      <c r="K446" s="13">
        <v>0.68</v>
      </c>
      <c r="L446" s="11">
        <v>11.4</v>
      </c>
      <c r="M446" s="10">
        <v>7</v>
      </c>
    </row>
    <row r="447" spans="1:13" x14ac:dyDescent="0.3">
      <c r="A447" s="10">
        <v>446</v>
      </c>
      <c r="B447" s="11">
        <v>12.4</v>
      </c>
      <c r="C447" s="12">
        <v>0.42</v>
      </c>
      <c r="D447" s="13">
        <v>0.49</v>
      </c>
      <c r="E447" s="11">
        <v>4.5999999999999996</v>
      </c>
      <c r="F447" s="12">
        <v>7.2999999999999995E-2</v>
      </c>
      <c r="G447" s="11">
        <v>19</v>
      </c>
      <c r="H447" s="11">
        <v>43</v>
      </c>
      <c r="I447" s="14">
        <v>0.99780000000000002</v>
      </c>
      <c r="J447" s="13">
        <v>3.02</v>
      </c>
      <c r="K447" s="13">
        <v>0.61</v>
      </c>
      <c r="L447" s="11">
        <v>9.5</v>
      </c>
      <c r="M447" s="10">
        <v>5</v>
      </c>
    </row>
    <row r="448" spans="1:13" x14ac:dyDescent="0.3">
      <c r="A448" s="10">
        <v>447</v>
      </c>
      <c r="B448" s="11">
        <v>10.7</v>
      </c>
      <c r="C448" s="12">
        <v>0.4</v>
      </c>
      <c r="D448" s="13">
        <v>0.48</v>
      </c>
      <c r="E448" s="11">
        <v>2.1</v>
      </c>
      <c r="F448" s="12">
        <v>0.125</v>
      </c>
      <c r="G448" s="11">
        <v>15</v>
      </c>
      <c r="H448" s="11">
        <v>49</v>
      </c>
      <c r="I448" s="14">
        <v>0.998</v>
      </c>
      <c r="J448" s="13">
        <v>3.03</v>
      </c>
      <c r="K448" s="13">
        <v>0.81</v>
      </c>
      <c r="L448" s="11">
        <v>9.6999999999999993</v>
      </c>
      <c r="M448" s="10">
        <v>6</v>
      </c>
    </row>
    <row r="449" spans="1:13" x14ac:dyDescent="0.3">
      <c r="A449" s="10">
        <v>448</v>
      </c>
      <c r="B449" s="11">
        <v>10.5</v>
      </c>
      <c r="C449" s="12">
        <v>0.51</v>
      </c>
      <c r="D449" s="13">
        <v>0.64</v>
      </c>
      <c r="E449" s="11">
        <v>2.4</v>
      </c>
      <c r="F449" s="12">
        <v>0.107</v>
      </c>
      <c r="G449" s="11">
        <v>6</v>
      </c>
      <c r="H449" s="11">
        <v>15</v>
      </c>
      <c r="I449" s="14">
        <v>0.99729999999999996</v>
      </c>
      <c r="J449" s="13">
        <v>3.09</v>
      </c>
      <c r="K449" s="13">
        <v>0.66</v>
      </c>
      <c r="L449" s="11">
        <v>11.8</v>
      </c>
      <c r="M449" s="10">
        <v>7</v>
      </c>
    </row>
    <row r="450" spans="1:13" x14ac:dyDescent="0.3">
      <c r="A450" s="10">
        <v>449</v>
      </c>
      <c r="B450" s="11">
        <v>8.5</v>
      </c>
      <c r="C450" s="12">
        <v>0.65500000000000003</v>
      </c>
      <c r="D450" s="13">
        <v>0.49</v>
      </c>
      <c r="E450" s="11">
        <v>6.1</v>
      </c>
      <c r="F450" s="12">
        <v>0.122</v>
      </c>
      <c r="G450" s="11">
        <v>34</v>
      </c>
      <c r="H450" s="11">
        <v>151</v>
      </c>
      <c r="I450" s="14">
        <v>1.0009999999999999</v>
      </c>
      <c r="J450" s="13">
        <v>3.31</v>
      </c>
      <c r="K450" s="13">
        <v>1.1399999999999999</v>
      </c>
      <c r="L450" s="11">
        <v>9.3000000000000007</v>
      </c>
      <c r="M450" s="10">
        <v>5</v>
      </c>
    </row>
    <row r="451" spans="1:13" x14ac:dyDescent="0.3">
      <c r="A451" s="10">
        <v>450</v>
      </c>
      <c r="B451" s="11">
        <v>12.5</v>
      </c>
      <c r="C451" s="12">
        <v>0.6</v>
      </c>
      <c r="D451" s="13">
        <v>0.49</v>
      </c>
      <c r="E451" s="11">
        <v>4.3</v>
      </c>
      <c r="F451" s="12">
        <v>0.1</v>
      </c>
      <c r="G451" s="11">
        <v>5</v>
      </c>
      <c r="H451" s="11">
        <v>14</v>
      </c>
      <c r="I451" s="14">
        <v>1.0009999999999999</v>
      </c>
      <c r="J451" s="13">
        <v>3.25</v>
      </c>
      <c r="K451" s="13">
        <v>0.74</v>
      </c>
      <c r="L451" s="11">
        <v>11.9</v>
      </c>
      <c r="M451" s="10">
        <v>6</v>
      </c>
    </row>
    <row r="452" spans="1:13" x14ac:dyDescent="0.3">
      <c r="A452" s="10">
        <v>451</v>
      </c>
      <c r="B452" s="11">
        <v>10.4</v>
      </c>
      <c r="C452" s="12">
        <v>0.61</v>
      </c>
      <c r="D452" s="13">
        <v>0.49</v>
      </c>
      <c r="E452" s="11">
        <v>2.1</v>
      </c>
      <c r="F452" s="12">
        <v>0.2</v>
      </c>
      <c r="G452" s="11">
        <v>5</v>
      </c>
      <c r="H452" s="11">
        <v>16</v>
      </c>
      <c r="I452" s="14">
        <v>0.99939999999999996</v>
      </c>
      <c r="J452" s="13">
        <v>3.16</v>
      </c>
      <c r="K452" s="13">
        <v>0.63</v>
      </c>
      <c r="L452" s="11">
        <v>8.4</v>
      </c>
      <c r="M452" s="10">
        <v>3</v>
      </c>
    </row>
    <row r="453" spans="1:13" x14ac:dyDescent="0.3">
      <c r="A453" s="10">
        <v>452</v>
      </c>
      <c r="B453" s="11">
        <v>10.9</v>
      </c>
      <c r="C453" s="12">
        <v>0.21</v>
      </c>
      <c r="D453" s="13">
        <v>0.49</v>
      </c>
      <c r="E453" s="11">
        <v>2.8</v>
      </c>
      <c r="F453" s="12">
        <v>8.7999999999999995E-2</v>
      </c>
      <c r="G453" s="11">
        <v>11</v>
      </c>
      <c r="H453" s="11">
        <v>32</v>
      </c>
      <c r="I453" s="14">
        <v>0.99719999999999998</v>
      </c>
      <c r="J453" s="13">
        <v>3.22</v>
      </c>
      <c r="K453" s="13">
        <v>0.68</v>
      </c>
      <c r="L453" s="11">
        <v>11.7</v>
      </c>
      <c r="M453" s="10">
        <v>6</v>
      </c>
    </row>
    <row r="454" spans="1:13" x14ac:dyDescent="0.3">
      <c r="A454" s="10">
        <v>453</v>
      </c>
      <c r="B454" s="11">
        <v>7.3</v>
      </c>
      <c r="C454" s="12">
        <v>0.36499999999999999</v>
      </c>
      <c r="D454" s="13">
        <v>0.49</v>
      </c>
      <c r="E454" s="11">
        <v>2.5</v>
      </c>
      <c r="F454" s="12">
        <v>8.7999999999999995E-2</v>
      </c>
      <c r="G454" s="11">
        <v>39</v>
      </c>
      <c r="H454" s="11">
        <v>106</v>
      </c>
      <c r="I454" s="14">
        <v>0.99660000000000004</v>
      </c>
      <c r="J454" s="13">
        <v>3.36</v>
      </c>
      <c r="K454" s="13">
        <v>0.78</v>
      </c>
      <c r="L454" s="11">
        <v>11</v>
      </c>
      <c r="M454" s="10">
        <v>5</v>
      </c>
    </row>
    <row r="455" spans="1:13" x14ac:dyDescent="0.3">
      <c r="A455" s="10">
        <v>454</v>
      </c>
      <c r="B455" s="11">
        <v>9.8000000000000007</v>
      </c>
      <c r="C455" s="12">
        <v>0.25</v>
      </c>
      <c r="D455" s="13">
        <v>0.49</v>
      </c>
      <c r="E455" s="11">
        <v>2.7</v>
      </c>
      <c r="F455" s="12">
        <v>8.7999999999999995E-2</v>
      </c>
      <c r="G455" s="11">
        <v>15</v>
      </c>
      <c r="H455" s="11">
        <v>33</v>
      </c>
      <c r="I455" s="14">
        <v>0.99819999999999998</v>
      </c>
      <c r="J455" s="13">
        <v>3.42</v>
      </c>
      <c r="K455" s="13">
        <v>0.9</v>
      </c>
      <c r="L455" s="11">
        <v>10</v>
      </c>
      <c r="M455" s="10">
        <v>6</v>
      </c>
    </row>
    <row r="456" spans="1:13" x14ac:dyDescent="0.3">
      <c r="A456" s="10">
        <v>455</v>
      </c>
      <c r="B456" s="11">
        <v>7.6</v>
      </c>
      <c r="C456" s="12">
        <v>0.41</v>
      </c>
      <c r="D456" s="13">
        <v>0.49</v>
      </c>
      <c r="E456" s="11">
        <v>2</v>
      </c>
      <c r="F456" s="12">
        <v>8.7999999999999995E-2</v>
      </c>
      <c r="G456" s="11">
        <v>16</v>
      </c>
      <c r="H456" s="11">
        <v>43</v>
      </c>
      <c r="I456" s="14">
        <v>0.998</v>
      </c>
      <c r="J456" s="13">
        <v>3.48</v>
      </c>
      <c r="K456" s="13">
        <v>0.64</v>
      </c>
      <c r="L456" s="11">
        <v>9.1</v>
      </c>
      <c r="M456" s="10">
        <v>5</v>
      </c>
    </row>
    <row r="457" spans="1:13" x14ac:dyDescent="0.3">
      <c r="A457" s="10">
        <v>456</v>
      </c>
      <c r="B457" s="11">
        <v>8.1999999999999993</v>
      </c>
      <c r="C457" s="12">
        <v>0.39</v>
      </c>
      <c r="D457" s="13">
        <v>0.49</v>
      </c>
      <c r="E457" s="11">
        <v>2.2999999999999998</v>
      </c>
      <c r="F457" s="12">
        <v>9.9000000000000005E-2</v>
      </c>
      <c r="G457" s="11">
        <v>47</v>
      </c>
      <c r="H457" s="11">
        <v>133</v>
      </c>
      <c r="I457" s="14">
        <v>0.99790000000000001</v>
      </c>
      <c r="J457" s="13">
        <v>3.38</v>
      </c>
      <c r="K457" s="13">
        <v>0.99</v>
      </c>
      <c r="L457" s="11">
        <v>9.8000000000000007</v>
      </c>
      <c r="M457" s="10">
        <v>5</v>
      </c>
    </row>
    <row r="458" spans="1:13" x14ac:dyDescent="0.3">
      <c r="A458" s="10">
        <v>457</v>
      </c>
      <c r="B458" s="11">
        <v>9.3000000000000007</v>
      </c>
      <c r="C458" s="12">
        <v>0.4</v>
      </c>
      <c r="D458" s="13">
        <v>0.49</v>
      </c>
      <c r="E458" s="11">
        <v>2.5</v>
      </c>
      <c r="F458" s="12">
        <v>8.5000000000000006E-2</v>
      </c>
      <c r="G458" s="11">
        <v>38</v>
      </c>
      <c r="H458" s="11">
        <v>142</v>
      </c>
      <c r="I458" s="14">
        <v>0.99780000000000002</v>
      </c>
      <c r="J458" s="13">
        <v>3.22</v>
      </c>
      <c r="K458" s="13">
        <v>0.55000000000000004</v>
      </c>
      <c r="L458" s="11">
        <v>9.4</v>
      </c>
      <c r="M458" s="10">
        <v>5</v>
      </c>
    </row>
    <row r="459" spans="1:13" x14ac:dyDescent="0.3">
      <c r="A459" s="10">
        <v>458</v>
      </c>
      <c r="B459" s="11">
        <v>9.1999999999999993</v>
      </c>
      <c r="C459" s="12">
        <v>0.43</v>
      </c>
      <c r="D459" s="13">
        <v>0.49</v>
      </c>
      <c r="E459" s="11">
        <v>2.4</v>
      </c>
      <c r="F459" s="12">
        <v>8.5999999999999993E-2</v>
      </c>
      <c r="G459" s="11">
        <v>23</v>
      </c>
      <c r="H459" s="11">
        <v>116</v>
      </c>
      <c r="I459" s="14">
        <v>0.99760000000000004</v>
      </c>
      <c r="J459" s="13">
        <v>3.23</v>
      </c>
      <c r="K459" s="13">
        <v>0.64</v>
      </c>
      <c r="L459" s="11">
        <v>9.5</v>
      </c>
      <c r="M459" s="10">
        <v>5</v>
      </c>
    </row>
    <row r="460" spans="1:13" x14ac:dyDescent="0.3">
      <c r="A460" s="10">
        <v>459</v>
      </c>
      <c r="B460" s="11">
        <v>10.4</v>
      </c>
      <c r="C460" s="12">
        <v>0.64</v>
      </c>
      <c r="D460" s="13">
        <v>0.24</v>
      </c>
      <c r="E460" s="11">
        <v>2.8</v>
      </c>
      <c r="F460" s="12">
        <v>0.105</v>
      </c>
      <c r="G460" s="11">
        <v>29</v>
      </c>
      <c r="H460" s="11">
        <v>53</v>
      </c>
      <c r="I460" s="14">
        <v>0.99980000000000002</v>
      </c>
      <c r="J460" s="13">
        <v>3.24</v>
      </c>
      <c r="K460" s="13">
        <v>0.67</v>
      </c>
      <c r="L460" s="11">
        <v>9.9</v>
      </c>
      <c r="M460" s="10">
        <v>5</v>
      </c>
    </row>
    <row r="461" spans="1:13" x14ac:dyDescent="0.3">
      <c r="A461" s="10">
        <v>460</v>
      </c>
      <c r="B461" s="11">
        <v>7</v>
      </c>
      <c r="C461" s="12">
        <v>0.38</v>
      </c>
      <c r="D461" s="13">
        <v>0.49</v>
      </c>
      <c r="E461" s="11">
        <v>2.5</v>
      </c>
      <c r="F461" s="12">
        <v>9.7000000000000003E-2</v>
      </c>
      <c r="G461" s="11">
        <v>33</v>
      </c>
      <c r="H461" s="11">
        <v>85</v>
      </c>
      <c r="I461" s="14">
        <v>0.99619999999999997</v>
      </c>
      <c r="J461" s="13">
        <v>3.39</v>
      </c>
      <c r="K461" s="13">
        <v>0.77</v>
      </c>
      <c r="L461" s="11">
        <v>11.4</v>
      </c>
      <c r="M461" s="10">
        <v>6</v>
      </c>
    </row>
    <row r="462" spans="1:13" x14ac:dyDescent="0.3">
      <c r="A462" s="10">
        <v>461</v>
      </c>
      <c r="B462" s="11">
        <v>8.1999999999999993</v>
      </c>
      <c r="C462" s="12">
        <v>0.42</v>
      </c>
      <c r="D462" s="13">
        <v>0.49</v>
      </c>
      <c r="E462" s="11">
        <v>2.6</v>
      </c>
      <c r="F462" s="12">
        <v>8.4000000000000005E-2</v>
      </c>
      <c r="G462" s="11">
        <v>32</v>
      </c>
      <c r="H462" s="11">
        <v>55</v>
      </c>
      <c r="I462" s="14">
        <v>0.99880000000000002</v>
      </c>
      <c r="J462" s="13">
        <v>3.34</v>
      </c>
      <c r="K462" s="13">
        <v>0.75</v>
      </c>
      <c r="L462" s="11">
        <v>8.6999999999999993</v>
      </c>
      <c r="M462" s="10">
        <v>6</v>
      </c>
    </row>
    <row r="463" spans="1:13" x14ac:dyDescent="0.3">
      <c r="A463" s="10">
        <v>462</v>
      </c>
      <c r="B463" s="11">
        <v>9.9</v>
      </c>
      <c r="C463" s="12">
        <v>0.63</v>
      </c>
      <c r="D463" s="13">
        <v>0.24</v>
      </c>
      <c r="E463" s="11">
        <v>2.4</v>
      </c>
      <c r="F463" s="12">
        <v>7.6999999999999999E-2</v>
      </c>
      <c r="G463" s="11">
        <v>6</v>
      </c>
      <c r="H463" s="11">
        <v>33</v>
      </c>
      <c r="I463" s="14">
        <v>0.99739999999999995</v>
      </c>
      <c r="J463" s="13">
        <v>3.09</v>
      </c>
      <c r="K463" s="13">
        <v>0.56999999999999995</v>
      </c>
      <c r="L463" s="11">
        <v>9.4</v>
      </c>
      <c r="M463" s="10">
        <v>5</v>
      </c>
    </row>
    <row r="464" spans="1:13" x14ac:dyDescent="0.3">
      <c r="A464" s="10">
        <v>463</v>
      </c>
      <c r="B464" s="11">
        <v>9.1</v>
      </c>
      <c r="C464" s="12">
        <v>0.22</v>
      </c>
      <c r="D464" s="13">
        <v>0.24</v>
      </c>
      <c r="E464" s="11">
        <v>2.1</v>
      </c>
      <c r="F464" s="12">
        <v>7.8E-2</v>
      </c>
      <c r="G464" s="11">
        <v>1</v>
      </c>
      <c r="H464" s="11">
        <v>28</v>
      </c>
      <c r="I464" s="14">
        <v>0.999</v>
      </c>
      <c r="J464" s="13">
        <v>3.41</v>
      </c>
      <c r="K464" s="13">
        <v>0.87</v>
      </c>
      <c r="L464" s="11">
        <v>10.3</v>
      </c>
      <c r="M464" s="10">
        <v>6</v>
      </c>
    </row>
    <row r="465" spans="1:13" x14ac:dyDescent="0.3">
      <c r="A465" s="10">
        <v>464</v>
      </c>
      <c r="B465" s="11">
        <v>11.9</v>
      </c>
      <c r="C465" s="12">
        <v>0.38</v>
      </c>
      <c r="D465" s="13">
        <v>0.49</v>
      </c>
      <c r="E465" s="11">
        <v>2.7</v>
      </c>
      <c r="F465" s="12">
        <v>9.8000000000000004E-2</v>
      </c>
      <c r="G465" s="11">
        <v>12</v>
      </c>
      <c r="H465" s="11">
        <v>42</v>
      </c>
      <c r="I465" s="14">
        <v>1.0004</v>
      </c>
      <c r="J465" s="13">
        <v>3.16</v>
      </c>
      <c r="K465" s="13">
        <v>0.61</v>
      </c>
      <c r="L465" s="11">
        <v>10.3</v>
      </c>
      <c r="M465" s="10">
        <v>5</v>
      </c>
    </row>
    <row r="466" spans="1:13" x14ac:dyDescent="0.3">
      <c r="A466" s="10">
        <v>465</v>
      </c>
      <c r="B466" s="11">
        <v>10.3</v>
      </c>
      <c r="C466" s="12">
        <v>0.27</v>
      </c>
      <c r="D466" s="13">
        <v>0.24</v>
      </c>
      <c r="E466" s="11">
        <v>2.1</v>
      </c>
      <c r="F466" s="12">
        <v>7.1999999999999995E-2</v>
      </c>
      <c r="G466" s="11">
        <v>15</v>
      </c>
      <c r="H466" s="11">
        <v>33</v>
      </c>
      <c r="I466" s="14">
        <v>0.99560000000000004</v>
      </c>
      <c r="J466" s="13">
        <v>3.22</v>
      </c>
      <c r="K466" s="13">
        <v>0.66</v>
      </c>
      <c r="L466" s="11">
        <v>12.8</v>
      </c>
      <c r="M466" s="10">
        <v>6</v>
      </c>
    </row>
    <row r="467" spans="1:13" x14ac:dyDescent="0.3">
      <c r="A467" s="10">
        <v>466</v>
      </c>
      <c r="B467" s="11">
        <v>10</v>
      </c>
      <c r="C467" s="12">
        <v>0.48</v>
      </c>
      <c r="D467" s="13">
        <v>0.24</v>
      </c>
      <c r="E467" s="11">
        <v>2.7</v>
      </c>
      <c r="F467" s="12">
        <v>0.10199999999999999</v>
      </c>
      <c r="G467" s="11">
        <v>13</v>
      </c>
      <c r="H467" s="11">
        <v>32</v>
      </c>
      <c r="I467" s="14">
        <v>1</v>
      </c>
      <c r="J467" s="13">
        <v>3.28</v>
      </c>
      <c r="K467" s="13">
        <v>0.56000000000000005</v>
      </c>
      <c r="L467" s="11">
        <v>10</v>
      </c>
      <c r="M467" s="10">
        <v>6</v>
      </c>
    </row>
    <row r="468" spans="1:13" x14ac:dyDescent="0.3">
      <c r="A468" s="10">
        <v>467</v>
      </c>
      <c r="B468" s="11">
        <v>8.1</v>
      </c>
      <c r="C468" s="12">
        <v>0.82499999999999996</v>
      </c>
      <c r="D468" s="13">
        <v>0.24</v>
      </c>
      <c r="E468" s="11">
        <v>2.1</v>
      </c>
      <c r="F468" s="12">
        <v>8.4000000000000005E-2</v>
      </c>
      <c r="G468" s="11">
        <v>5</v>
      </c>
      <c r="H468" s="11">
        <v>13</v>
      </c>
      <c r="I468" s="14">
        <v>0.99719999999999998</v>
      </c>
      <c r="J468" s="13">
        <v>3.37</v>
      </c>
      <c r="K468" s="13">
        <v>0.77</v>
      </c>
      <c r="L468" s="11">
        <v>10.7</v>
      </c>
      <c r="M468" s="10">
        <v>6</v>
      </c>
    </row>
    <row r="469" spans="1:13" x14ac:dyDescent="0.3">
      <c r="A469" s="10">
        <v>468</v>
      </c>
      <c r="B469" s="11">
        <v>12.9</v>
      </c>
      <c r="C469" s="12">
        <v>0.35</v>
      </c>
      <c r="D469" s="13">
        <v>0.49</v>
      </c>
      <c r="E469" s="11">
        <v>5.8</v>
      </c>
      <c r="F469" s="12">
        <v>6.6000000000000003E-2</v>
      </c>
      <c r="G469" s="11">
        <v>5</v>
      </c>
      <c r="H469" s="11">
        <v>35</v>
      </c>
      <c r="I469" s="14">
        <v>1.0014000000000001</v>
      </c>
      <c r="J469" s="13">
        <v>3.2</v>
      </c>
      <c r="K469" s="13">
        <v>0.66</v>
      </c>
      <c r="L469" s="11">
        <v>12</v>
      </c>
      <c r="M469" s="10">
        <v>7</v>
      </c>
    </row>
    <row r="470" spans="1:13" x14ac:dyDescent="0.3">
      <c r="A470" s="10">
        <v>469</v>
      </c>
      <c r="B470" s="11">
        <v>11.2</v>
      </c>
      <c r="C470" s="12">
        <v>0.5</v>
      </c>
      <c r="D470" s="13">
        <v>0.74</v>
      </c>
      <c r="E470" s="11">
        <v>5.15</v>
      </c>
      <c r="F470" s="12">
        <v>0.1</v>
      </c>
      <c r="G470" s="11">
        <v>5</v>
      </c>
      <c r="H470" s="11">
        <v>17</v>
      </c>
      <c r="I470" s="14">
        <v>0.99960000000000004</v>
      </c>
      <c r="J470" s="13">
        <v>3.22</v>
      </c>
      <c r="K470" s="13">
        <v>0.62</v>
      </c>
      <c r="L470" s="11">
        <v>11.2</v>
      </c>
      <c r="M470" s="10">
        <v>5</v>
      </c>
    </row>
    <row r="471" spans="1:13" x14ac:dyDescent="0.3">
      <c r="A471" s="10">
        <v>470</v>
      </c>
      <c r="B471" s="11">
        <v>9.1999999999999993</v>
      </c>
      <c r="C471" s="12">
        <v>0.59</v>
      </c>
      <c r="D471" s="13">
        <v>0.24</v>
      </c>
      <c r="E471" s="11">
        <v>3.3</v>
      </c>
      <c r="F471" s="12">
        <v>0.10100000000000001</v>
      </c>
      <c r="G471" s="11">
        <v>20</v>
      </c>
      <c r="H471" s="11">
        <v>47</v>
      </c>
      <c r="I471" s="14">
        <v>0.99880000000000002</v>
      </c>
      <c r="J471" s="13">
        <v>3.26</v>
      </c>
      <c r="K471" s="13">
        <v>0.67</v>
      </c>
      <c r="L471" s="11">
        <v>9.6</v>
      </c>
      <c r="M471" s="10">
        <v>5</v>
      </c>
    </row>
    <row r="472" spans="1:13" x14ac:dyDescent="0.3">
      <c r="A472" s="10">
        <v>471</v>
      </c>
      <c r="B472" s="11">
        <v>9.5</v>
      </c>
      <c r="C472" s="12">
        <v>0.46</v>
      </c>
      <c r="D472" s="13">
        <v>0.49</v>
      </c>
      <c r="E472" s="11">
        <v>6.3</v>
      </c>
      <c r="F472" s="12">
        <v>6.4000000000000001E-2</v>
      </c>
      <c r="G472" s="11">
        <v>5</v>
      </c>
      <c r="H472" s="11">
        <v>17</v>
      </c>
      <c r="I472" s="14">
        <v>0.99880000000000002</v>
      </c>
      <c r="J472" s="13">
        <v>3.21</v>
      </c>
      <c r="K472" s="13">
        <v>0.73</v>
      </c>
      <c r="L472" s="11">
        <v>11</v>
      </c>
      <c r="M472" s="10">
        <v>6</v>
      </c>
    </row>
    <row r="473" spans="1:13" x14ac:dyDescent="0.3">
      <c r="A473" s="10">
        <v>472</v>
      </c>
      <c r="B473" s="11">
        <v>9.3000000000000007</v>
      </c>
      <c r="C473" s="12">
        <v>0.71499999999999997</v>
      </c>
      <c r="D473" s="13">
        <v>0.24</v>
      </c>
      <c r="E473" s="11">
        <v>2.1</v>
      </c>
      <c r="F473" s="12">
        <v>7.0000000000000007E-2</v>
      </c>
      <c r="G473" s="11">
        <v>5</v>
      </c>
      <c r="H473" s="11">
        <v>20</v>
      </c>
      <c r="I473" s="14">
        <v>0.99660000000000004</v>
      </c>
      <c r="J473" s="13">
        <v>3.12</v>
      </c>
      <c r="K473" s="13">
        <v>0.59</v>
      </c>
      <c r="L473" s="11">
        <v>9.9</v>
      </c>
      <c r="M473" s="10">
        <v>5</v>
      </c>
    </row>
    <row r="474" spans="1:13" x14ac:dyDescent="0.3">
      <c r="A474" s="10">
        <v>473</v>
      </c>
      <c r="B474" s="11">
        <v>11.2</v>
      </c>
      <c r="C474" s="12">
        <v>0.66</v>
      </c>
      <c r="D474" s="13">
        <v>0.24</v>
      </c>
      <c r="E474" s="11">
        <v>2.5</v>
      </c>
      <c r="F474" s="12">
        <v>8.5000000000000006E-2</v>
      </c>
      <c r="G474" s="11">
        <v>16</v>
      </c>
      <c r="H474" s="11">
        <v>53</v>
      </c>
      <c r="I474" s="14">
        <v>0.99929999999999997</v>
      </c>
      <c r="J474" s="13">
        <v>3.06</v>
      </c>
      <c r="K474" s="13">
        <v>0.72</v>
      </c>
      <c r="L474" s="11">
        <v>11</v>
      </c>
      <c r="M474" s="10">
        <v>6</v>
      </c>
    </row>
    <row r="475" spans="1:13" x14ac:dyDescent="0.3">
      <c r="A475" s="10">
        <v>474</v>
      </c>
      <c r="B475" s="11">
        <v>14.3</v>
      </c>
      <c r="C475" s="12">
        <v>0.31</v>
      </c>
      <c r="D475" s="13">
        <v>0.74</v>
      </c>
      <c r="E475" s="11">
        <v>1.8</v>
      </c>
      <c r="F475" s="12">
        <v>7.4999999999999997E-2</v>
      </c>
      <c r="G475" s="11">
        <v>6</v>
      </c>
      <c r="H475" s="11">
        <v>15</v>
      </c>
      <c r="I475" s="14">
        <v>1.0007999999999999</v>
      </c>
      <c r="J475" s="13">
        <v>2.86</v>
      </c>
      <c r="K475" s="13">
        <v>0.79</v>
      </c>
      <c r="L475" s="11">
        <v>8.4</v>
      </c>
      <c r="M475" s="10">
        <v>6</v>
      </c>
    </row>
    <row r="476" spans="1:13" x14ac:dyDescent="0.3">
      <c r="A476" s="10">
        <v>475</v>
      </c>
      <c r="B476" s="11">
        <v>9.1</v>
      </c>
      <c r="C476" s="12">
        <v>0.47</v>
      </c>
      <c r="D476" s="13">
        <v>0.49</v>
      </c>
      <c r="E476" s="11">
        <v>2.6</v>
      </c>
      <c r="F476" s="12">
        <v>9.4E-2</v>
      </c>
      <c r="G476" s="11">
        <v>38</v>
      </c>
      <c r="H476" s="11">
        <v>106</v>
      </c>
      <c r="I476" s="14">
        <v>0.99819999999999998</v>
      </c>
      <c r="J476" s="13">
        <v>3.08</v>
      </c>
      <c r="K476" s="13">
        <v>0.59</v>
      </c>
      <c r="L476" s="11">
        <v>9.1</v>
      </c>
      <c r="M476" s="10">
        <v>5</v>
      </c>
    </row>
    <row r="477" spans="1:13" x14ac:dyDescent="0.3">
      <c r="A477" s="10">
        <v>476</v>
      </c>
      <c r="B477" s="11">
        <v>7.5</v>
      </c>
      <c r="C477" s="12">
        <v>0.55000000000000004</v>
      </c>
      <c r="D477" s="13">
        <v>0.24</v>
      </c>
      <c r="E477" s="11">
        <v>2</v>
      </c>
      <c r="F477" s="12">
        <v>7.8E-2</v>
      </c>
      <c r="G477" s="11">
        <v>10</v>
      </c>
      <c r="H477" s="11">
        <v>28</v>
      </c>
      <c r="I477" s="14">
        <v>0.99829999999999997</v>
      </c>
      <c r="J477" s="13">
        <v>3.45</v>
      </c>
      <c r="K477" s="13">
        <v>0.78</v>
      </c>
      <c r="L477" s="11">
        <v>9.5</v>
      </c>
      <c r="M477" s="10">
        <v>6</v>
      </c>
    </row>
    <row r="478" spans="1:13" x14ac:dyDescent="0.3">
      <c r="A478" s="10">
        <v>477</v>
      </c>
      <c r="B478" s="11">
        <v>10.6</v>
      </c>
      <c r="C478" s="12">
        <v>0.31</v>
      </c>
      <c r="D478" s="13">
        <v>0.49</v>
      </c>
      <c r="E478" s="11">
        <v>2.5</v>
      </c>
      <c r="F478" s="12">
        <v>6.7000000000000004E-2</v>
      </c>
      <c r="G478" s="11">
        <v>6</v>
      </c>
      <c r="H478" s="11">
        <v>21</v>
      </c>
      <c r="I478" s="14">
        <v>0.99870000000000003</v>
      </c>
      <c r="J478" s="13">
        <v>3.26</v>
      </c>
      <c r="K478" s="13">
        <v>0.86</v>
      </c>
      <c r="L478" s="11">
        <v>10.7</v>
      </c>
      <c r="M478" s="10">
        <v>6</v>
      </c>
    </row>
    <row r="479" spans="1:13" x14ac:dyDescent="0.3">
      <c r="A479" s="10">
        <v>478</v>
      </c>
      <c r="B479" s="11">
        <v>12.4</v>
      </c>
      <c r="C479" s="12">
        <v>0.35</v>
      </c>
      <c r="D479" s="13">
        <v>0.49</v>
      </c>
      <c r="E479" s="11">
        <v>2.6</v>
      </c>
      <c r="F479" s="12">
        <v>7.9000000000000001E-2</v>
      </c>
      <c r="G479" s="11">
        <v>27</v>
      </c>
      <c r="H479" s="11">
        <v>69</v>
      </c>
      <c r="I479" s="14">
        <v>0.99939999999999996</v>
      </c>
      <c r="J479" s="13">
        <v>3.12</v>
      </c>
      <c r="K479" s="13">
        <v>0.75</v>
      </c>
      <c r="L479" s="11">
        <v>10.4</v>
      </c>
      <c r="M479" s="10">
        <v>6</v>
      </c>
    </row>
    <row r="480" spans="1:13" x14ac:dyDescent="0.3">
      <c r="A480" s="10">
        <v>479</v>
      </c>
      <c r="B480" s="11">
        <v>9</v>
      </c>
      <c r="C480" s="12">
        <v>0.53</v>
      </c>
      <c r="D480" s="13">
        <v>0.49</v>
      </c>
      <c r="E480" s="11">
        <v>1.9</v>
      </c>
      <c r="F480" s="12">
        <v>0.17100000000000001</v>
      </c>
      <c r="G480" s="11">
        <v>6</v>
      </c>
      <c r="H480" s="11">
        <v>25</v>
      </c>
      <c r="I480" s="14">
        <v>0.99750000000000005</v>
      </c>
      <c r="J480" s="13">
        <v>3.27</v>
      </c>
      <c r="K480" s="13">
        <v>0.61</v>
      </c>
      <c r="L480" s="11">
        <v>9.4</v>
      </c>
      <c r="M480" s="10">
        <v>6</v>
      </c>
    </row>
    <row r="481" spans="1:13" x14ac:dyDescent="0.3">
      <c r="A481" s="10">
        <v>480</v>
      </c>
      <c r="B481" s="11">
        <v>6.8</v>
      </c>
      <c r="C481" s="12">
        <v>0.51</v>
      </c>
      <c r="D481" s="13">
        <v>0.01</v>
      </c>
      <c r="E481" s="11">
        <v>2.1</v>
      </c>
      <c r="F481" s="12">
        <v>7.3999999999999996E-2</v>
      </c>
      <c r="G481" s="11">
        <v>9</v>
      </c>
      <c r="H481" s="11">
        <v>25</v>
      </c>
      <c r="I481" s="14">
        <v>0.99580000000000002</v>
      </c>
      <c r="J481" s="13">
        <v>3.33</v>
      </c>
      <c r="K481" s="13">
        <v>0.56000000000000005</v>
      </c>
      <c r="L481" s="11">
        <v>9.5</v>
      </c>
      <c r="M481" s="10">
        <v>6</v>
      </c>
    </row>
    <row r="482" spans="1:13" x14ac:dyDescent="0.3">
      <c r="A482" s="10">
        <v>481</v>
      </c>
      <c r="B482" s="11">
        <v>9.4</v>
      </c>
      <c r="C482" s="12">
        <v>0.43</v>
      </c>
      <c r="D482" s="13">
        <v>0.24</v>
      </c>
      <c r="E482" s="11">
        <v>2.8</v>
      </c>
      <c r="F482" s="12">
        <v>9.1999999999999998E-2</v>
      </c>
      <c r="G482" s="11">
        <v>14</v>
      </c>
      <c r="H482" s="11">
        <v>45</v>
      </c>
      <c r="I482" s="14">
        <v>0.998</v>
      </c>
      <c r="J482" s="13">
        <v>3.19</v>
      </c>
      <c r="K482" s="13">
        <v>0.73</v>
      </c>
      <c r="L482" s="11">
        <v>10</v>
      </c>
      <c r="M482" s="10">
        <v>6</v>
      </c>
    </row>
    <row r="483" spans="1:13" x14ac:dyDescent="0.3">
      <c r="A483" s="10">
        <v>482</v>
      </c>
      <c r="B483" s="11">
        <v>9.5</v>
      </c>
      <c r="C483" s="12">
        <v>0.46</v>
      </c>
      <c r="D483" s="13">
        <v>0.24</v>
      </c>
      <c r="E483" s="11">
        <v>2.7</v>
      </c>
      <c r="F483" s="12">
        <v>9.1999999999999998E-2</v>
      </c>
      <c r="G483" s="11">
        <v>14</v>
      </c>
      <c r="H483" s="11">
        <v>44</v>
      </c>
      <c r="I483" s="14">
        <v>0.998</v>
      </c>
      <c r="J483" s="13">
        <v>3.12</v>
      </c>
      <c r="K483" s="13">
        <v>0.74</v>
      </c>
      <c r="L483" s="11">
        <v>10</v>
      </c>
      <c r="M483" s="10">
        <v>6</v>
      </c>
    </row>
    <row r="484" spans="1:13" x14ac:dyDescent="0.3">
      <c r="A484" s="10">
        <v>483</v>
      </c>
      <c r="B484" s="11">
        <v>5</v>
      </c>
      <c r="C484" s="12">
        <v>1.04</v>
      </c>
      <c r="D484" s="13">
        <v>0.24</v>
      </c>
      <c r="E484" s="11">
        <v>1.6</v>
      </c>
      <c r="F484" s="12">
        <v>0.05</v>
      </c>
      <c r="G484" s="11">
        <v>32</v>
      </c>
      <c r="H484" s="11">
        <v>96</v>
      </c>
      <c r="I484" s="14">
        <v>0.99339999999999995</v>
      </c>
      <c r="J484" s="13">
        <v>3.74</v>
      </c>
      <c r="K484" s="13">
        <v>0.62</v>
      </c>
      <c r="L484" s="11">
        <v>11.5</v>
      </c>
      <c r="M484" s="10">
        <v>5</v>
      </c>
    </row>
    <row r="485" spans="1:13" x14ac:dyDescent="0.3">
      <c r="A485" s="10">
        <v>484</v>
      </c>
      <c r="B485" s="11">
        <v>15.5</v>
      </c>
      <c r="C485" s="12">
        <v>0.64500000000000002</v>
      </c>
      <c r="D485" s="13">
        <v>0.49</v>
      </c>
      <c r="E485" s="11">
        <v>4.2</v>
      </c>
      <c r="F485" s="12">
        <v>9.5000000000000001E-2</v>
      </c>
      <c r="G485" s="11">
        <v>10</v>
      </c>
      <c r="H485" s="11">
        <v>23</v>
      </c>
      <c r="I485" s="14">
        <v>1.00315</v>
      </c>
      <c r="J485" s="13">
        <v>2.92</v>
      </c>
      <c r="K485" s="13">
        <v>0.74</v>
      </c>
      <c r="L485" s="11">
        <v>11.1</v>
      </c>
      <c r="M485" s="10">
        <v>5</v>
      </c>
    </row>
    <row r="486" spans="1:13" x14ac:dyDescent="0.3">
      <c r="A486" s="10">
        <v>485</v>
      </c>
      <c r="B486" s="11">
        <v>10.9</v>
      </c>
      <c r="C486" s="12">
        <v>0.53</v>
      </c>
      <c r="D486" s="13">
        <v>0.49</v>
      </c>
      <c r="E486" s="11">
        <v>4.5999999999999996</v>
      </c>
      <c r="F486" s="12">
        <v>0.11799999999999999</v>
      </c>
      <c r="G486" s="11">
        <v>10</v>
      </c>
      <c r="H486" s="11">
        <v>17</v>
      </c>
      <c r="I486" s="14">
        <v>1.0002</v>
      </c>
      <c r="J486" s="13">
        <v>3.07</v>
      </c>
      <c r="K486" s="13">
        <v>0.56000000000000005</v>
      </c>
      <c r="L486" s="11">
        <v>11.7</v>
      </c>
      <c r="M486" s="10">
        <v>6</v>
      </c>
    </row>
    <row r="487" spans="1:13" x14ac:dyDescent="0.3">
      <c r="A487" s="10">
        <v>486</v>
      </c>
      <c r="B487" s="11">
        <v>15.6</v>
      </c>
      <c r="C487" s="12">
        <v>0.64500000000000002</v>
      </c>
      <c r="D487" s="13">
        <v>0.49</v>
      </c>
      <c r="E487" s="11">
        <v>4.2</v>
      </c>
      <c r="F487" s="12">
        <v>9.5000000000000001E-2</v>
      </c>
      <c r="G487" s="11">
        <v>10</v>
      </c>
      <c r="H487" s="11">
        <v>23</v>
      </c>
      <c r="I487" s="14">
        <v>1.00315</v>
      </c>
      <c r="J487" s="13">
        <v>2.92</v>
      </c>
      <c r="K487" s="13">
        <v>0.74</v>
      </c>
      <c r="L487" s="11">
        <v>11.1</v>
      </c>
      <c r="M487" s="10">
        <v>5</v>
      </c>
    </row>
    <row r="488" spans="1:13" x14ac:dyDescent="0.3">
      <c r="A488" s="10">
        <v>487</v>
      </c>
      <c r="B488" s="11">
        <v>13</v>
      </c>
      <c r="C488" s="12">
        <v>0.47</v>
      </c>
      <c r="D488" s="13">
        <v>0.49</v>
      </c>
      <c r="E488" s="11">
        <v>4.3</v>
      </c>
      <c r="F488" s="12">
        <v>8.5000000000000006E-2</v>
      </c>
      <c r="G488" s="11">
        <v>6</v>
      </c>
      <c r="H488" s="11">
        <v>47</v>
      </c>
      <c r="I488" s="14">
        <v>1.0021</v>
      </c>
      <c r="J488" s="13">
        <v>3.3</v>
      </c>
      <c r="K488" s="13">
        <v>0.68</v>
      </c>
      <c r="L488" s="11">
        <v>12.7</v>
      </c>
      <c r="M488" s="10">
        <v>6</v>
      </c>
    </row>
    <row r="489" spans="1:13" x14ac:dyDescent="0.3">
      <c r="A489" s="10">
        <v>488</v>
      </c>
      <c r="B489" s="11">
        <v>12.7</v>
      </c>
      <c r="C489" s="12">
        <v>0.6</v>
      </c>
      <c r="D489" s="13">
        <v>0.49</v>
      </c>
      <c r="E489" s="11">
        <v>2.8</v>
      </c>
      <c r="F489" s="12">
        <v>7.4999999999999997E-2</v>
      </c>
      <c r="G489" s="11">
        <v>5</v>
      </c>
      <c r="H489" s="11">
        <v>19</v>
      </c>
      <c r="I489" s="14">
        <v>0.99939999999999996</v>
      </c>
      <c r="J489" s="13">
        <v>3.14</v>
      </c>
      <c r="K489" s="13">
        <v>0.56999999999999995</v>
      </c>
      <c r="L489" s="11">
        <v>11.4</v>
      </c>
      <c r="M489" s="10">
        <v>5</v>
      </c>
    </row>
    <row r="490" spans="1:13" x14ac:dyDescent="0.3">
      <c r="A490" s="10">
        <v>489</v>
      </c>
      <c r="B490" s="11">
        <v>9</v>
      </c>
      <c r="C490" s="12">
        <v>0.44</v>
      </c>
      <c r="D490" s="13">
        <v>0.49</v>
      </c>
      <c r="E490" s="11">
        <v>2.4</v>
      </c>
      <c r="F490" s="12">
        <v>7.8E-2</v>
      </c>
      <c r="G490" s="11">
        <v>26</v>
      </c>
      <c r="H490" s="11">
        <v>121</v>
      </c>
      <c r="I490" s="14">
        <v>0.99780000000000002</v>
      </c>
      <c r="J490" s="13">
        <v>3.23</v>
      </c>
      <c r="K490" s="13">
        <v>0.57999999999999996</v>
      </c>
      <c r="L490" s="11">
        <v>9.1999999999999993</v>
      </c>
      <c r="M490" s="10">
        <v>5</v>
      </c>
    </row>
    <row r="491" spans="1:13" x14ac:dyDescent="0.3">
      <c r="A491" s="10">
        <v>490</v>
      </c>
      <c r="B491" s="11">
        <v>9</v>
      </c>
      <c r="C491" s="12">
        <v>0.54</v>
      </c>
      <c r="D491" s="13">
        <v>0.49</v>
      </c>
      <c r="E491" s="11">
        <v>2.9</v>
      </c>
      <c r="F491" s="12">
        <v>9.4E-2</v>
      </c>
      <c r="G491" s="11">
        <v>41</v>
      </c>
      <c r="H491" s="11">
        <v>110</v>
      </c>
      <c r="I491" s="14">
        <v>0.99819999999999998</v>
      </c>
      <c r="J491" s="13">
        <v>3.08</v>
      </c>
      <c r="K491" s="13">
        <v>0.61</v>
      </c>
      <c r="L491" s="11">
        <v>9.1999999999999993</v>
      </c>
      <c r="M491" s="10">
        <v>5</v>
      </c>
    </row>
    <row r="492" spans="1:13" x14ac:dyDescent="0.3">
      <c r="A492" s="10">
        <v>491</v>
      </c>
      <c r="B492" s="11">
        <v>7.6</v>
      </c>
      <c r="C492" s="12">
        <v>0.28999999999999998</v>
      </c>
      <c r="D492" s="13">
        <v>0.49</v>
      </c>
      <c r="E492" s="11">
        <v>2.7</v>
      </c>
      <c r="F492" s="12">
        <v>9.1999999999999998E-2</v>
      </c>
      <c r="G492" s="11">
        <v>25</v>
      </c>
      <c r="H492" s="11">
        <v>60</v>
      </c>
      <c r="I492" s="14">
        <v>0.99709999999999999</v>
      </c>
      <c r="J492" s="13">
        <v>3.31</v>
      </c>
      <c r="K492" s="13">
        <v>0.61</v>
      </c>
      <c r="L492" s="11">
        <v>10.1</v>
      </c>
      <c r="M492" s="10">
        <v>6</v>
      </c>
    </row>
    <row r="493" spans="1:13" x14ac:dyDescent="0.3">
      <c r="A493" s="10">
        <v>492</v>
      </c>
      <c r="B493" s="11">
        <v>8.6999999999999993</v>
      </c>
      <c r="C493" s="12">
        <v>0.7</v>
      </c>
      <c r="D493" s="13">
        <v>0.24</v>
      </c>
      <c r="E493" s="11">
        <v>2.5</v>
      </c>
      <c r="F493" s="12">
        <v>0.22600000000000001</v>
      </c>
      <c r="G493" s="11">
        <v>5</v>
      </c>
      <c r="H493" s="11">
        <v>15</v>
      </c>
      <c r="I493" s="14">
        <v>0.99909999999999999</v>
      </c>
      <c r="J493" s="13">
        <v>3.32</v>
      </c>
      <c r="K493" s="13">
        <v>0.6</v>
      </c>
      <c r="L493" s="11">
        <v>9</v>
      </c>
      <c r="M493" s="10">
        <v>6</v>
      </c>
    </row>
    <row r="494" spans="1:13" x14ac:dyDescent="0.3">
      <c r="A494" s="10">
        <v>493</v>
      </c>
      <c r="B494" s="11">
        <v>9.8000000000000007</v>
      </c>
      <c r="C494" s="12">
        <v>0.5</v>
      </c>
      <c r="D494" s="13">
        <v>0.49</v>
      </c>
      <c r="E494" s="11">
        <v>2.6</v>
      </c>
      <c r="F494" s="12">
        <v>0.25</v>
      </c>
      <c r="G494" s="11">
        <v>5</v>
      </c>
      <c r="H494" s="11">
        <v>20</v>
      </c>
      <c r="I494" s="14">
        <v>0.999</v>
      </c>
      <c r="J494" s="13">
        <v>3.31</v>
      </c>
      <c r="K494" s="13">
        <v>0.79</v>
      </c>
      <c r="L494" s="11">
        <v>10.7</v>
      </c>
      <c r="M494" s="10">
        <v>6</v>
      </c>
    </row>
    <row r="495" spans="1:13" x14ac:dyDescent="0.3">
      <c r="A495" s="10">
        <v>494</v>
      </c>
      <c r="B495" s="11">
        <v>6.2</v>
      </c>
      <c r="C495" s="12">
        <v>0.36</v>
      </c>
      <c r="D495" s="13">
        <v>0.24</v>
      </c>
      <c r="E495" s="11">
        <v>2.2000000000000002</v>
      </c>
      <c r="F495" s="12">
        <v>9.5000000000000001E-2</v>
      </c>
      <c r="G495" s="11">
        <v>19</v>
      </c>
      <c r="H495" s="11">
        <v>42</v>
      </c>
      <c r="I495" s="14">
        <v>0.99460000000000004</v>
      </c>
      <c r="J495" s="13">
        <v>3.57</v>
      </c>
      <c r="K495" s="13">
        <v>0.56999999999999995</v>
      </c>
      <c r="L495" s="11">
        <v>11.7</v>
      </c>
      <c r="M495" s="10">
        <v>6</v>
      </c>
    </row>
    <row r="496" spans="1:13" x14ac:dyDescent="0.3">
      <c r="A496" s="10">
        <v>495</v>
      </c>
      <c r="B496" s="11">
        <v>11.5</v>
      </c>
      <c r="C496" s="12">
        <v>0.35</v>
      </c>
      <c r="D496" s="13">
        <v>0.49</v>
      </c>
      <c r="E496" s="11">
        <v>3.3</v>
      </c>
      <c r="F496" s="12">
        <v>7.0000000000000007E-2</v>
      </c>
      <c r="G496" s="11">
        <v>10</v>
      </c>
      <c r="H496" s="11">
        <v>37</v>
      </c>
      <c r="I496" s="14">
        <v>1.0003</v>
      </c>
      <c r="J496" s="13">
        <v>3.32</v>
      </c>
      <c r="K496" s="13">
        <v>0.91</v>
      </c>
      <c r="L496" s="11">
        <v>11</v>
      </c>
      <c r="M496" s="10">
        <v>6</v>
      </c>
    </row>
    <row r="497" spans="1:13" x14ac:dyDescent="0.3">
      <c r="A497" s="10">
        <v>496</v>
      </c>
      <c r="B497" s="11">
        <v>10.199999999999999</v>
      </c>
      <c r="C497" s="12">
        <v>0.24</v>
      </c>
      <c r="D497" s="13">
        <v>0.49</v>
      </c>
      <c r="E497" s="11">
        <v>2.4</v>
      </c>
      <c r="F497" s="12">
        <v>7.4999999999999997E-2</v>
      </c>
      <c r="G497" s="11">
        <v>10</v>
      </c>
      <c r="H497" s="11">
        <v>28</v>
      </c>
      <c r="I497" s="14">
        <v>0.99780000000000002</v>
      </c>
      <c r="J497" s="13">
        <v>3.14</v>
      </c>
      <c r="K497" s="13">
        <v>0.61</v>
      </c>
      <c r="L497" s="11">
        <v>10.4</v>
      </c>
      <c r="M497" s="10">
        <v>5</v>
      </c>
    </row>
    <row r="498" spans="1:13" x14ac:dyDescent="0.3">
      <c r="A498" s="10">
        <v>497</v>
      </c>
      <c r="B498" s="11">
        <v>10.5</v>
      </c>
      <c r="C498" s="12">
        <v>0.59</v>
      </c>
      <c r="D498" s="13">
        <v>0.49</v>
      </c>
      <c r="E498" s="11">
        <v>2.1</v>
      </c>
      <c r="F498" s="12">
        <v>7.0000000000000007E-2</v>
      </c>
      <c r="G498" s="11">
        <v>14</v>
      </c>
      <c r="H498" s="11">
        <v>47</v>
      </c>
      <c r="I498" s="14">
        <v>0.99909999999999999</v>
      </c>
      <c r="J498" s="13">
        <v>3.3</v>
      </c>
      <c r="K498" s="13">
        <v>0.56000000000000005</v>
      </c>
      <c r="L498" s="11">
        <v>9.6</v>
      </c>
      <c r="M498" s="10">
        <v>4</v>
      </c>
    </row>
    <row r="499" spans="1:13" x14ac:dyDescent="0.3">
      <c r="A499" s="10">
        <v>498</v>
      </c>
      <c r="B499" s="11">
        <v>10.6</v>
      </c>
      <c r="C499" s="12">
        <v>0.34</v>
      </c>
      <c r="D499" s="13">
        <v>0.49</v>
      </c>
      <c r="E499" s="11">
        <v>3.2</v>
      </c>
      <c r="F499" s="12">
        <v>7.8E-2</v>
      </c>
      <c r="G499" s="11">
        <v>20</v>
      </c>
      <c r="H499" s="11">
        <v>78</v>
      </c>
      <c r="I499" s="14">
        <v>0.99919999999999998</v>
      </c>
      <c r="J499" s="13">
        <v>3.19</v>
      </c>
      <c r="K499" s="13">
        <v>0.7</v>
      </c>
      <c r="L499" s="11">
        <v>10</v>
      </c>
      <c r="M499" s="10">
        <v>6</v>
      </c>
    </row>
    <row r="500" spans="1:13" x14ac:dyDescent="0.3">
      <c r="A500" s="10">
        <v>499</v>
      </c>
      <c r="B500" s="11">
        <v>12.3</v>
      </c>
      <c r="C500" s="12">
        <v>0.27</v>
      </c>
      <c r="D500" s="13">
        <v>0.49</v>
      </c>
      <c r="E500" s="11">
        <v>3.1</v>
      </c>
      <c r="F500" s="12">
        <v>7.9000000000000001E-2</v>
      </c>
      <c r="G500" s="11">
        <v>28</v>
      </c>
      <c r="H500" s="11">
        <v>46</v>
      </c>
      <c r="I500" s="14">
        <v>0.99929999999999997</v>
      </c>
      <c r="J500" s="13">
        <v>3.2</v>
      </c>
      <c r="K500" s="13">
        <v>0.8</v>
      </c>
      <c r="L500" s="11">
        <v>10.199999999999999</v>
      </c>
      <c r="M500" s="10">
        <v>6</v>
      </c>
    </row>
    <row r="501" spans="1:13" x14ac:dyDescent="0.3">
      <c r="A501" s="10">
        <v>500</v>
      </c>
      <c r="B501" s="11">
        <v>9.9</v>
      </c>
      <c r="C501" s="12">
        <v>0.5</v>
      </c>
      <c r="D501" s="13">
        <v>0.24</v>
      </c>
      <c r="E501" s="11">
        <v>2.2999999999999998</v>
      </c>
      <c r="F501" s="12">
        <v>0.10299999999999999</v>
      </c>
      <c r="G501" s="11">
        <v>6</v>
      </c>
      <c r="H501" s="11">
        <v>14</v>
      </c>
      <c r="I501" s="14">
        <v>0.99780000000000002</v>
      </c>
      <c r="J501" s="13">
        <v>3.34</v>
      </c>
      <c r="K501" s="13">
        <v>0.52</v>
      </c>
      <c r="L501" s="11">
        <v>10</v>
      </c>
      <c r="M501" s="10">
        <v>4</v>
      </c>
    </row>
    <row r="502" spans="1:13" x14ac:dyDescent="0.3">
      <c r="A502" s="10">
        <v>501</v>
      </c>
      <c r="B502" s="11">
        <v>8.8000000000000007</v>
      </c>
      <c r="C502" s="12">
        <v>0.44</v>
      </c>
      <c r="D502" s="13">
        <v>0.49</v>
      </c>
      <c r="E502" s="11">
        <v>2.8</v>
      </c>
      <c r="F502" s="12">
        <v>8.3000000000000004E-2</v>
      </c>
      <c r="G502" s="11">
        <v>18</v>
      </c>
      <c r="H502" s="11">
        <v>111</v>
      </c>
      <c r="I502" s="14">
        <v>0.99819999999999998</v>
      </c>
      <c r="J502" s="13">
        <v>3.3</v>
      </c>
      <c r="K502" s="13">
        <v>0.6</v>
      </c>
      <c r="L502" s="11">
        <v>9.5</v>
      </c>
      <c r="M502" s="10">
        <v>5</v>
      </c>
    </row>
    <row r="503" spans="1:13" x14ac:dyDescent="0.3">
      <c r="A503" s="10">
        <v>502</v>
      </c>
      <c r="B503" s="11">
        <v>8.8000000000000007</v>
      </c>
      <c r="C503" s="12">
        <v>0.47</v>
      </c>
      <c r="D503" s="13">
        <v>0.49</v>
      </c>
      <c r="E503" s="11">
        <v>2.9</v>
      </c>
      <c r="F503" s="12">
        <v>8.5000000000000006E-2</v>
      </c>
      <c r="G503" s="11">
        <v>17</v>
      </c>
      <c r="H503" s="11">
        <v>110</v>
      </c>
      <c r="I503" s="14">
        <v>0.99819999999999998</v>
      </c>
      <c r="J503" s="13">
        <v>3.29</v>
      </c>
      <c r="K503" s="13">
        <v>0.6</v>
      </c>
      <c r="L503" s="11">
        <v>9.8000000000000007</v>
      </c>
      <c r="M503" s="10">
        <v>5</v>
      </c>
    </row>
    <row r="504" spans="1:13" x14ac:dyDescent="0.3">
      <c r="A504" s="10">
        <v>503</v>
      </c>
      <c r="B504" s="11">
        <v>10.6</v>
      </c>
      <c r="C504" s="12">
        <v>0.31</v>
      </c>
      <c r="D504" s="13">
        <v>0.49</v>
      </c>
      <c r="E504" s="11">
        <v>2.2000000000000002</v>
      </c>
      <c r="F504" s="12">
        <v>6.3E-2</v>
      </c>
      <c r="G504" s="11">
        <v>18</v>
      </c>
      <c r="H504" s="11">
        <v>40</v>
      </c>
      <c r="I504" s="14">
        <v>0.99760000000000004</v>
      </c>
      <c r="J504" s="13">
        <v>3.14</v>
      </c>
      <c r="K504" s="13">
        <v>0.51</v>
      </c>
      <c r="L504" s="11">
        <v>9.8000000000000007</v>
      </c>
      <c r="M504" s="10">
        <v>6</v>
      </c>
    </row>
    <row r="505" spans="1:13" x14ac:dyDescent="0.3">
      <c r="A505" s="10">
        <v>504</v>
      </c>
      <c r="B505" s="11">
        <v>12.3</v>
      </c>
      <c r="C505" s="12">
        <v>0.5</v>
      </c>
      <c r="D505" s="13">
        <v>0.49</v>
      </c>
      <c r="E505" s="11">
        <v>2.2000000000000002</v>
      </c>
      <c r="F505" s="12">
        <v>8.8999999999999996E-2</v>
      </c>
      <c r="G505" s="11">
        <v>5</v>
      </c>
      <c r="H505" s="11">
        <v>14</v>
      </c>
      <c r="I505" s="14">
        <v>1.0002</v>
      </c>
      <c r="J505" s="13">
        <v>3.19</v>
      </c>
      <c r="K505" s="13">
        <v>0.44</v>
      </c>
      <c r="L505" s="11">
        <v>9.6</v>
      </c>
      <c r="M505" s="10">
        <v>5</v>
      </c>
    </row>
    <row r="506" spans="1:13" x14ac:dyDescent="0.3">
      <c r="A506" s="10">
        <v>505</v>
      </c>
      <c r="B506" s="11">
        <v>11.7</v>
      </c>
      <c r="C506" s="12">
        <v>0.49</v>
      </c>
      <c r="D506" s="13">
        <v>0.49</v>
      </c>
      <c r="E506" s="11">
        <v>2.2000000000000002</v>
      </c>
      <c r="F506" s="12">
        <v>8.3000000000000004E-2</v>
      </c>
      <c r="G506" s="11">
        <v>5</v>
      </c>
      <c r="H506" s="11">
        <v>15</v>
      </c>
      <c r="I506" s="14">
        <v>1</v>
      </c>
      <c r="J506" s="13">
        <v>3.19</v>
      </c>
      <c r="K506" s="13">
        <v>0.43</v>
      </c>
      <c r="L506" s="11">
        <v>9.1999999999999993</v>
      </c>
      <c r="M506" s="10">
        <v>5</v>
      </c>
    </row>
    <row r="507" spans="1:13" x14ac:dyDescent="0.3">
      <c r="A507" s="10">
        <v>506</v>
      </c>
      <c r="B507" s="11">
        <v>12</v>
      </c>
      <c r="C507" s="12">
        <v>0.28000000000000003</v>
      </c>
      <c r="D507" s="13">
        <v>0.49</v>
      </c>
      <c r="E507" s="11">
        <v>1.9</v>
      </c>
      <c r="F507" s="12">
        <v>7.3999999999999996E-2</v>
      </c>
      <c r="G507" s="11">
        <v>10</v>
      </c>
      <c r="H507" s="11">
        <v>21</v>
      </c>
      <c r="I507" s="14">
        <v>0.99760000000000004</v>
      </c>
      <c r="J507" s="13">
        <v>2.98</v>
      </c>
      <c r="K507" s="13">
        <v>0.66</v>
      </c>
      <c r="L507" s="11">
        <v>9.9</v>
      </c>
      <c r="M507" s="10">
        <v>7</v>
      </c>
    </row>
    <row r="508" spans="1:13" x14ac:dyDescent="0.3">
      <c r="A508" s="10">
        <v>507</v>
      </c>
      <c r="B508" s="11">
        <v>11.8</v>
      </c>
      <c r="C508" s="12">
        <v>0.33</v>
      </c>
      <c r="D508" s="13">
        <v>0.49</v>
      </c>
      <c r="E508" s="11">
        <v>3.4</v>
      </c>
      <c r="F508" s="12">
        <v>9.2999999999999999E-2</v>
      </c>
      <c r="G508" s="11">
        <v>54</v>
      </c>
      <c r="H508" s="11">
        <v>80</v>
      </c>
      <c r="I508" s="14">
        <v>1.0002</v>
      </c>
      <c r="J508" s="13">
        <v>3.3</v>
      </c>
      <c r="K508" s="13">
        <v>0.76</v>
      </c>
      <c r="L508" s="11">
        <v>10.7</v>
      </c>
      <c r="M508" s="10">
        <v>7</v>
      </c>
    </row>
    <row r="509" spans="1:13" x14ac:dyDescent="0.3">
      <c r="A509" s="10">
        <v>508</v>
      </c>
      <c r="B509" s="11">
        <v>7.6</v>
      </c>
      <c r="C509" s="12">
        <v>0.51</v>
      </c>
      <c r="D509" s="13">
        <v>0.24</v>
      </c>
      <c r="E509" s="11">
        <v>2.4</v>
      </c>
      <c r="F509" s="12">
        <v>9.0999999999999998E-2</v>
      </c>
      <c r="G509" s="11">
        <v>8</v>
      </c>
      <c r="H509" s="11">
        <v>38</v>
      </c>
      <c r="I509" s="14">
        <v>0.998</v>
      </c>
      <c r="J509" s="13">
        <v>3.47</v>
      </c>
      <c r="K509" s="13">
        <v>0.66</v>
      </c>
      <c r="L509" s="11">
        <v>9.6</v>
      </c>
      <c r="M509" s="10">
        <v>6</v>
      </c>
    </row>
    <row r="510" spans="1:13" x14ac:dyDescent="0.3">
      <c r="A510" s="10">
        <v>509</v>
      </c>
      <c r="B510" s="11">
        <v>11.1</v>
      </c>
      <c r="C510" s="12">
        <v>0.31</v>
      </c>
      <c r="D510" s="13">
        <v>0.49</v>
      </c>
      <c r="E510" s="11">
        <v>2.7</v>
      </c>
      <c r="F510" s="12">
        <v>9.4E-2</v>
      </c>
      <c r="G510" s="11">
        <v>16</v>
      </c>
      <c r="H510" s="11">
        <v>47</v>
      </c>
      <c r="I510" s="14">
        <v>0.99860000000000004</v>
      </c>
      <c r="J510" s="13">
        <v>3.12</v>
      </c>
      <c r="K510" s="13">
        <v>1.02</v>
      </c>
      <c r="L510" s="11">
        <v>10.6</v>
      </c>
      <c r="M510" s="10">
        <v>7</v>
      </c>
    </row>
    <row r="511" spans="1:13" x14ac:dyDescent="0.3">
      <c r="A511" s="10">
        <v>510</v>
      </c>
      <c r="B511" s="11">
        <v>7.3</v>
      </c>
      <c r="C511" s="12">
        <v>0.73</v>
      </c>
      <c r="D511" s="13">
        <v>0.24</v>
      </c>
      <c r="E511" s="11">
        <v>1.9</v>
      </c>
      <c r="F511" s="12">
        <v>0.108</v>
      </c>
      <c r="G511" s="11">
        <v>18</v>
      </c>
      <c r="H511" s="11">
        <v>102</v>
      </c>
      <c r="I511" s="14">
        <v>0.99670000000000003</v>
      </c>
      <c r="J511" s="13">
        <v>3.26</v>
      </c>
      <c r="K511" s="13">
        <v>0.59</v>
      </c>
      <c r="L511" s="11">
        <v>9.3000000000000007</v>
      </c>
      <c r="M511" s="10">
        <v>5</v>
      </c>
    </row>
    <row r="512" spans="1:13" x14ac:dyDescent="0.3">
      <c r="A512" s="10">
        <v>511</v>
      </c>
      <c r="B512" s="11">
        <v>5</v>
      </c>
      <c r="C512" s="12">
        <v>0.42</v>
      </c>
      <c r="D512" s="13">
        <v>0.24</v>
      </c>
      <c r="E512" s="11">
        <v>2</v>
      </c>
      <c r="F512" s="12">
        <v>0.06</v>
      </c>
      <c r="G512" s="11">
        <v>19</v>
      </c>
      <c r="H512" s="11">
        <v>50</v>
      </c>
      <c r="I512" s="14">
        <v>0.99170000000000003</v>
      </c>
      <c r="J512" s="13">
        <v>3.72</v>
      </c>
      <c r="K512" s="13">
        <v>0.74</v>
      </c>
      <c r="L512" s="11">
        <v>14</v>
      </c>
      <c r="M512" s="10">
        <v>8</v>
      </c>
    </row>
    <row r="513" spans="1:13" x14ac:dyDescent="0.3">
      <c r="A513" s="10">
        <v>512</v>
      </c>
      <c r="B513" s="11">
        <v>10.199999999999999</v>
      </c>
      <c r="C513" s="12">
        <v>0.28999999999999998</v>
      </c>
      <c r="D513" s="13">
        <v>0.49</v>
      </c>
      <c r="E513" s="11">
        <v>2.6</v>
      </c>
      <c r="F513" s="12">
        <v>5.8999999999999997E-2</v>
      </c>
      <c r="G513" s="11">
        <v>5</v>
      </c>
      <c r="H513" s="11">
        <v>13</v>
      </c>
      <c r="I513" s="14">
        <v>0.99760000000000004</v>
      </c>
      <c r="J513" s="13">
        <v>3.05</v>
      </c>
      <c r="K513" s="13">
        <v>0.74</v>
      </c>
      <c r="L513" s="11">
        <v>10.5</v>
      </c>
      <c r="M513" s="10">
        <v>7</v>
      </c>
    </row>
    <row r="514" spans="1:13" x14ac:dyDescent="0.3">
      <c r="A514" s="10">
        <v>513</v>
      </c>
      <c r="B514" s="11">
        <v>9</v>
      </c>
      <c r="C514" s="12">
        <v>0.45</v>
      </c>
      <c r="D514" s="13">
        <v>0.49</v>
      </c>
      <c r="E514" s="11">
        <v>2.6</v>
      </c>
      <c r="F514" s="12">
        <v>8.4000000000000005E-2</v>
      </c>
      <c r="G514" s="11">
        <v>21</v>
      </c>
      <c r="H514" s="11">
        <v>75</v>
      </c>
      <c r="I514" s="14">
        <v>0.99870000000000003</v>
      </c>
      <c r="J514" s="13">
        <v>3.35</v>
      </c>
      <c r="K514" s="13">
        <v>0.56999999999999995</v>
      </c>
      <c r="L514" s="11">
        <v>9.6999999999999993</v>
      </c>
      <c r="M514" s="10">
        <v>5</v>
      </c>
    </row>
    <row r="515" spans="1:13" x14ac:dyDescent="0.3">
      <c r="A515" s="10">
        <v>514</v>
      </c>
      <c r="B515" s="11">
        <v>6.6</v>
      </c>
      <c r="C515" s="12">
        <v>0.39</v>
      </c>
      <c r="D515" s="13">
        <v>0.49</v>
      </c>
      <c r="E515" s="11">
        <v>1.7</v>
      </c>
      <c r="F515" s="12">
        <v>7.0000000000000007E-2</v>
      </c>
      <c r="G515" s="11">
        <v>23</v>
      </c>
      <c r="H515" s="11">
        <v>149</v>
      </c>
      <c r="I515" s="14">
        <v>0.99219999999999997</v>
      </c>
      <c r="J515" s="13">
        <v>3.12</v>
      </c>
      <c r="K515" s="13">
        <v>0.5</v>
      </c>
      <c r="L515" s="11">
        <v>11.5</v>
      </c>
      <c r="M515" s="10">
        <v>6</v>
      </c>
    </row>
    <row r="516" spans="1:13" x14ac:dyDescent="0.3">
      <c r="A516" s="10">
        <v>515</v>
      </c>
      <c r="B516" s="11">
        <v>9.9</v>
      </c>
      <c r="C516" s="12">
        <v>0.49</v>
      </c>
      <c r="D516" s="13">
        <v>0.57999999999999996</v>
      </c>
      <c r="E516" s="11">
        <v>3.5</v>
      </c>
      <c r="F516" s="12">
        <v>9.4E-2</v>
      </c>
      <c r="G516" s="11">
        <v>9</v>
      </c>
      <c r="H516" s="11">
        <v>43</v>
      </c>
      <c r="I516" s="14">
        <v>1.0004</v>
      </c>
      <c r="J516" s="13">
        <v>3.29</v>
      </c>
      <c r="K516" s="13">
        <v>0.57999999999999996</v>
      </c>
      <c r="L516" s="11">
        <v>9</v>
      </c>
      <c r="M516" s="10">
        <v>5</v>
      </c>
    </row>
    <row r="517" spans="1:13" x14ac:dyDescent="0.3">
      <c r="A517" s="10">
        <v>516</v>
      </c>
      <c r="B517" s="11">
        <v>7.9</v>
      </c>
      <c r="C517" s="12">
        <v>0.72</v>
      </c>
      <c r="D517" s="13">
        <v>0.17</v>
      </c>
      <c r="E517" s="11">
        <v>2.6</v>
      </c>
      <c r="F517" s="12">
        <v>9.6000000000000002E-2</v>
      </c>
      <c r="G517" s="11">
        <v>20</v>
      </c>
      <c r="H517" s="11">
        <v>38</v>
      </c>
      <c r="I517" s="14">
        <v>0.99780000000000002</v>
      </c>
      <c r="J517" s="13">
        <v>3.4</v>
      </c>
      <c r="K517" s="13">
        <v>0.53</v>
      </c>
      <c r="L517" s="11">
        <v>9.5</v>
      </c>
      <c r="M517" s="10">
        <v>5</v>
      </c>
    </row>
    <row r="518" spans="1:13" x14ac:dyDescent="0.3">
      <c r="A518" s="10">
        <v>517</v>
      </c>
      <c r="B518" s="11">
        <v>8.9</v>
      </c>
      <c r="C518" s="12">
        <v>0.59499999999999997</v>
      </c>
      <c r="D518" s="13">
        <v>0.41</v>
      </c>
      <c r="E518" s="11">
        <v>7.9</v>
      </c>
      <c r="F518" s="12">
        <v>8.5999999999999993E-2</v>
      </c>
      <c r="G518" s="11">
        <v>30</v>
      </c>
      <c r="H518" s="11">
        <v>109</v>
      </c>
      <c r="I518" s="14">
        <v>0.99980000000000002</v>
      </c>
      <c r="J518" s="13">
        <v>3.27</v>
      </c>
      <c r="K518" s="13">
        <v>0.56999999999999995</v>
      </c>
      <c r="L518" s="11">
        <v>9.3000000000000007</v>
      </c>
      <c r="M518" s="10">
        <v>5</v>
      </c>
    </row>
    <row r="519" spans="1:13" x14ac:dyDescent="0.3">
      <c r="A519" s="10">
        <v>518</v>
      </c>
      <c r="B519" s="11">
        <v>12.4</v>
      </c>
      <c r="C519" s="12">
        <v>0.4</v>
      </c>
      <c r="D519" s="13">
        <v>0.51</v>
      </c>
      <c r="E519" s="11">
        <v>2</v>
      </c>
      <c r="F519" s="12">
        <v>5.8999999999999997E-2</v>
      </c>
      <c r="G519" s="11">
        <v>6</v>
      </c>
      <c r="H519" s="11">
        <v>24</v>
      </c>
      <c r="I519" s="14">
        <v>0.99939999999999996</v>
      </c>
      <c r="J519" s="13">
        <v>3.04</v>
      </c>
      <c r="K519" s="13">
        <v>0.6</v>
      </c>
      <c r="L519" s="11">
        <v>9.3000000000000007</v>
      </c>
      <c r="M519" s="10">
        <v>6</v>
      </c>
    </row>
    <row r="520" spans="1:13" x14ac:dyDescent="0.3">
      <c r="A520" s="10">
        <v>519</v>
      </c>
      <c r="B520" s="11">
        <v>11.9</v>
      </c>
      <c r="C520" s="12">
        <v>0.57999999999999996</v>
      </c>
      <c r="D520" s="13">
        <v>0.57999999999999996</v>
      </c>
      <c r="E520" s="11">
        <v>1.9</v>
      </c>
      <c r="F520" s="12">
        <v>7.0999999999999994E-2</v>
      </c>
      <c r="G520" s="11">
        <v>5</v>
      </c>
      <c r="H520" s="11">
        <v>18</v>
      </c>
      <c r="I520" s="14">
        <v>0.998</v>
      </c>
      <c r="J520" s="13">
        <v>3.09</v>
      </c>
      <c r="K520" s="13">
        <v>0.63</v>
      </c>
      <c r="L520" s="11">
        <v>10</v>
      </c>
      <c r="M520" s="10">
        <v>6</v>
      </c>
    </row>
    <row r="521" spans="1:13" x14ac:dyDescent="0.3">
      <c r="A521" s="10">
        <v>520</v>
      </c>
      <c r="B521" s="11">
        <v>8.5</v>
      </c>
      <c r="C521" s="12">
        <v>0.58499999999999996</v>
      </c>
      <c r="D521" s="13">
        <v>0.18</v>
      </c>
      <c r="E521" s="11">
        <v>2.1</v>
      </c>
      <c r="F521" s="12">
        <v>7.8E-2</v>
      </c>
      <c r="G521" s="11">
        <v>5</v>
      </c>
      <c r="H521" s="11">
        <v>30</v>
      </c>
      <c r="I521" s="14">
        <v>0.99670000000000003</v>
      </c>
      <c r="J521" s="13">
        <v>3.2</v>
      </c>
      <c r="K521" s="13">
        <v>0.48</v>
      </c>
      <c r="L521" s="11">
        <v>9.8000000000000007</v>
      </c>
      <c r="M521" s="10">
        <v>6</v>
      </c>
    </row>
    <row r="522" spans="1:13" x14ac:dyDescent="0.3">
      <c r="A522" s="10">
        <v>521</v>
      </c>
      <c r="B522" s="11">
        <v>12.7</v>
      </c>
      <c r="C522" s="12">
        <v>0.59</v>
      </c>
      <c r="D522" s="13">
        <v>0.45</v>
      </c>
      <c r="E522" s="11">
        <v>2.2999999999999998</v>
      </c>
      <c r="F522" s="12">
        <v>8.2000000000000003E-2</v>
      </c>
      <c r="G522" s="11">
        <v>11</v>
      </c>
      <c r="H522" s="11">
        <v>22</v>
      </c>
      <c r="I522" s="14">
        <v>1</v>
      </c>
      <c r="J522" s="13">
        <v>3</v>
      </c>
      <c r="K522" s="13">
        <v>0.7</v>
      </c>
      <c r="L522" s="11">
        <v>9.3000000000000007</v>
      </c>
      <c r="M522" s="10">
        <v>6</v>
      </c>
    </row>
    <row r="523" spans="1:13" x14ac:dyDescent="0.3">
      <c r="A523" s="10">
        <v>522</v>
      </c>
      <c r="B523" s="11">
        <v>8.1999999999999993</v>
      </c>
      <c r="C523" s="12">
        <v>0.91500000000000004</v>
      </c>
      <c r="D523" s="13">
        <v>0.27</v>
      </c>
      <c r="E523" s="11">
        <v>2.1</v>
      </c>
      <c r="F523" s="12">
        <v>8.7999999999999995E-2</v>
      </c>
      <c r="G523" s="11">
        <v>7</v>
      </c>
      <c r="H523" s="11">
        <v>23</v>
      </c>
      <c r="I523" s="14">
        <v>0.99619999999999997</v>
      </c>
      <c r="J523" s="13">
        <v>3.26</v>
      </c>
      <c r="K523" s="13">
        <v>0.47</v>
      </c>
      <c r="L523" s="11">
        <v>10</v>
      </c>
      <c r="M523" s="10">
        <v>4</v>
      </c>
    </row>
    <row r="524" spans="1:13" x14ac:dyDescent="0.3">
      <c r="A524" s="10">
        <v>523</v>
      </c>
      <c r="B524" s="11">
        <v>13.2</v>
      </c>
      <c r="C524" s="12">
        <v>0.46</v>
      </c>
      <c r="D524" s="13">
        <v>0.52</v>
      </c>
      <c r="E524" s="11">
        <v>2.2000000000000002</v>
      </c>
      <c r="F524" s="12">
        <v>7.0999999999999994E-2</v>
      </c>
      <c r="G524" s="11">
        <v>12</v>
      </c>
      <c r="H524" s="11">
        <v>35</v>
      </c>
      <c r="I524" s="14">
        <v>1.0005999999999999</v>
      </c>
      <c r="J524" s="13">
        <v>3.1</v>
      </c>
      <c r="K524" s="13">
        <v>0.56000000000000005</v>
      </c>
      <c r="L524" s="11">
        <v>9</v>
      </c>
      <c r="M524" s="10">
        <v>6</v>
      </c>
    </row>
    <row r="525" spans="1:13" x14ac:dyDescent="0.3">
      <c r="A525" s="10">
        <v>524</v>
      </c>
      <c r="B525" s="11">
        <v>7.7</v>
      </c>
      <c r="C525" s="12">
        <v>0.83499999999999996</v>
      </c>
      <c r="D525" s="13">
        <v>0</v>
      </c>
      <c r="E525" s="11">
        <v>2.6</v>
      </c>
      <c r="F525" s="12">
        <v>8.1000000000000003E-2</v>
      </c>
      <c r="G525" s="11">
        <v>6</v>
      </c>
      <c r="H525" s="11">
        <v>14</v>
      </c>
      <c r="I525" s="14">
        <v>0.99750000000000005</v>
      </c>
      <c r="J525" s="13">
        <v>3.3</v>
      </c>
      <c r="K525" s="13">
        <v>0.52</v>
      </c>
      <c r="L525" s="11">
        <v>9.3000000000000007</v>
      </c>
      <c r="M525" s="10">
        <v>5</v>
      </c>
    </row>
    <row r="526" spans="1:13" x14ac:dyDescent="0.3">
      <c r="A526" s="10">
        <v>525</v>
      </c>
      <c r="B526" s="11">
        <v>8.3000000000000007</v>
      </c>
      <c r="C526" s="12">
        <v>0.57999999999999996</v>
      </c>
      <c r="D526" s="13">
        <v>0.13</v>
      </c>
      <c r="E526" s="11">
        <v>2.9</v>
      </c>
      <c r="F526" s="12">
        <v>9.6000000000000002E-2</v>
      </c>
      <c r="G526" s="11">
        <v>14</v>
      </c>
      <c r="H526" s="11">
        <v>63</v>
      </c>
      <c r="I526" s="14">
        <v>0.99839999999999995</v>
      </c>
      <c r="J526" s="13">
        <v>3.17</v>
      </c>
      <c r="K526" s="13">
        <v>0.62</v>
      </c>
      <c r="L526" s="11">
        <v>9.1</v>
      </c>
      <c r="M526" s="10">
        <v>6</v>
      </c>
    </row>
    <row r="527" spans="1:13" x14ac:dyDescent="0.3">
      <c r="A527" s="10">
        <v>526</v>
      </c>
      <c r="B527" s="11">
        <v>8.3000000000000007</v>
      </c>
      <c r="C527" s="12">
        <v>0.6</v>
      </c>
      <c r="D527" s="13">
        <v>0.13</v>
      </c>
      <c r="E527" s="11">
        <v>2.6</v>
      </c>
      <c r="F527" s="12">
        <v>8.5000000000000006E-2</v>
      </c>
      <c r="G527" s="11">
        <v>6</v>
      </c>
      <c r="H527" s="11">
        <v>24</v>
      </c>
      <c r="I527" s="14">
        <v>0.99839999999999995</v>
      </c>
      <c r="J527" s="13">
        <v>3.31</v>
      </c>
      <c r="K527" s="13">
        <v>0.59</v>
      </c>
      <c r="L527" s="11">
        <v>9.1999999999999993</v>
      </c>
      <c r="M527" s="10">
        <v>6</v>
      </c>
    </row>
    <row r="528" spans="1:13" x14ac:dyDescent="0.3">
      <c r="A528" s="10">
        <v>527</v>
      </c>
      <c r="B528" s="11">
        <v>9.4</v>
      </c>
      <c r="C528" s="12">
        <v>0.41</v>
      </c>
      <c r="D528" s="13">
        <v>0.48</v>
      </c>
      <c r="E528" s="11">
        <v>4.5999999999999996</v>
      </c>
      <c r="F528" s="12">
        <v>7.1999999999999995E-2</v>
      </c>
      <c r="G528" s="11">
        <v>10</v>
      </c>
      <c r="H528" s="11">
        <v>20</v>
      </c>
      <c r="I528" s="14">
        <v>0.99729999999999996</v>
      </c>
      <c r="J528" s="13">
        <v>3.34</v>
      </c>
      <c r="K528" s="13">
        <v>0.79</v>
      </c>
      <c r="L528" s="11">
        <v>12.2</v>
      </c>
      <c r="M528" s="10">
        <v>7</v>
      </c>
    </row>
    <row r="529" spans="1:13" x14ac:dyDescent="0.3">
      <c r="A529" s="10">
        <v>528</v>
      </c>
      <c r="B529" s="11">
        <v>8.8000000000000007</v>
      </c>
      <c r="C529" s="12">
        <v>0.48</v>
      </c>
      <c r="D529" s="13">
        <v>0.41</v>
      </c>
      <c r="E529" s="11">
        <v>3.3</v>
      </c>
      <c r="F529" s="12">
        <v>9.1999999999999998E-2</v>
      </c>
      <c r="G529" s="11">
        <v>26</v>
      </c>
      <c r="H529" s="11">
        <v>52</v>
      </c>
      <c r="I529" s="14">
        <v>0.99819999999999998</v>
      </c>
      <c r="J529" s="13">
        <v>3.31</v>
      </c>
      <c r="K529" s="13">
        <v>0.53</v>
      </c>
      <c r="L529" s="11">
        <v>10.5</v>
      </c>
      <c r="M529" s="10">
        <v>6</v>
      </c>
    </row>
    <row r="530" spans="1:13" x14ac:dyDescent="0.3">
      <c r="A530" s="10">
        <v>529</v>
      </c>
      <c r="B530" s="11">
        <v>10.1</v>
      </c>
      <c r="C530" s="12">
        <v>0.65</v>
      </c>
      <c r="D530" s="13">
        <v>0.37</v>
      </c>
      <c r="E530" s="11">
        <v>5.0999999999999996</v>
      </c>
      <c r="F530" s="12">
        <v>0.11</v>
      </c>
      <c r="G530" s="11">
        <v>11</v>
      </c>
      <c r="H530" s="11">
        <v>65</v>
      </c>
      <c r="I530" s="14">
        <v>1.0025999999999999</v>
      </c>
      <c r="J530" s="13">
        <v>3.32</v>
      </c>
      <c r="K530" s="13">
        <v>0.64</v>
      </c>
      <c r="L530" s="11">
        <v>10.4</v>
      </c>
      <c r="M530" s="10">
        <v>6</v>
      </c>
    </row>
    <row r="531" spans="1:13" x14ac:dyDescent="0.3">
      <c r="A531" s="10">
        <v>530</v>
      </c>
      <c r="B531" s="11">
        <v>6.3</v>
      </c>
      <c r="C531" s="12">
        <v>0.36</v>
      </c>
      <c r="D531" s="13">
        <v>0.19</v>
      </c>
      <c r="E531" s="11">
        <v>3.2</v>
      </c>
      <c r="F531" s="12">
        <v>7.4999999999999997E-2</v>
      </c>
      <c r="G531" s="11">
        <v>15</v>
      </c>
      <c r="H531" s="11">
        <v>39</v>
      </c>
      <c r="I531" s="14">
        <v>0.99560000000000004</v>
      </c>
      <c r="J531" s="13">
        <v>3.56</v>
      </c>
      <c r="K531" s="13">
        <v>0.52</v>
      </c>
      <c r="L531" s="11">
        <v>12.7</v>
      </c>
      <c r="M531" s="10">
        <v>6</v>
      </c>
    </row>
    <row r="532" spans="1:13" x14ac:dyDescent="0.3">
      <c r="A532" s="10">
        <v>531</v>
      </c>
      <c r="B532" s="11">
        <v>8.8000000000000007</v>
      </c>
      <c r="C532" s="12">
        <v>0.24</v>
      </c>
      <c r="D532" s="13">
        <v>0.54</v>
      </c>
      <c r="E532" s="11">
        <v>2.5</v>
      </c>
      <c r="F532" s="12">
        <v>8.3000000000000004E-2</v>
      </c>
      <c r="G532" s="11">
        <v>25</v>
      </c>
      <c r="H532" s="11">
        <v>57</v>
      </c>
      <c r="I532" s="14">
        <v>0.99829999999999997</v>
      </c>
      <c r="J532" s="13">
        <v>3.39</v>
      </c>
      <c r="K532" s="13">
        <v>0.54</v>
      </c>
      <c r="L532" s="11">
        <v>9.1999999999999993</v>
      </c>
      <c r="M532" s="10">
        <v>5</v>
      </c>
    </row>
    <row r="533" spans="1:13" x14ac:dyDescent="0.3">
      <c r="A533" s="10">
        <v>532</v>
      </c>
      <c r="B533" s="11">
        <v>13.2</v>
      </c>
      <c r="C533" s="12">
        <v>0.38</v>
      </c>
      <c r="D533" s="13">
        <v>0.55000000000000004</v>
      </c>
      <c r="E533" s="11">
        <v>2.7</v>
      </c>
      <c r="F533" s="12">
        <v>8.1000000000000003E-2</v>
      </c>
      <c r="G533" s="11">
        <v>5</v>
      </c>
      <c r="H533" s="11">
        <v>16</v>
      </c>
      <c r="I533" s="14">
        <v>1.0005999999999999</v>
      </c>
      <c r="J533" s="13">
        <v>2.98</v>
      </c>
      <c r="K533" s="13">
        <v>0.54</v>
      </c>
      <c r="L533" s="11">
        <v>9.4</v>
      </c>
      <c r="M533" s="10">
        <v>5</v>
      </c>
    </row>
    <row r="534" spans="1:13" x14ac:dyDescent="0.3">
      <c r="A534" s="10">
        <v>533</v>
      </c>
      <c r="B534" s="11">
        <v>7.5</v>
      </c>
      <c r="C534" s="12">
        <v>0.64</v>
      </c>
      <c r="D534" s="13">
        <v>0</v>
      </c>
      <c r="E534" s="11">
        <v>2.4</v>
      </c>
      <c r="F534" s="12">
        <v>7.6999999999999999E-2</v>
      </c>
      <c r="G534" s="11">
        <v>18</v>
      </c>
      <c r="H534" s="11">
        <v>29</v>
      </c>
      <c r="I534" s="14">
        <v>0.99650000000000005</v>
      </c>
      <c r="J534" s="13">
        <v>3.32</v>
      </c>
      <c r="K534" s="13">
        <v>0.6</v>
      </c>
      <c r="L534" s="11">
        <v>10</v>
      </c>
      <c r="M534" s="10">
        <v>6</v>
      </c>
    </row>
    <row r="535" spans="1:13" x14ac:dyDescent="0.3">
      <c r="A535" s="10">
        <v>534</v>
      </c>
      <c r="B535" s="11">
        <v>8.1999999999999993</v>
      </c>
      <c r="C535" s="12">
        <v>0.39</v>
      </c>
      <c r="D535" s="13">
        <v>0.38</v>
      </c>
      <c r="E535" s="11">
        <v>1.5</v>
      </c>
      <c r="F535" s="12">
        <v>5.8000000000000003E-2</v>
      </c>
      <c r="G535" s="11">
        <v>10</v>
      </c>
      <c r="H535" s="11">
        <v>29</v>
      </c>
      <c r="I535" s="14">
        <v>0.99619999999999997</v>
      </c>
      <c r="J535" s="13">
        <v>3.26</v>
      </c>
      <c r="K535" s="13">
        <v>0.74</v>
      </c>
      <c r="L535" s="11">
        <v>9.8000000000000007</v>
      </c>
      <c r="M535" s="10">
        <v>5</v>
      </c>
    </row>
    <row r="536" spans="1:13" x14ac:dyDescent="0.3">
      <c r="A536" s="10">
        <v>535</v>
      </c>
      <c r="B536" s="11">
        <v>9.1999999999999993</v>
      </c>
      <c r="C536" s="12">
        <v>0.755</v>
      </c>
      <c r="D536" s="13">
        <v>0.18</v>
      </c>
      <c r="E536" s="11">
        <v>2.2000000000000002</v>
      </c>
      <c r="F536" s="12">
        <v>0.14799999999999999</v>
      </c>
      <c r="G536" s="11">
        <v>10</v>
      </c>
      <c r="H536" s="11">
        <v>103</v>
      </c>
      <c r="I536" s="14">
        <v>0.99690000000000001</v>
      </c>
      <c r="J536" s="13">
        <v>2.87</v>
      </c>
      <c r="K536" s="13">
        <v>1.36</v>
      </c>
      <c r="L536" s="11">
        <v>10.199999999999999</v>
      </c>
      <c r="M536" s="10">
        <v>6</v>
      </c>
    </row>
    <row r="537" spans="1:13" x14ac:dyDescent="0.3">
      <c r="A537" s="10">
        <v>536</v>
      </c>
      <c r="B537" s="11">
        <v>9.6</v>
      </c>
      <c r="C537" s="12">
        <v>0.6</v>
      </c>
      <c r="D537" s="13">
        <v>0.5</v>
      </c>
      <c r="E537" s="11">
        <v>2.2999999999999998</v>
      </c>
      <c r="F537" s="12">
        <v>7.9000000000000001E-2</v>
      </c>
      <c r="G537" s="11">
        <v>28</v>
      </c>
      <c r="H537" s="11">
        <v>71</v>
      </c>
      <c r="I537" s="14">
        <v>0.99970000000000003</v>
      </c>
      <c r="J537" s="13">
        <v>3.5</v>
      </c>
      <c r="K537" s="13">
        <v>0.56999999999999995</v>
      </c>
      <c r="L537" s="11">
        <v>9.6999999999999993</v>
      </c>
      <c r="M537" s="10">
        <v>5</v>
      </c>
    </row>
    <row r="538" spans="1:13" x14ac:dyDescent="0.3">
      <c r="A538" s="10">
        <v>537</v>
      </c>
      <c r="B538" s="11">
        <v>11.5</v>
      </c>
      <c r="C538" s="12">
        <v>0.31</v>
      </c>
      <c r="D538" s="13">
        <v>0.51</v>
      </c>
      <c r="E538" s="11">
        <v>2.2000000000000002</v>
      </c>
      <c r="F538" s="12">
        <v>7.9000000000000001E-2</v>
      </c>
      <c r="G538" s="11">
        <v>14</v>
      </c>
      <c r="H538" s="11">
        <v>28</v>
      </c>
      <c r="I538" s="14">
        <v>0.99819999999999998</v>
      </c>
      <c r="J538" s="13">
        <v>3.03</v>
      </c>
      <c r="K538" s="13">
        <v>0.93</v>
      </c>
      <c r="L538" s="11">
        <v>9.8000000000000007</v>
      </c>
      <c r="M538" s="10">
        <v>6</v>
      </c>
    </row>
    <row r="539" spans="1:13" x14ac:dyDescent="0.3">
      <c r="A539" s="10">
        <v>538</v>
      </c>
      <c r="B539" s="11">
        <v>11.4</v>
      </c>
      <c r="C539" s="12">
        <v>0.46</v>
      </c>
      <c r="D539" s="13">
        <v>0.5</v>
      </c>
      <c r="E539" s="11">
        <v>2.7</v>
      </c>
      <c r="F539" s="12">
        <v>0.122</v>
      </c>
      <c r="G539" s="11">
        <v>4</v>
      </c>
      <c r="H539" s="11">
        <v>17</v>
      </c>
      <c r="I539" s="14">
        <v>1.0005999999999999</v>
      </c>
      <c r="J539" s="13">
        <v>3.13</v>
      </c>
      <c r="K539" s="13">
        <v>0.7</v>
      </c>
      <c r="L539" s="11">
        <v>10.199999999999999</v>
      </c>
      <c r="M539" s="10">
        <v>5</v>
      </c>
    </row>
    <row r="540" spans="1:13" x14ac:dyDescent="0.3">
      <c r="A540" s="10">
        <v>539</v>
      </c>
      <c r="B540" s="11">
        <v>11.3</v>
      </c>
      <c r="C540" s="12">
        <v>0.37</v>
      </c>
      <c r="D540" s="13">
        <v>0.41</v>
      </c>
      <c r="E540" s="11">
        <v>2.2999999999999998</v>
      </c>
      <c r="F540" s="12">
        <v>8.7999999999999995E-2</v>
      </c>
      <c r="G540" s="11">
        <v>6</v>
      </c>
      <c r="H540" s="11">
        <v>16</v>
      </c>
      <c r="I540" s="14">
        <v>0.99880000000000002</v>
      </c>
      <c r="J540" s="13">
        <v>3.09</v>
      </c>
      <c r="K540" s="13">
        <v>0.8</v>
      </c>
      <c r="L540" s="11">
        <v>9.3000000000000007</v>
      </c>
      <c r="M540" s="10">
        <v>5</v>
      </c>
    </row>
    <row r="541" spans="1:13" x14ac:dyDescent="0.3">
      <c r="A541" s="10">
        <v>540</v>
      </c>
      <c r="B541" s="11">
        <v>8.3000000000000007</v>
      </c>
      <c r="C541" s="12">
        <v>0.54</v>
      </c>
      <c r="D541" s="13">
        <v>0.24</v>
      </c>
      <c r="E541" s="11">
        <v>3.4</v>
      </c>
      <c r="F541" s="12">
        <v>7.5999999999999998E-2</v>
      </c>
      <c r="G541" s="11">
        <v>16</v>
      </c>
      <c r="H541" s="11">
        <v>112</v>
      </c>
      <c r="I541" s="14">
        <v>0.99760000000000004</v>
      </c>
      <c r="J541" s="13">
        <v>3.27</v>
      </c>
      <c r="K541" s="13">
        <v>0.61</v>
      </c>
      <c r="L541" s="11">
        <v>9.4</v>
      </c>
      <c r="M541" s="10">
        <v>5</v>
      </c>
    </row>
    <row r="542" spans="1:13" x14ac:dyDescent="0.3">
      <c r="A542" s="10">
        <v>541</v>
      </c>
      <c r="B542" s="11">
        <v>8.1999999999999993</v>
      </c>
      <c r="C542" s="12">
        <v>0.56000000000000005</v>
      </c>
      <c r="D542" s="13">
        <v>0.23</v>
      </c>
      <c r="E542" s="11">
        <v>3.4</v>
      </c>
      <c r="F542" s="12">
        <v>7.8E-2</v>
      </c>
      <c r="G542" s="11">
        <v>14</v>
      </c>
      <c r="H542" s="11">
        <v>104</v>
      </c>
      <c r="I542" s="14">
        <v>0.99760000000000004</v>
      </c>
      <c r="J542" s="13">
        <v>3.28</v>
      </c>
      <c r="K542" s="13">
        <v>0.62</v>
      </c>
      <c r="L542" s="11">
        <v>9.4</v>
      </c>
      <c r="M542" s="10">
        <v>5</v>
      </c>
    </row>
    <row r="543" spans="1:13" x14ac:dyDescent="0.3">
      <c r="A543" s="10">
        <v>542</v>
      </c>
      <c r="B543" s="11">
        <v>10</v>
      </c>
      <c r="C543" s="12">
        <v>0.57999999999999996</v>
      </c>
      <c r="D543" s="13">
        <v>0.22</v>
      </c>
      <c r="E543" s="11">
        <v>1.9</v>
      </c>
      <c r="F543" s="12">
        <v>0.08</v>
      </c>
      <c r="G543" s="11">
        <v>9</v>
      </c>
      <c r="H543" s="11">
        <v>32</v>
      </c>
      <c r="I543" s="14">
        <v>0.99739999999999995</v>
      </c>
      <c r="J543" s="13">
        <v>3.13</v>
      </c>
      <c r="K543" s="13">
        <v>0.55000000000000004</v>
      </c>
      <c r="L543" s="11">
        <v>9.5</v>
      </c>
      <c r="M543" s="10">
        <v>5</v>
      </c>
    </row>
    <row r="544" spans="1:13" x14ac:dyDescent="0.3">
      <c r="A544" s="10">
        <v>543</v>
      </c>
      <c r="B544" s="11">
        <v>7.9</v>
      </c>
      <c r="C544" s="12">
        <v>0.51</v>
      </c>
      <c r="D544" s="13">
        <v>0.25</v>
      </c>
      <c r="E544" s="11">
        <v>2.9</v>
      </c>
      <c r="F544" s="12">
        <v>7.6999999999999999E-2</v>
      </c>
      <c r="G544" s="11">
        <v>21</v>
      </c>
      <c r="H544" s="11">
        <v>45</v>
      </c>
      <c r="I544" s="14">
        <v>0.99739999999999995</v>
      </c>
      <c r="J544" s="13">
        <v>3.49</v>
      </c>
      <c r="K544" s="13">
        <v>0.96</v>
      </c>
      <c r="L544" s="11">
        <v>12.1</v>
      </c>
      <c r="M544" s="10">
        <v>6</v>
      </c>
    </row>
    <row r="545" spans="1:13" x14ac:dyDescent="0.3">
      <c r="A545" s="10">
        <v>544</v>
      </c>
      <c r="B545" s="11">
        <v>6.8</v>
      </c>
      <c r="C545" s="12">
        <v>0.69</v>
      </c>
      <c r="D545" s="13">
        <v>0</v>
      </c>
      <c r="E545" s="11">
        <v>5.6</v>
      </c>
      <c r="F545" s="12">
        <v>0.124</v>
      </c>
      <c r="G545" s="11">
        <v>21</v>
      </c>
      <c r="H545" s="11">
        <v>58</v>
      </c>
      <c r="I545" s="14">
        <v>0.99970000000000003</v>
      </c>
      <c r="J545" s="13">
        <v>3.46</v>
      </c>
      <c r="K545" s="13">
        <v>0.72</v>
      </c>
      <c r="L545" s="11">
        <v>10.199999999999999</v>
      </c>
      <c r="M545" s="10">
        <v>5</v>
      </c>
    </row>
    <row r="546" spans="1:13" x14ac:dyDescent="0.3">
      <c r="A546" s="10">
        <v>545</v>
      </c>
      <c r="B546" s="11">
        <v>8.8000000000000007</v>
      </c>
      <c r="C546" s="12">
        <v>0.6</v>
      </c>
      <c r="D546" s="13">
        <v>0.28999999999999998</v>
      </c>
      <c r="E546" s="11">
        <v>2.2000000000000002</v>
      </c>
      <c r="F546" s="12">
        <v>9.8000000000000004E-2</v>
      </c>
      <c r="G546" s="11">
        <v>5</v>
      </c>
      <c r="H546" s="11">
        <v>15</v>
      </c>
      <c r="I546" s="14">
        <v>0.99880000000000002</v>
      </c>
      <c r="J546" s="13">
        <v>3.36</v>
      </c>
      <c r="K546" s="13">
        <v>0.49</v>
      </c>
      <c r="L546" s="11">
        <v>9.1</v>
      </c>
      <c r="M546" s="10">
        <v>5</v>
      </c>
    </row>
    <row r="547" spans="1:13" x14ac:dyDescent="0.3">
      <c r="A547" s="10">
        <v>546</v>
      </c>
      <c r="B547" s="11">
        <v>8.6999999999999993</v>
      </c>
      <c r="C547" s="12">
        <v>0.54</v>
      </c>
      <c r="D547" s="13">
        <v>0.26</v>
      </c>
      <c r="E547" s="11">
        <v>2.5</v>
      </c>
      <c r="F547" s="12">
        <v>9.7000000000000003E-2</v>
      </c>
      <c r="G547" s="11">
        <v>7</v>
      </c>
      <c r="H547" s="11">
        <v>31</v>
      </c>
      <c r="I547" s="14">
        <v>0.99760000000000004</v>
      </c>
      <c r="J547" s="13">
        <v>3.27</v>
      </c>
      <c r="K547" s="13">
        <v>0.6</v>
      </c>
      <c r="L547" s="11">
        <v>9.3000000000000007</v>
      </c>
      <c r="M547" s="10">
        <v>6</v>
      </c>
    </row>
    <row r="548" spans="1:13" x14ac:dyDescent="0.3">
      <c r="A548" s="10">
        <v>547</v>
      </c>
      <c r="B548" s="11">
        <v>7.6</v>
      </c>
      <c r="C548" s="12">
        <v>0.68500000000000005</v>
      </c>
      <c r="D548" s="13">
        <v>0.23</v>
      </c>
      <c r="E548" s="11">
        <v>2.2999999999999998</v>
      </c>
      <c r="F548" s="12">
        <v>0.111</v>
      </c>
      <c r="G548" s="11">
        <v>20</v>
      </c>
      <c r="H548" s="11">
        <v>84</v>
      </c>
      <c r="I548" s="14">
        <v>0.99639999999999995</v>
      </c>
      <c r="J548" s="13">
        <v>3.21</v>
      </c>
      <c r="K548" s="13">
        <v>0.61</v>
      </c>
      <c r="L548" s="11">
        <v>9.3000000000000007</v>
      </c>
      <c r="M548" s="10">
        <v>5</v>
      </c>
    </row>
    <row r="549" spans="1:13" x14ac:dyDescent="0.3">
      <c r="A549" s="10">
        <v>548</v>
      </c>
      <c r="B549" s="11">
        <v>10.4</v>
      </c>
      <c r="C549" s="12">
        <v>0.28000000000000003</v>
      </c>
      <c r="D549" s="13">
        <v>0.54</v>
      </c>
      <c r="E549" s="11">
        <v>2.7</v>
      </c>
      <c r="F549" s="12">
        <v>0.105</v>
      </c>
      <c r="G549" s="11">
        <v>5</v>
      </c>
      <c r="H549" s="11">
        <v>19</v>
      </c>
      <c r="I549" s="14">
        <v>0.99880000000000002</v>
      </c>
      <c r="J549" s="13">
        <v>3.25</v>
      </c>
      <c r="K549" s="13">
        <v>0.63</v>
      </c>
      <c r="L549" s="11">
        <v>9.5</v>
      </c>
      <c r="M549" s="10">
        <v>5</v>
      </c>
    </row>
    <row r="550" spans="1:13" x14ac:dyDescent="0.3">
      <c r="A550" s="10">
        <v>549</v>
      </c>
      <c r="B550" s="11">
        <v>7.6</v>
      </c>
      <c r="C550" s="12">
        <v>0.41</v>
      </c>
      <c r="D550" s="13">
        <v>0.14000000000000001</v>
      </c>
      <c r="E550" s="11">
        <v>3</v>
      </c>
      <c r="F550" s="12">
        <v>8.6999999999999994E-2</v>
      </c>
      <c r="G550" s="11">
        <v>21</v>
      </c>
      <c r="H550" s="11">
        <v>43</v>
      </c>
      <c r="I550" s="14">
        <v>0.99639999999999995</v>
      </c>
      <c r="J550" s="13">
        <v>3.32</v>
      </c>
      <c r="K550" s="13">
        <v>0.56999999999999995</v>
      </c>
      <c r="L550" s="11">
        <v>10.5</v>
      </c>
      <c r="M550" s="10">
        <v>6</v>
      </c>
    </row>
    <row r="551" spans="1:13" x14ac:dyDescent="0.3">
      <c r="A551" s="10">
        <v>550</v>
      </c>
      <c r="B551" s="11">
        <v>10.1</v>
      </c>
      <c r="C551" s="12">
        <v>0.93500000000000005</v>
      </c>
      <c r="D551" s="13">
        <v>0.22</v>
      </c>
      <c r="E551" s="11">
        <v>3.4</v>
      </c>
      <c r="F551" s="12">
        <v>0.105</v>
      </c>
      <c r="G551" s="11">
        <v>11</v>
      </c>
      <c r="H551" s="11">
        <v>86</v>
      </c>
      <c r="I551" s="14">
        <v>1.0009999999999999</v>
      </c>
      <c r="J551" s="13">
        <v>3.43</v>
      </c>
      <c r="K551" s="13">
        <v>0.64</v>
      </c>
      <c r="L551" s="11">
        <v>11.3</v>
      </c>
      <c r="M551" s="10">
        <v>4</v>
      </c>
    </row>
    <row r="552" spans="1:13" x14ac:dyDescent="0.3">
      <c r="A552" s="10">
        <v>551</v>
      </c>
      <c r="B552" s="11">
        <v>7.9</v>
      </c>
      <c r="C552" s="12">
        <v>0.35</v>
      </c>
      <c r="D552" s="13">
        <v>0.21</v>
      </c>
      <c r="E552" s="11">
        <v>1.9</v>
      </c>
      <c r="F552" s="12">
        <v>7.2999999999999995E-2</v>
      </c>
      <c r="G552" s="11">
        <v>46</v>
      </c>
      <c r="H552" s="11">
        <v>102</v>
      </c>
      <c r="I552" s="14">
        <v>0.99639999999999995</v>
      </c>
      <c r="J552" s="13">
        <v>3.27</v>
      </c>
      <c r="K552" s="13">
        <v>0.57999999999999996</v>
      </c>
      <c r="L552" s="11">
        <v>9.5</v>
      </c>
      <c r="M552" s="10">
        <v>5</v>
      </c>
    </row>
    <row r="553" spans="1:13" x14ac:dyDescent="0.3">
      <c r="A553" s="10">
        <v>552</v>
      </c>
      <c r="B553" s="11">
        <v>8.6999999999999993</v>
      </c>
      <c r="C553" s="12">
        <v>0.84</v>
      </c>
      <c r="D553" s="13">
        <v>0</v>
      </c>
      <c r="E553" s="11">
        <v>1.4</v>
      </c>
      <c r="F553" s="12">
        <v>6.5000000000000002E-2</v>
      </c>
      <c r="G553" s="11">
        <v>24</v>
      </c>
      <c r="H553" s="11">
        <v>33</v>
      </c>
      <c r="I553" s="14">
        <v>0.99539999999999995</v>
      </c>
      <c r="J553" s="13">
        <v>3.27</v>
      </c>
      <c r="K553" s="13">
        <v>0.55000000000000004</v>
      </c>
      <c r="L553" s="11">
        <v>9.6999999999999993</v>
      </c>
      <c r="M553" s="10">
        <v>5</v>
      </c>
    </row>
    <row r="554" spans="1:13" x14ac:dyDescent="0.3">
      <c r="A554" s="10">
        <v>553</v>
      </c>
      <c r="B554" s="11">
        <v>9.6</v>
      </c>
      <c r="C554" s="12">
        <v>0.88</v>
      </c>
      <c r="D554" s="13">
        <v>0.28000000000000003</v>
      </c>
      <c r="E554" s="11">
        <v>2.4</v>
      </c>
      <c r="F554" s="12">
        <v>8.5999999999999993E-2</v>
      </c>
      <c r="G554" s="11">
        <v>30</v>
      </c>
      <c r="H554" s="11">
        <v>147</v>
      </c>
      <c r="I554" s="14">
        <v>0.99790000000000001</v>
      </c>
      <c r="J554" s="13">
        <v>3.24</v>
      </c>
      <c r="K554" s="13">
        <v>0.53</v>
      </c>
      <c r="L554" s="11">
        <v>9.4</v>
      </c>
      <c r="M554" s="10">
        <v>5</v>
      </c>
    </row>
    <row r="555" spans="1:13" x14ac:dyDescent="0.3">
      <c r="A555" s="10">
        <v>554</v>
      </c>
      <c r="B555" s="11">
        <v>9.5</v>
      </c>
      <c r="C555" s="12">
        <v>0.88500000000000001</v>
      </c>
      <c r="D555" s="13">
        <v>0.27</v>
      </c>
      <c r="E555" s="11">
        <v>2.2999999999999998</v>
      </c>
      <c r="F555" s="12">
        <v>8.4000000000000005E-2</v>
      </c>
      <c r="G555" s="11">
        <v>31</v>
      </c>
      <c r="H555" s="11">
        <v>145</v>
      </c>
      <c r="I555" s="14">
        <v>0.99780000000000002</v>
      </c>
      <c r="J555" s="13">
        <v>3.24</v>
      </c>
      <c r="K555" s="13">
        <v>0.53</v>
      </c>
      <c r="L555" s="11">
        <v>9.4</v>
      </c>
      <c r="M555" s="10">
        <v>5</v>
      </c>
    </row>
    <row r="556" spans="1:13" x14ac:dyDescent="0.3">
      <c r="A556" s="10">
        <v>555</v>
      </c>
      <c r="B556" s="11">
        <v>7.7</v>
      </c>
      <c r="C556" s="12">
        <v>0.91500000000000004</v>
      </c>
      <c r="D556" s="13">
        <v>0.12</v>
      </c>
      <c r="E556" s="11">
        <v>2.2000000000000002</v>
      </c>
      <c r="F556" s="12">
        <v>0.14299999999999999</v>
      </c>
      <c r="G556" s="11">
        <v>7</v>
      </c>
      <c r="H556" s="11">
        <v>23</v>
      </c>
      <c r="I556" s="14">
        <v>0.99639999999999995</v>
      </c>
      <c r="J556" s="13">
        <v>3.35</v>
      </c>
      <c r="K556" s="13">
        <v>0.65</v>
      </c>
      <c r="L556" s="11">
        <v>10.199999999999999</v>
      </c>
      <c r="M556" s="10">
        <v>7</v>
      </c>
    </row>
    <row r="557" spans="1:13" x14ac:dyDescent="0.3">
      <c r="A557" s="10">
        <v>556</v>
      </c>
      <c r="B557" s="11">
        <v>8.9</v>
      </c>
      <c r="C557" s="12">
        <v>0.28999999999999998</v>
      </c>
      <c r="D557" s="13">
        <v>0.35</v>
      </c>
      <c r="E557" s="11">
        <v>1.9</v>
      </c>
      <c r="F557" s="12">
        <v>6.7000000000000004E-2</v>
      </c>
      <c r="G557" s="11">
        <v>25</v>
      </c>
      <c r="H557" s="11">
        <v>57</v>
      </c>
      <c r="I557" s="14">
        <v>0.997</v>
      </c>
      <c r="J557" s="13">
        <v>3.18</v>
      </c>
      <c r="K557" s="13">
        <v>1.36</v>
      </c>
      <c r="L557" s="11">
        <v>10.3</v>
      </c>
      <c r="M557" s="10">
        <v>6</v>
      </c>
    </row>
    <row r="558" spans="1:13" x14ac:dyDescent="0.3">
      <c r="A558" s="10">
        <v>557</v>
      </c>
      <c r="B558" s="11">
        <v>9.9</v>
      </c>
      <c r="C558" s="12">
        <v>0.54</v>
      </c>
      <c r="D558" s="13">
        <v>0.45</v>
      </c>
      <c r="E558" s="11">
        <v>2.2999999999999998</v>
      </c>
      <c r="F558" s="12">
        <v>7.0999999999999994E-2</v>
      </c>
      <c r="G558" s="11">
        <v>16</v>
      </c>
      <c r="H558" s="11">
        <v>40</v>
      </c>
      <c r="I558" s="14">
        <v>0.99909999999999999</v>
      </c>
      <c r="J558" s="13">
        <v>3.39</v>
      </c>
      <c r="K558" s="13">
        <v>0.62</v>
      </c>
      <c r="L558" s="11">
        <v>9.4</v>
      </c>
      <c r="M558" s="10">
        <v>5</v>
      </c>
    </row>
    <row r="559" spans="1:13" x14ac:dyDescent="0.3">
      <c r="A559" s="10">
        <v>558</v>
      </c>
      <c r="B559" s="11">
        <v>9.5</v>
      </c>
      <c r="C559" s="12">
        <v>0.59</v>
      </c>
      <c r="D559" s="13">
        <v>0.44</v>
      </c>
      <c r="E559" s="11">
        <v>2.2999999999999998</v>
      </c>
      <c r="F559" s="12">
        <v>7.0999999999999994E-2</v>
      </c>
      <c r="G559" s="11">
        <v>21</v>
      </c>
      <c r="H559" s="11">
        <v>68</v>
      </c>
      <c r="I559" s="14">
        <v>0.99919999999999998</v>
      </c>
      <c r="J559" s="13">
        <v>3.46</v>
      </c>
      <c r="K559" s="13">
        <v>0.63</v>
      </c>
      <c r="L559" s="11">
        <v>9.5</v>
      </c>
      <c r="M559" s="10">
        <v>5</v>
      </c>
    </row>
    <row r="560" spans="1:13" x14ac:dyDescent="0.3">
      <c r="A560" s="10">
        <v>559</v>
      </c>
      <c r="B560" s="11">
        <v>7.8</v>
      </c>
      <c r="C560" s="12">
        <v>0.64</v>
      </c>
      <c r="D560" s="13">
        <v>0.1</v>
      </c>
      <c r="E560" s="11">
        <v>6</v>
      </c>
      <c r="F560" s="12">
        <v>0.115</v>
      </c>
      <c r="G560" s="11">
        <v>5</v>
      </c>
      <c r="H560" s="11">
        <v>11</v>
      </c>
      <c r="I560" s="14">
        <v>0.99839999999999995</v>
      </c>
      <c r="J560" s="13">
        <v>3.37</v>
      </c>
      <c r="K560" s="13">
        <v>0.69</v>
      </c>
      <c r="L560" s="11">
        <v>10.1</v>
      </c>
      <c r="M560" s="10">
        <v>7</v>
      </c>
    </row>
    <row r="561" spans="1:13" x14ac:dyDescent="0.3">
      <c r="A561" s="10">
        <v>560</v>
      </c>
      <c r="B561" s="11">
        <v>7.3</v>
      </c>
      <c r="C561" s="12">
        <v>0.67</v>
      </c>
      <c r="D561" s="13">
        <v>0.05</v>
      </c>
      <c r="E561" s="11">
        <v>3.6</v>
      </c>
      <c r="F561" s="12">
        <v>0.107</v>
      </c>
      <c r="G561" s="11">
        <v>6</v>
      </c>
      <c r="H561" s="11">
        <v>20</v>
      </c>
      <c r="I561" s="14">
        <v>0.99719999999999998</v>
      </c>
      <c r="J561" s="13">
        <v>3.4</v>
      </c>
      <c r="K561" s="13">
        <v>0.63</v>
      </c>
      <c r="L561" s="11">
        <v>10.1</v>
      </c>
      <c r="M561" s="10">
        <v>5</v>
      </c>
    </row>
    <row r="562" spans="1:13" x14ac:dyDescent="0.3">
      <c r="A562" s="10">
        <v>561</v>
      </c>
      <c r="B562" s="11">
        <v>8.3000000000000007</v>
      </c>
      <c r="C562" s="12">
        <v>0.84499999999999997</v>
      </c>
      <c r="D562" s="13">
        <v>0.01</v>
      </c>
      <c r="E562" s="11">
        <v>2.2000000000000002</v>
      </c>
      <c r="F562" s="12">
        <v>7.0000000000000007E-2</v>
      </c>
      <c r="G562" s="11">
        <v>5</v>
      </c>
      <c r="H562" s="11">
        <v>14</v>
      </c>
      <c r="I562" s="14">
        <v>0.99670000000000003</v>
      </c>
      <c r="J562" s="13">
        <v>3.32</v>
      </c>
      <c r="K562" s="13">
        <v>0.57999999999999996</v>
      </c>
      <c r="L562" s="11">
        <v>11</v>
      </c>
      <c r="M562" s="10">
        <v>4</v>
      </c>
    </row>
    <row r="563" spans="1:13" x14ac:dyDescent="0.3">
      <c r="A563" s="10">
        <v>562</v>
      </c>
      <c r="B563" s="11">
        <v>8.6999999999999993</v>
      </c>
      <c r="C563" s="12">
        <v>0.48</v>
      </c>
      <c r="D563" s="13">
        <v>0.3</v>
      </c>
      <c r="E563" s="11">
        <v>2.8</v>
      </c>
      <c r="F563" s="12">
        <v>6.6000000000000003E-2</v>
      </c>
      <c r="G563" s="11">
        <v>10</v>
      </c>
      <c r="H563" s="11">
        <v>28</v>
      </c>
      <c r="I563" s="14">
        <v>0.99639999999999995</v>
      </c>
      <c r="J563" s="13">
        <v>3.33</v>
      </c>
      <c r="K563" s="13">
        <v>0.67</v>
      </c>
      <c r="L563" s="11">
        <v>11.2</v>
      </c>
      <c r="M563" s="10">
        <v>7</v>
      </c>
    </row>
    <row r="564" spans="1:13" x14ac:dyDescent="0.3">
      <c r="A564" s="10">
        <v>563</v>
      </c>
      <c r="B564" s="11">
        <v>6.7</v>
      </c>
      <c r="C564" s="12">
        <v>0.42</v>
      </c>
      <c r="D564" s="13">
        <v>0.27</v>
      </c>
      <c r="E564" s="11">
        <v>8.6</v>
      </c>
      <c r="F564" s="12">
        <v>6.8000000000000005E-2</v>
      </c>
      <c r="G564" s="11">
        <v>24</v>
      </c>
      <c r="H564" s="11">
        <v>148</v>
      </c>
      <c r="I564" s="14">
        <v>0.99480000000000002</v>
      </c>
      <c r="J564" s="13">
        <v>3.16</v>
      </c>
      <c r="K564" s="13">
        <v>0.56999999999999995</v>
      </c>
      <c r="L564" s="11">
        <v>11.3</v>
      </c>
      <c r="M564" s="10">
        <v>6</v>
      </c>
    </row>
    <row r="565" spans="1:13" x14ac:dyDescent="0.3">
      <c r="A565" s="10">
        <v>564</v>
      </c>
      <c r="B565" s="11">
        <v>10.7</v>
      </c>
      <c r="C565" s="12">
        <v>0.43</v>
      </c>
      <c r="D565" s="13">
        <v>0.39</v>
      </c>
      <c r="E565" s="11">
        <v>2.2000000000000002</v>
      </c>
      <c r="F565" s="12">
        <v>0.106</v>
      </c>
      <c r="G565" s="11">
        <v>8</v>
      </c>
      <c r="H565" s="11">
        <v>32</v>
      </c>
      <c r="I565" s="14">
        <v>0.99860000000000004</v>
      </c>
      <c r="J565" s="13">
        <v>2.89</v>
      </c>
      <c r="K565" s="13">
        <v>0.5</v>
      </c>
      <c r="L565" s="11">
        <v>9.6</v>
      </c>
      <c r="M565" s="10">
        <v>5</v>
      </c>
    </row>
    <row r="566" spans="1:13" x14ac:dyDescent="0.3">
      <c r="A566" s="10">
        <v>565</v>
      </c>
      <c r="B566" s="11">
        <v>9.8000000000000007</v>
      </c>
      <c r="C566" s="12">
        <v>0.88</v>
      </c>
      <c r="D566" s="13">
        <v>0.25</v>
      </c>
      <c r="E566" s="11">
        <v>2.5</v>
      </c>
      <c r="F566" s="12">
        <v>0.104</v>
      </c>
      <c r="G566" s="11">
        <v>35</v>
      </c>
      <c r="H566" s="11">
        <v>155</v>
      </c>
      <c r="I566" s="14">
        <v>1.0009999999999999</v>
      </c>
      <c r="J566" s="13">
        <v>3.41</v>
      </c>
      <c r="K566" s="13">
        <v>0.67</v>
      </c>
      <c r="L566" s="11">
        <v>11.2</v>
      </c>
      <c r="M566" s="10">
        <v>5</v>
      </c>
    </row>
    <row r="567" spans="1:13" x14ac:dyDescent="0.3">
      <c r="A567" s="10">
        <v>566</v>
      </c>
      <c r="B567" s="11">
        <v>15.9</v>
      </c>
      <c r="C567" s="12">
        <v>0.36</v>
      </c>
      <c r="D567" s="13">
        <v>0.65</v>
      </c>
      <c r="E567" s="11">
        <v>7.5</v>
      </c>
      <c r="F567" s="12">
        <v>9.6000000000000002E-2</v>
      </c>
      <c r="G567" s="11">
        <v>22</v>
      </c>
      <c r="H567" s="11">
        <v>71</v>
      </c>
      <c r="I567" s="14">
        <v>0.99760000000000004</v>
      </c>
      <c r="J567" s="13">
        <v>2.98</v>
      </c>
      <c r="K567" s="13">
        <v>0.84</v>
      </c>
      <c r="L567" s="11">
        <v>14.9</v>
      </c>
      <c r="M567" s="10">
        <v>5</v>
      </c>
    </row>
    <row r="568" spans="1:13" x14ac:dyDescent="0.3">
      <c r="A568" s="10">
        <v>567</v>
      </c>
      <c r="B568" s="11">
        <v>9.4</v>
      </c>
      <c r="C568" s="12">
        <v>0.33</v>
      </c>
      <c r="D568" s="13">
        <v>0.59</v>
      </c>
      <c r="E568" s="11">
        <v>2.8</v>
      </c>
      <c r="F568" s="12">
        <v>7.9000000000000001E-2</v>
      </c>
      <c r="G568" s="11">
        <v>9</v>
      </c>
      <c r="H568" s="11">
        <v>30</v>
      </c>
      <c r="I568" s="14">
        <v>0.99760000000000004</v>
      </c>
      <c r="J568" s="13">
        <v>3.12</v>
      </c>
      <c r="K568" s="13">
        <v>0.54</v>
      </c>
      <c r="L568" s="11">
        <v>12</v>
      </c>
      <c r="M568" s="10">
        <v>6</v>
      </c>
    </row>
    <row r="569" spans="1:13" x14ac:dyDescent="0.3">
      <c r="A569" s="10">
        <v>568</v>
      </c>
      <c r="B569" s="11">
        <v>8.6</v>
      </c>
      <c r="C569" s="12">
        <v>0.47</v>
      </c>
      <c r="D569" s="13">
        <v>0.47</v>
      </c>
      <c r="E569" s="11">
        <v>2.4</v>
      </c>
      <c r="F569" s="12">
        <v>7.3999999999999996E-2</v>
      </c>
      <c r="G569" s="11">
        <v>7</v>
      </c>
      <c r="H569" s="11">
        <v>29</v>
      </c>
      <c r="I569" s="14">
        <v>0.99790000000000001</v>
      </c>
      <c r="J569" s="13">
        <v>3.08</v>
      </c>
      <c r="K569" s="13">
        <v>0.46</v>
      </c>
      <c r="L569" s="11">
        <v>9.5</v>
      </c>
      <c r="M569" s="10">
        <v>5</v>
      </c>
    </row>
    <row r="570" spans="1:13" x14ac:dyDescent="0.3">
      <c r="A570" s="10">
        <v>569</v>
      </c>
      <c r="B570" s="11">
        <v>9.6999999999999993</v>
      </c>
      <c r="C570" s="12">
        <v>0.55000000000000004</v>
      </c>
      <c r="D570" s="13">
        <v>0.17</v>
      </c>
      <c r="E570" s="11">
        <v>2.9</v>
      </c>
      <c r="F570" s="12">
        <v>8.6999999999999994E-2</v>
      </c>
      <c r="G570" s="11">
        <v>20</v>
      </c>
      <c r="H570" s="11">
        <v>53</v>
      </c>
      <c r="I570" s="14">
        <v>1.0004</v>
      </c>
      <c r="J570" s="13">
        <v>3.14</v>
      </c>
      <c r="K570" s="13">
        <v>0.61</v>
      </c>
      <c r="L570" s="11">
        <v>9.4</v>
      </c>
      <c r="M570" s="10">
        <v>5</v>
      </c>
    </row>
    <row r="571" spans="1:13" x14ac:dyDescent="0.3">
      <c r="A571" s="10">
        <v>570</v>
      </c>
      <c r="B571" s="11">
        <v>12</v>
      </c>
      <c r="C571" s="12">
        <v>0.5</v>
      </c>
      <c r="D571" s="13">
        <v>0.59</v>
      </c>
      <c r="E571" s="11">
        <v>1.4</v>
      </c>
      <c r="F571" s="12">
        <v>7.2999999999999995E-2</v>
      </c>
      <c r="G571" s="11">
        <v>23</v>
      </c>
      <c r="H571" s="11">
        <v>42</v>
      </c>
      <c r="I571" s="14">
        <v>0.998</v>
      </c>
      <c r="J571" s="13">
        <v>2.92</v>
      </c>
      <c r="K571" s="13">
        <v>0.68</v>
      </c>
      <c r="L571" s="11">
        <v>10.5</v>
      </c>
      <c r="M571" s="10">
        <v>7</v>
      </c>
    </row>
    <row r="572" spans="1:13" x14ac:dyDescent="0.3">
      <c r="A572" s="10">
        <v>571</v>
      </c>
      <c r="B572" s="11">
        <v>7.2</v>
      </c>
      <c r="C572" s="12">
        <v>0.52</v>
      </c>
      <c r="D572" s="13">
        <v>7.0000000000000007E-2</v>
      </c>
      <c r="E572" s="11">
        <v>1.4</v>
      </c>
      <c r="F572" s="12">
        <v>7.3999999999999996E-2</v>
      </c>
      <c r="G572" s="11">
        <v>5</v>
      </c>
      <c r="H572" s="11">
        <v>20</v>
      </c>
      <c r="I572" s="14">
        <v>0.99729999999999996</v>
      </c>
      <c r="J572" s="13">
        <v>3.32</v>
      </c>
      <c r="K572" s="13">
        <v>0.81</v>
      </c>
      <c r="L572" s="11">
        <v>9.6</v>
      </c>
      <c r="M572" s="10">
        <v>6</v>
      </c>
    </row>
    <row r="573" spans="1:13" x14ac:dyDescent="0.3">
      <c r="A573" s="10">
        <v>572</v>
      </c>
      <c r="B573" s="11">
        <v>7.1</v>
      </c>
      <c r="C573" s="12">
        <v>0.84</v>
      </c>
      <c r="D573" s="13">
        <v>0.02</v>
      </c>
      <c r="E573" s="11">
        <v>4.4000000000000004</v>
      </c>
      <c r="F573" s="12">
        <v>9.6000000000000002E-2</v>
      </c>
      <c r="G573" s="11">
        <v>5</v>
      </c>
      <c r="H573" s="11">
        <v>13</v>
      </c>
      <c r="I573" s="14">
        <v>0.997</v>
      </c>
      <c r="J573" s="13">
        <v>3.41</v>
      </c>
      <c r="K573" s="13">
        <v>0.56999999999999995</v>
      </c>
      <c r="L573" s="11">
        <v>11</v>
      </c>
      <c r="M573" s="10">
        <v>4</v>
      </c>
    </row>
    <row r="574" spans="1:13" x14ac:dyDescent="0.3">
      <c r="A574" s="10">
        <v>573</v>
      </c>
      <c r="B574" s="11">
        <v>7.5</v>
      </c>
      <c r="C574" s="12">
        <v>0.42</v>
      </c>
      <c r="D574" s="13">
        <v>0.31</v>
      </c>
      <c r="E574" s="11">
        <v>1.6</v>
      </c>
      <c r="F574" s="12">
        <v>0.08</v>
      </c>
      <c r="G574" s="11">
        <v>15</v>
      </c>
      <c r="H574" s="11">
        <v>42</v>
      </c>
      <c r="I574" s="14">
        <v>0.99780000000000002</v>
      </c>
      <c r="J574" s="13">
        <v>3.31</v>
      </c>
      <c r="K574" s="13">
        <v>0.64</v>
      </c>
      <c r="L574" s="11">
        <v>9</v>
      </c>
      <c r="M574" s="10">
        <v>5</v>
      </c>
    </row>
    <row r="575" spans="1:13" x14ac:dyDescent="0.3">
      <c r="A575" s="10">
        <v>574</v>
      </c>
      <c r="B575" s="11">
        <v>7.2</v>
      </c>
      <c r="C575" s="12">
        <v>0.56999999999999995</v>
      </c>
      <c r="D575" s="13">
        <v>0.06</v>
      </c>
      <c r="E575" s="11">
        <v>1.6</v>
      </c>
      <c r="F575" s="12">
        <v>7.5999999999999998E-2</v>
      </c>
      <c r="G575" s="11">
        <v>9</v>
      </c>
      <c r="H575" s="11">
        <v>27</v>
      </c>
      <c r="I575" s="14">
        <v>0.99719999999999998</v>
      </c>
      <c r="J575" s="13">
        <v>3.36</v>
      </c>
      <c r="K575" s="13">
        <v>0.7</v>
      </c>
      <c r="L575" s="11">
        <v>9.6</v>
      </c>
      <c r="M575" s="10">
        <v>6</v>
      </c>
    </row>
    <row r="576" spans="1:13" x14ac:dyDescent="0.3">
      <c r="A576" s="10">
        <v>575</v>
      </c>
      <c r="B576" s="11">
        <v>10.1</v>
      </c>
      <c r="C576" s="12">
        <v>0.28000000000000003</v>
      </c>
      <c r="D576" s="13">
        <v>0.46</v>
      </c>
      <c r="E576" s="11">
        <v>1.8</v>
      </c>
      <c r="F576" s="12">
        <v>0.05</v>
      </c>
      <c r="G576" s="11">
        <v>5</v>
      </c>
      <c r="H576" s="11">
        <v>13</v>
      </c>
      <c r="I576" s="14">
        <v>0.99739999999999995</v>
      </c>
      <c r="J576" s="13">
        <v>3.04</v>
      </c>
      <c r="K576" s="13">
        <v>0.79</v>
      </c>
      <c r="L576" s="11">
        <v>10.199999999999999</v>
      </c>
      <c r="M576" s="10">
        <v>6</v>
      </c>
    </row>
    <row r="577" spans="1:13" x14ac:dyDescent="0.3">
      <c r="A577" s="10">
        <v>576</v>
      </c>
      <c r="B577" s="11">
        <v>12.1</v>
      </c>
      <c r="C577" s="12">
        <v>0.4</v>
      </c>
      <c r="D577" s="13">
        <v>0.52</v>
      </c>
      <c r="E577" s="11">
        <v>2</v>
      </c>
      <c r="F577" s="12">
        <v>9.1999999999999998E-2</v>
      </c>
      <c r="G577" s="11">
        <v>15</v>
      </c>
      <c r="H577" s="11">
        <v>54</v>
      </c>
      <c r="I577" s="14">
        <v>1</v>
      </c>
      <c r="J577" s="13">
        <v>3.03</v>
      </c>
      <c r="K577" s="13">
        <v>0.66</v>
      </c>
      <c r="L577" s="11">
        <v>10.199999999999999</v>
      </c>
      <c r="M577" s="10">
        <v>5</v>
      </c>
    </row>
    <row r="578" spans="1:13" x14ac:dyDescent="0.3">
      <c r="A578" s="10">
        <v>577</v>
      </c>
      <c r="B578" s="11">
        <v>9.4</v>
      </c>
      <c r="C578" s="12">
        <v>0.59</v>
      </c>
      <c r="D578" s="13">
        <v>0.14000000000000001</v>
      </c>
      <c r="E578" s="11">
        <v>2</v>
      </c>
      <c r="F578" s="12">
        <v>8.4000000000000005E-2</v>
      </c>
      <c r="G578" s="11">
        <v>25</v>
      </c>
      <c r="H578" s="11">
        <v>48</v>
      </c>
      <c r="I578" s="14">
        <v>0.99809999999999999</v>
      </c>
      <c r="J578" s="13">
        <v>3.14</v>
      </c>
      <c r="K578" s="13">
        <v>0.56000000000000005</v>
      </c>
      <c r="L578" s="11">
        <v>9.6999999999999993</v>
      </c>
      <c r="M578" s="10">
        <v>5</v>
      </c>
    </row>
    <row r="579" spans="1:13" x14ac:dyDescent="0.3">
      <c r="A579" s="10">
        <v>578</v>
      </c>
      <c r="B579" s="11">
        <v>8.3000000000000007</v>
      </c>
      <c r="C579" s="12">
        <v>0.49</v>
      </c>
      <c r="D579" s="13">
        <v>0.36</v>
      </c>
      <c r="E579" s="11">
        <v>1.8</v>
      </c>
      <c r="F579" s="12">
        <v>0.222</v>
      </c>
      <c r="G579" s="11">
        <v>6</v>
      </c>
      <c r="H579" s="11">
        <v>16</v>
      </c>
      <c r="I579" s="14">
        <v>0.998</v>
      </c>
      <c r="J579" s="13">
        <v>3.18</v>
      </c>
      <c r="K579" s="13">
        <v>0.6</v>
      </c>
      <c r="L579" s="11">
        <v>9.5</v>
      </c>
      <c r="M579" s="10">
        <v>6</v>
      </c>
    </row>
    <row r="580" spans="1:13" x14ac:dyDescent="0.3">
      <c r="A580" s="10">
        <v>579</v>
      </c>
      <c r="B580" s="11">
        <v>11.3</v>
      </c>
      <c r="C580" s="12">
        <v>0.34</v>
      </c>
      <c r="D580" s="13">
        <v>0.45</v>
      </c>
      <c r="E580" s="11">
        <v>2</v>
      </c>
      <c r="F580" s="12">
        <v>8.2000000000000003E-2</v>
      </c>
      <c r="G580" s="11">
        <v>6</v>
      </c>
      <c r="H580" s="11">
        <v>15</v>
      </c>
      <c r="I580" s="14">
        <v>0.99880000000000002</v>
      </c>
      <c r="J580" s="13">
        <v>2.94</v>
      </c>
      <c r="K580" s="13">
        <v>0.66</v>
      </c>
      <c r="L580" s="11">
        <v>9.1999999999999993</v>
      </c>
      <c r="M580" s="10">
        <v>6</v>
      </c>
    </row>
    <row r="581" spans="1:13" x14ac:dyDescent="0.3">
      <c r="A581" s="10">
        <v>580</v>
      </c>
      <c r="B581" s="11">
        <v>10</v>
      </c>
      <c r="C581" s="12">
        <v>0.73</v>
      </c>
      <c r="D581" s="13">
        <v>0.43</v>
      </c>
      <c r="E581" s="11">
        <v>2.2999999999999998</v>
      </c>
      <c r="F581" s="12">
        <v>5.8999999999999997E-2</v>
      </c>
      <c r="G581" s="11">
        <v>15</v>
      </c>
      <c r="H581" s="11">
        <v>31</v>
      </c>
      <c r="I581" s="14">
        <v>0.99660000000000004</v>
      </c>
      <c r="J581" s="13">
        <v>3.15</v>
      </c>
      <c r="K581" s="13">
        <v>0.56999999999999995</v>
      </c>
      <c r="L581" s="11">
        <v>11</v>
      </c>
      <c r="M581" s="10">
        <v>5</v>
      </c>
    </row>
    <row r="582" spans="1:13" x14ac:dyDescent="0.3">
      <c r="A582" s="10">
        <v>581</v>
      </c>
      <c r="B582" s="11">
        <v>6.9</v>
      </c>
      <c r="C582" s="12">
        <v>0.4</v>
      </c>
      <c r="D582" s="13">
        <v>0.24</v>
      </c>
      <c r="E582" s="11">
        <v>2.5</v>
      </c>
      <c r="F582" s="12">
        <v>8.3000000000000004E-2</v>
      </c>
      <c r="G582" s="11">
        <v>30</v>
      </c>
      <c r="H582" s="11">
        <v>45</v>
      </c>
      <c r="I582" s="14">
        <v>0.99590000000000001</v>
      </c>
      <c r="J582" s="13">
        <v>3.26</v>
      </c>
      <c r="K582" s="13">
        <v>0.57999999999999996</v>
      </c>
      <c r="L582" s="11">
        <v>10</v>
      </c>
      <c r="M582" s="10">
        <v>5</v>
      </c>
    </row>
    <row r="583" spans="1:13" x14ac:dyDescent="0.3">
      <c r="A583" s="10">
        <v>582</v>
      </c>
      <c r="B583" s="11">
        <v>8.1999999999999993</v>
      </c>
      <c r="C583" s="12">
        <v>0.73</v>
      </c>
      <c r="D583" s="13">
        <v>0.21</v>
      </c>
      <c r="E583" s="11">
        <v>1.7</v>
      </c>
      <c r="F583" s="12">
        <v>7.3999999999999996E-2</v>
      </c>
      <c r="G583" s="11">
        <v>5</v>
      </c>
      <c r="H583" s="11">
        <v>13</v>
      </c>
      <c r="I583" s="14">
        <v>0.99680000000000002</v>
      </c>
      <c r="J583" s="13">
        <v>3.2</v>
      </c>
      <c r="K583" s="13">
        <v>0.52</v>
      </c>
      <c r="L583" s="11">
        <v>9.5</v>
      </c>
      <c r="M583" s="10">
        <v>5</v>
      </c>
    </row>
    <row r="584" spans="1:13" x14ac:dyDescent="0.3">
      <c r="A584" s="10">
        <v>583</v>
      </c>
      <c r="B584" s="11">
        <v>9.8000000000000007</v>
      </c>
      <c r="C584" s="12">
        <v>1.24</v>
      </c>
      <c r="D584" s="13">
        <v>0.34</v>
      </c>
      <c r="E584" s="11">
        <v>2</v>
      </c>
      <c r="F584" s="12">
        <v>7.9000000000000001E-2</v>
      </c>
      <c r="G584" s="11">
        <v>32</v>
      </c>
      <c r="H584" s="11">
        <v>151</v>
      </c>
      <c r="I584" s="14">
        <v>0.998</v>
      </c>
      <c r="J584" s="13">
        <v>3.15</v>
      </c>
      <c r="K584" s="13">
        <v>0.53</v>
      </c>
      <c r="L584" s="11">
        <v>9.5</v>
      </c>
      <c r="M584" s="10">
        <v>5</v>
      </c>
    </row>
    <row r="585" spans="1:13" x14ac:dyDescent="0.3">
      <c r="A585" s="10">
        <v>584</v>
      </c>
      <c r="B585" s="11">
        <v>10.8</v>
      </c>
      <c r="C585" s="12">
        <v>0.4</v>
      </c>
      <c r="D585" s="13">
        <v>0.41</v>
      </c>
      <c r="E585" s="11">
        <v>2.2000000000000002</v>
      </c>
      <c r="F585" s="12">
        <v>8.4000000000000005E-2</v>
      </c>
      <c r="G585" s="11">
        <v>7</v>
      </c>
      <c r="H585" s="11">
        <v>17</v>
      </c>
      <c r="I585" s="14">
        <v>0.99839999999999995</v>
      </c>
      <c r="J585" s="13">
        <v>3.08</v>
      </c>
      <c r="K585" s="13">
        <v>0.67</v>
      </c>
      <c r="L585" s="11">
        <v>9.3000000000000007</v>
      </c>
      <c r="M585" s="10">
        <v>6</v>
      </c>
    </row>
    <row r="586" spans="1:13" x14ac:dyDescent="0.3">
      <c r="A586" s="10">
        <v>585</v>
      </c>
      <c r="B586" s="11">
        <v>9.3000000000000007</v>
      </c>
      <c r="C586" s="12">
        <v>0.41</v>
      </c>
      <c r="D586" s="13">
        <v>0.39</v>
      </c>
      <c r="E586" s="11">
        <v>2.2000000000000002</v>
      </c>
      <c r="F586" s="12">
        <v>6.4000000000000001E-2</v>
      </c>
      <c r="G586" s="11">
        <v>12</v>
      </c>
      <c r="H586" s="11">
        <v>31</v>
      </c>
      <c r="I586" s="14">
        <v>0.99839999999999995</v>
      </c>
      <c r="J586" s="13">
        <v>3.26</v>
      </c>
      <c r="K586" s="13">
        <v>0.65</v>
      </c>
      <c r="L586" s="11">
        <v>10.199999999999999</v>
      </c>
      <c r="M586" s="10">
        <v>5</v>
      </c>
    </row>
    <row r="587" spans="1:13" x14ac:dyDescent="0.3">
      <c r="A587" s="10">
        <v>586</v>
      </c>
      <c r="B587" s="11">
        <v>8.6</v>
      </c>
      <c r="C587" s="12">
        <v>0.8</v>
      </c>
      <c r="D587" s="13">
        <v>0.11</v>
      </c>
      <c r="E587" s="11">
        <v>2.2999999999999998</v>
      </c>
      <c r="F587" s="12">
        <v>8.4000000000000005E-2</v>
      </c>
      <c r="G587" s="11">
        <v>12</v>
      </c>
      <c r="H587" s="11">
        <v>31</v>
      </c>
      <c r="I587" s="14">
        <v>0.99790000000000001</v>
      </c>
      <c r="J587" s="13">
        <v>3.4</v>
      </c>
      <c r="K587" s="13">
        <v>0.48</v>
      </c>
      <c r="L587" s="11">
        <v>9.9</v>
      </c>
      <c r="M587" s="10">
        <v>5</v>
      </c>
    </row>
    <row r="588" spans="1:13" x14ac:dyDescent="0.3">
      <c r="A588" s="10">
        <v>587</v>
      </c>
      <c r="B588" s="11">
        <v>8.3000000000000007</v>
      </c>
      <c r="C588" s="12">
        <v>0.78</v>
      </c>
      <c r="D588" s="13">
        <v>0.1</v>
      </c>
      <c r="E588" s="11">
        <v>2.6</v>
      </c>
      <c r="F588" s="12">
        <v>8.1000000000000003E-2</v>
      </c>
      <c r="G588" s="11">
        <v>45</v>
      </c>
      <c r="H588" s="11">
        <v>87</v>
      </c>
      <c r="I588" s="14">
        <v>0.99829999999999997</v>
      </c>
      <c r="J588" s="13">
        <v>3.48</v>
      </c>
      <c r="K588" s="13">
        <v>0.53</v>
      </c>
      <c r="L588" s="11">
        <v>10</v>
      </c>
      <c r="M588" s="10">
        <v>5</v>
      </c>
    </row>
    <row r="589" spans="1:13" x14ac:dyDescent="0.3">
      <c r="A589" s="10">
        <v>588</v>
      </c>
      <c r="B589" s="11">
        <v>10.8</v>
      </c>
      <c r="C589" s="12">
        <v>0.26</v>
      </c>
      <c r="D589" s="13">
        <v>0.45</v>
      </c>
      <c r="E589" s="11">
        <v>3.3</v>
      </c>
      <c r="F589" s="12">
        <v>0.06</v>
      </c>
      <c r="G589" s="11">
        <v>20</v>
      </c>
      <c r="H589" s="11">
        <v>49</v>
      </c>
      <c r="I589" s="14">
        <v>0.99719999999999998</v>
      </c>
      <c r="J589" s="13">
        <v>3.13</v>
      </c>
      <c r="K589" s="13">
        <v>0.54</v>
      </c>
      <c r="L589" s="11">
        <v>9.6</v>
      </c>
      <c r="M589" s="10">
        <v>5</v>
      </c>
    </row>
    <row r="590" spans="1:13" x14ac:dyDescent="0.3">
      <c r="A590" s="10">
        <v>589</v>
      </c>
      <c r="B590" s="11">
        <v>13.3</v>
      </c>
      <c r="C590" s="12">
        <v>0.43</v>
      </c>
      <c r="D590" s="13">
        <v>0.57999999999999996</v>
      </c>
      <c r="E590" s="11">
        <v>1.9</v>
      </c>
      <c r="F590" s="12">
        <v>7.0000000000000007E-2</v>
      </c>
      <c r="G590" s="11">
        <v>15</v>
      </c>
      <c r="H590" s="11">
        <v>40</v>
      </c>
      <c r="I590" s="14">
        <v>1.0004</v>
      </c>
      <c r="J590" s="13">
        <v>3.06</v>
      </c>
      <c r="K590" s="13">
        <v>0.49</v>
      </c>
      <c r="L590" s="11">
        <v>9</v>
      </c>
      <c r="M590" s="10">
        <v>5</v>
      </c>
    </row>
    <row r="591" spans="1:13" x14ac:dyDescent="0.3">
      <c r="A591" s="10">
        <v>590</v>
      </c>
      <c r="B591" s="11">
        <v>8</v>
      </c>
      <c r="C591" s="12">
        <v>0.45</v>
      </c>
      <c r="D591" s="13">
        <v>0.23</v>
      </c>
      <c r="E591" s="11">
        <v>2.2000000000000002</v>
      </c>
      <c r="F591" s="12">
        <v>9.4E-2</v>
      </c>
      <c r="G591" s="11">
        <v>16</v>
      </c>
      <c r="H591" s="11">
        <v>29</v>
      </c>
      <c r="I591" s="14">
        <v>0.99619999999999997</v>
      </c>
      <c r="J591" s="13">
        <v>3.21</v>
      </c>
      <c r="K591" s="13">
        <v>0.49</v>
      </c>
      <c r="L591" s="11">
        <v>10.199999999999999</v>
      </c>
      <c r="M591" s="10">
        <v>6</v>
      </c>
    </row>
    <row r="592" spans="1:13" x14ac:dyDescent="0.3">
      <c r="A592" s="10">
        <v>591</v>
      </c>
      <c r="B592" s="11">
        <v>8.5</v>
      </c>
      <c r="C592" s="12">
        <v>0.46</v>
      </c>
      <c r="D592" s="13">
        <v>0.31</v>
      </c>
      <c r="E592" s="11">
        <v>2.25</v>
      </c>
      <c r="F592" s="12">
        <v>7.8E-2</v>
      </c>
      <c r="G592" s="11">
        <v>32</v>
      </c>
      <c r="H592" s="11">
        <v>58</v>
      </c>
      <c r="I592" s="14">
        <v>0.998</v>
      </c>
      <c r="J592" s="13">
        <v>3.33</v>
      </c>
      <c r="K592" s="13">
        <v>0.54</v>
      </c>
      <c r="L592" s="11">
        <v>9.8000000000000007</v>
      </c>
      <c r="M592" s="10">
        <v>5</v>
      </c>
    </row>
    <row r="593" spans="1:13" x14ac:dyDescent="0.3">
      <c r="A593" s="10">
        <v>592</v>
      </c>
      <c r="B593" s="11">
        <v>8.1</v>
      </c>
      <c r="C593" s="12">
        <v>0.78</v>
      </c>
      <c r="D593" s="13">
        <v>0.23</v>
      </c>
      <c r="E593" s="11">
        <v>2.6</v>
      </c>
      <c r="F593" s="12">
        <v>5.8999999999999997E-2</v>
      </c>
      <c r="G593" s="11">
        <v>5</v>
      </c>
      <c r="H593" s="11">
        <v>15</v>
      </c>
      <c r="I593" s="14">
        <v>0.997</v>
      </c>
      <c r="J593" s="13">
        <v>3.37</v>
      </c>
      <c r="K593" s="13">
        <v>0.56000000000000005</v>
      </c>
      <c r="L593" s="11">
        <v>11.3</v>
      </c>
      <c r="M593" s="10">
        <v>5</v>
      </c>
    </row>
    <row r="594" spans="1:13" x14ac:dyDescent="0.3">
      <c r="A594" s="10">
        <v>593</v>
      </c>
      <c r="B594" s="11">
        <v>9.8000000000000007</v>
      </c>
      <c r="C594" s="12">
        <v>0.98</v>
      </c>
      <c r="D594" s="13">
        <v>0.32</v>
      </c>
      <c r="E594" s="11">
        <v>2.2999999999999998</v>
      </c>
      <c r="F594" s="12">
        <v>7.8E-2</v>
      </c>
      <c r="G594" s="11">
        <v>35</v>
      </c>
      <c r="H594" s="11">
        <v>152</v>
      </c>
      <c r="I594" s="14">
        <v>0.998</v>
      </c>
      <c r="J594" s="13">
        <v>3.25</v>
      </c>
      <c r="K594" s="13">
        <v>0.48</v>
      </c>
      <c r="L594" s="11">
        <v>9.4</v>
      </c>
      <c r="M594" s="10">
        <v>5</v>
      </c>
    </row>
    <row r="595" spans="1:13" x14ac:dyDescent="0.3">
      <c r="A595" s="10">
        <v>594</v>
      </c>
      <c r="B595" s="11">
        <v>7.1</v>
      </c>
      <c r="C595" s="12">
        <v>0.65</v>
      </c>
      <c r="D595" s="13">
        <v>0.18</v>
      </c>
      <c r="E595" s="11">
        <v>1.8</v>
      </c>
      <c r="F595" s="12">
        <v>7.0000000000000007E-2</v>
      </c>
      <c r="G595" s="11">
        <v>13</v>
      </c>
      <c r="H595" s="11">
        <v>40</v>
      </c>
      <c r="I595" s="14">
        <v>0.997</v>
      </c>
      <c r="J595" s="13">
        <v>3.44</v>
      </c>
      <c r="K595" s="13">
        <v>0.6</v>
      </c>
      <c r="L595" s="11">
        <v>9.1</v>
      </c>
      <c r="M595" s="10">
        <v>5</v>
      </c>
    </row>
    <row r="596" spans="1:13" x14ac:dyDescent="0.3">
      <c r="A596" s="10">
        <v>595</v>
      </c>
      <c r="B596" s="11">
        <v>9.1</v>
      </c>
      <c r="C596" s="12">
        <v>0.64</v>
      </c>
      <c r="D596" s="13">
        <v>0.23</v>
      </c>
      <c r="E596" s="11">
        <v>3.1</v>
      </c>
      <c r="F596" s="12">
        <v>9.5000000000000001E-2</v>
      </c>
      <c r="G596" s="11">
        <v>13</v>
      </c>
      <c r="H596" s="11">
        <v>38</v>
      </c>
      <c r="I596" s="14">
        <v>0.99980000000000002</v>
      </c>
      <c r="J596" s="13">
        <v>3.28</v>
      </c>
      <c r="K596" s="13">
        <v>0.59</v>
      </c>
      <c r="L596" s="11">
        <v>9.6999999999999993</v>
      </c>
      <c r="M596" s="10">
        <v>5</v>
      </c>
    </row>
    <row r="597" spans="1:13" x14ac:dyDescent="0.3">
      <c r="A597" s="10">
        <v>596</v>
      </c>
      <c r="B597" s="11">
        <v>7.7</v>
      </c>
      <c r="C597" s="12">
        <v>0.66</v>
      </c>
      <c r="D597" s="13">
        <v>0.04</v>
      </c>
      <c r="E597" s="11">
        <v>1.6</v>
      </c>
      <c r="F597" s="12">
        <v>3.9E-2</v>
      </c>
      <c r="G597" s="11">
        <v>4</v>
      </c>
      <c r="H597" s="11">
        <v>9</v>
      </c>
      <c r="I597" s="14">
        <v>0.99619999999999997</v>
      </c>
      <c r="J597" s="13">
        <v>3.4</v>
      </c>
      <c r="K597" s="13">
        <v>0.47</v>
      </c>
      <c r="L597" s="11">
        <v>9.4</v>
      </c>
      <c r="M597" s="10">
        <v>5</v>
      </c>
    </row>
    <row r="598" spans="1:13" x14ac:dyDescent="0.3">
      <c r="A598" s="10">
        <v>597</v>
      </c>
      <c r="B598" s="11">
        <v>8.1</v>
      </c>
      <c r="C598" s="12">
        <v>0.38</v>
      </c>
      <c r="D598" s="13">
        <v>0.48</v>
      </c>
      <c r="E598" s="11">
        <v>1.8</v>
      </c>
      <c r="F598" s="12">
        <v>0.157</v>
      </c>
      <c r="G598" s="11">
        <v>5</v>
      </c>
      <c r="H598" s="11">
        <v>17</v>
      </c>
      <c r="I598" s="14">
        <v>0.99760000000000004</v>
      </c>
      <c r="J598" s="13">
        <v>3.3</v>
      </c>
      <c r="K598" s="13">
        <v>1.05</v>
      </c>
      <c r="L598" s="11">
        <v>9.4</v>
      </c>
      <c r="M598" s="10">
        <v>5</v>
      </c>
    </row>
    <row r="599" spans="1:13" x14ac:dyDescent="0.3">
      <c r="A599" s="10">
        <v>598</v>
      </c>
      <c r="B599" s="11">
        <v>7.4</v>
      </c>
      <c r="C599" s="12">
        <v>1.1850000000000001</v>
      </c>
      <c r="D599" s="13">
        <v>0</v>
      </c>
      <c r="E599" s="11">
        <v>4.25</v>
      </c>
      <c r="F599" s="12">
        <v>9.7000000000000003E-2</v>
      </c>
      <c r="G599" s="11">
        <v>5</v>
      </c>
      <c r="H599" s="11">
        <v>14</v>
      </c>
      <c r="I599" s="14">
        <v>0.99660000000000004</v>
      </c>
      <c r="J599" s="13">
        <v>3.63</v>
      </c>
      <c r="K599" s="13">
        <v>0.54</v>
      </c>
      <c r="L599" s="11">
        <v>10.7</v>
      </c>
      <c r="M599" s="10">
        <v>3</v>
      </c>
    </row>
    <row r="600" spans="1:13" x14ac:dyDescent="0.3">
      <c r="A600" s="10">
        <v>599</v>
      </c>
      <c r="B600" s="11">
        <v>9.1999999999999993</v>
      </c>
      <c r="C600" s="12">
        <v>0.92</v>
      </c>
      <c r="D600" s="13">
        <v>0.24</v>
      </c>
      <c r="E600" s="11">
        <v>2.6</v>
      </c>
      <c r="F600" s="12">
        <v>8.6999999999999994E-2</v>
      </c>
      <c r="G600" s="11">
        <v>12</v>
      </c>
      <c r="H600" s="11">
        <v>93</v>
      </c>
      <c r="I600" s="14">
        <v>0.99980000000000002</v>
      </c>
      <c r="J600" s="13">
        <v>3.48</v>
      </c>
      <c r="K600" s="13">
        <v>0.54</v>
      </c>
      <c r="L600" s="11">
        <v>9.8000000000000007</v>
      </c>
      <c r="M600" s="10">
        <v>5</v>
      </c>
    </row>
    <row r="601" spans="1:13" x14ac:dyDescent="0.3">
      <c r="A601" s="10">
        <v>600</v>
      </c>
      <c r="B601" s="11">
        <v>8.6</v>
      </c>
      <c r="C601" s="12">
        <v>0.49</v>
      </c>
      <c r="D601" s="13">
        <v>0.51</v>
      </c>
      <c r="E601" s="11">
        <v>2</v>
      </c>
      <c r="F601" s="12">
        <v>0.42199999999999999</v>
      </c>
      <c r="G601" s="11">
        <v>16</v>
      </c>
      <c r="H601" s="11">
        <v>62</v>
      </c>
      <c r="I601" s="14">
        <v>0.99790000000000001</v>
      </c>
      <c r="J601" s="13">
        <v>3.03</v>
      </c>
      <c r="K601" s="13">
        <v>1.17</v>
      </c>
      <c r="L601" s="11">
        <v>9</v>
      </c>
      <c r="M601" s="10">
        <v>5</v>
      </c>
    </row>
    <row r="602" spans="1:13" x14ac:dyDescent="0.3">
      <c r="A602" s="10">
        <v>601</v>
      </c>
      <c r="B602" s="11">
        <v>9</v>
      </c>
      <c r="C602" s="12">
        <v>0.48</v>
      </c>
      <c r="D602" s="13">
        <v>0.32</v>
      </c>
      <c r="E602" s="11">
        <v>2.8</v>
      </c>
      <c r="F602" s="12">
        <v>8.4000000000000005E-2</v>
      </c>
      <c r="G602" s="11">
        <v>21</v>
      </c>
      <c r="H602" s="11">
        <v>122</v>
      </c>
      <c r="I602" s="14">
        <v>0.99839999999999995</v>
      </c>
      <c r="J602" s="13">
        <v>3.32</v>
      </c>
      <c r="K602" s="13">
        <v>0.62</v>
      </c>
      <c r="L602" s="11">
        <v>9.4</v>
      </c>
      <c r="M602" s="10">
        <v>5</v>
      </c>
    </row>
    <row r="603" spans="1:13" x14ac:dyDescent="0.3">
      <c r="A603" s="10">
        <v>602</v>
      </c>
      <c r="B603" s="11">
        <v>9</v>
      </c>
      <c r="C603" s="12">
        <v>0.47</v>
      </c>
      <c r="D603" s="13">
        <v>0.31</v>
      </c>
      <c r="E603" s="11">
        <v>2.7</v>
      </c>
      <c r="F603" s="12">
        <v>8.4000000000000005E-2</v>
      </c>
      <c r="G603" s="11">
        <v>24</v>
      </c>
      <c r="H603" s="11">
        <v>125</v>
      </c>
      <c r="I603" s="14">
        <v>0.99839999999999995</v>
      </c>
      <c r="J603" s="13">
        <v>3.31</v>
      </c>
      <c r="K603" s="13">
        <v>0.61</v>
      </c>
      <c r="L603" s="11">
        <v>9.4</v>
      </c>
      <c r="M603" s="10">
        <v>5</v>
      </c>
    </row>
    <row r="604" spans="1:13" x14ac:dyDescent="0.3">
      <c r="A604" s="10">
        <v>603</v>
      </c>
      <c r="B604" s="11">
        <v>5.0999999999999996</v>
      </c>
      <c r="C604" s="12">
        <v>0.47</v>
      </c>
      <c r="D604" s="13">
        <v>0.02</v>
      </c>
      <c r="E604" s="11">
        <v>1.3</v>
      </c>
      <c r="F604" s="12">
        <v>3.4000000000000002E-2</v>
      </c>
      <c r="G604" s="11">
        <v>18</v>
      </c>
      <c r="H604" s="11">
        <v>44</v>
      </c>
      <c r="I604" s="14">
        <v>0.99209999999999998</v>
      </c>
      <c r="J604" s="13">
        <v>3.9</v>
      </c>
      <c r="K604" s="13">
        <v>0.62</v>
      </c>
      <c r="L604" s="11">
        <v>12.8</v>
      </c>
      <c r="M604" s="10">
        <v>6</v>
      </c>
    </row>
    <row r="605" spans="1:13" x14ac:dyDescent="0.3">
      <c r="A605" s="10">
        <v>604</v>
      </c>
      <c r="B605" s="11">
        <v>7</v>
      </c>
      <c r="C605" s="12">
        <v>0.65</v>
      </c>
      <c r="D605" s="13">
        <v>0.02</v>
      </c>
      <c r="E605" s="11">
        <v>2.1</v>
      </c>
      <c r="F605" s="12">
        <v>6.6000000000000003E-2</v>
      </c>
      <c r="G605" s="11">
        <v>8</v>
      </c>
      <c r="H605" s="11">
        <v>25</v>
      </c>
      <c r="I605" s="14">
        <v>0.99719999999999998</v>
      </c>
      <c r="J605" s="13">
        <v>3.47</v>
      </c>
      <c r="K605" s="13">
        <v>0.67</v>
      </c>
      <c r="L605" s="11">
        <v>9.5</v>
      </c>
      <c r="M605" s="10">
        <v>6</v>
      </c>
    </row>
    <row r="606" spans="1:13" x14ac:dyDescent="0.3">
      <c r="A606" s="10">
        <v>605</v>
      </c>
      <c r="B606" s="11">
        <v>9.4</v>
      </c>
      <c r="C606" s="12">
        <v>0.61499999999999999</v>
      </c>
      <c r="D606" s="13">
        <v>0.28000000000000003</v>
      </c>
      <c r="E606" s="11">
        <v>3.2</v>
      </c>
      <c r="F606" s="12">
        <v>8.6999999999999994E-2</v>
      </c>
      <c r="G606" s="11">
        <v>18</v>
      </c>
      <c r="H606" s="11">
        <v>72</v>
      </c>
      <c r="I606" s="14">
        <v>1.0001</v>
      </c>
      <c r="J606" s="13">
        <v>3.31</v>
      </c>
      <c r="K606" s="13">
        <v>0.53</v>
      </c>
      <c r="L606" s="11">
        <v>9.6999999999999993</v>
      </c>
      <c r="M606" s="10">
        <v>5</v>
      </c>
    </row>
    <row r="607" spans="1:13" x14ac:dyDescent="0.3">
      <c r="A607" s="10">
        <v>606</v>
      </c>
      <c r="B607" s="11">
        <v>11.8</v>
      </c>
      <c r="C607" s="12">
        <v>0.38</v>
      </c>
      <c r="D607" s="13">
        <v>0.55000000000000004</v>
      </c>
      <c r="E607" s="11">
        <v>2.1</v>
      </c>
      <c r="F607" s="12">
        <v>7.0999999999999994E-2</v>
      </c>
      <c r="G607" s="11">
        <v>5</v>
      </c>
      <c r="H607" s="11">
        <v>19</v>
      </c>
      <c r="I607" s="14">
        <v>0.99860000000000004</v>
      </c>
      <c r="J607" s="13">
        <v>3.11</v>
      </c>
      <c r="K607" s="13">
        <v>0.62</v>
      </c>
      <c r="L607" s="11">
        <v>10.8</v>
      </c>
      <c r="M607" s="10">
        <v>6</v>
      </c>
    </row>
    <row r="608" spans="1:13" x14ac:dyDescent="0.3">
      <c r="A608" s="10">
        <v>607</v>
      </c>
      <c r="B608" s="11">
        <v>10.6</v>
      </c>
      <c r="C608" s="12">
        <v>1.02</v>
      </c>
      <c r="D608" s="13">
        <v>0.43</v>
      </c>
      <c r="E608" s="11">
        <v>2.9</v>
      </c>
      <c r="F608" s="12">
        <v>7.5999999999999998E-2</v>
      </c>
      <c r="G608" s="11">
        <v>26</v>
      </c>
      <c r="H608" s="11">
        <v>88</v>
      </c>
      <c r="I608" s="14">
        <v>0.99839999999999995</v>
      </c>
      <c r="J608" s="13">
        <v>3.08</v>
      </c>
      <c r="K608" s="13">
        <v>0.56999999999999995</v>
      </c>
      <c r="L608" s="11">
        <v>10.1</v>
      </c>
      <c r="M608" s="10">
        <v>6</v>
      </c>
    </row>
    <row r="609" spans="1:13" x14ac:dyDescent="0.3">
      <c r="A609" s="10">
        <v>608</v>
      </c>
      <c r="B609" s="11">
        <v>7</v>
      </c>
      <c r="C609" s="12">
        <v>0.64</v>
      </c>
      <c r="D609" s="13">
        <v>0.02</v>
      </c>
      <c r="E609" s="11">
        <v>2.1</v>
      </c>
      <c r="F609" s="12">
        <v>6.7000000000000004E-2</v>
      </c>
      <c r="G609" s="11">
        <v>9</v>
      </c>
      <c r="H609" s="11">
        <v>23</v>
      </c>
      <c r="I609" s="14">
        <v>0.997</v>
      </c>
      <c r="J609" s="13">
        <v>3.47</v>
      </c>
      <c r="K609" s="13">
        <v>0.67</v>
      </c>
      <c r="L609" s="11">
        <v>9.4</v>
      </c>
      <c r="M609" s="10">
        <v>6</v>
      </c>
    </row>
    <row r="610" spans="1:13" x14ac:dyDescent="0.3">
      <c r="A610" s="10">
        <v>609</v>
      </c>
      <c r="B610" s="11">
        <v>7.5</v>
      </c>
      <c r="C610" s="12">
        <v>0.38</v>
      </c>
      <c r="D610" s="13">
        <v>0.48</v>
      </c>
      <c r="E610" s="11">
        <v>2.6</v>
      </c>
      <c r="F610" s="12">
        <v>7.2999999999999995E-2</v>
      </c>
      <c r="G610" s="11">
        <v>22</v>
      </c>
      <c r="H610" s="11">
        <v>84</v>
      </c>
      <c r="I610" s="14">
        <v>0.99719999999999998</v>
      </c>
      <c r="J610" s="13">
        <v>3.32</v>
      </c>
      <c r="K610" s="13">
        <v>0.7</v>
      </c>
      <c r="L610" s="11">
        <v>9.6</v>
      </c>
      <c r="M610" s="10">
        <v>4</v>
      </c>
    </row>
    <row r="611" spans="1:13" x14ac:dyDescent="0.3">
      <c r="A611" s="10">
        <v>610</v>
      </c>
      <c r="B611" s="11">
        <v>9.1</v>
      </c>
      <c r="C611" s="12">
        <v>0.76500000000000001</v>
      </c>
      <c r="D611" s="13">
        <v>0.04</v>
      </c>
      <c r="E611" s="11">
        <v>1.6</v>
      </c>
      <c r="F611" s="12">
        <v>7.8E-2</v>
      </c>
      <c r="G611" s="11">
        <v>4</v>
      </c>
      <c r="H611" s="11">
        <v>14</v>
      </c>
      <c r="I611" s="14">
        <v>0.998</v>
      </c>
      <c r="J611" s="13">
        <v>3.29</v>
      </c>
      <c r="K611" s="13">
        <v>0.54</v>
      </c>
      <c r="L611" s="11">
        <v>9.6999999999999993</v>
      </c>
      <c r="M611" s="10">
        <v>4</v>
      </c>
    </row>
    <row r="612" spans="1:13" x14ac:dyDescent="0.3">
      <c r="A612" s="10">
        <v>611</v>
      </c>
      <c r="B612" s="11">
        <v>8.4</v>
      </c>
      <c r="C612" s="12">
        <v>1.0349999999999999</v>
      </c>
      <c r="D612" s="13">
        <v>0.15</v>
      </c>
      <c r="E612" s="11">
        <v>6</v>
      </c>
      <c r="F612" s="12">
        <v>7.2999999999999995E-2</v>
      </c>
      <c r="G612" s="11">
        <v>11</v>
      </c>
      <c r="H612" s="11">
        <v>54</v>
      </c>
      <c r="I612" s="14">
        <v>0.999</v>
      </c>
      <c r="J612" s="13">
        <v>3.37</v>
      </c>
      <c r="K612" s="13">
        <v>0.49</v>
      </c>
      <c r="L612" s="11">
        <v>9.9</v>
      </c>
      <c r="M612" s="10">
        <v>5</v>
      </c>
    </row>
    <row r="613" spans="1:13" x14ac:dyDescent="0.3">
      <c r="A613" s="10">
        <v>612</v>
      </c>
      <c r="B613" s="11">
        <v>7</v>
      </c>
      <c r="C613" s="12">
        <v>0.78</v>
      </c>
      <c r="D613" s="13">
        <v>0.08</v>
      </c>
      <c r="E613" s="11">
        <v>2</v>
      </c>
      <c r="F613" s="12">
        <v>9.2999999999999999E-2</v>
      </c>
      <c r="G613" s="11">
        <v>10</v>
      </c>
      <c r="H613" s="11">
        <v>19</v>
      </c>
      <c r="I613" s="14">
        <v>0.99560000000000004</v>
      </c>
      <c r="J613" s="13">
        <v>3.4</v>
      </c>
      <c r="K613" s="13">
        <v>0.47</v>
      </c>
      <c r="L613" s="11">
        <v>10</v>
      </c>
      <c r="M613" s="10">
        <v>5</v>
      </c>
    </row>
    <row r="614" spans="1:13" x14ac:dyDescent="0.3">
      <c r="A614" s="10">
        <v>613</v>
      </c>
      <c r="B614" s="11">
        <v>7.4</v>
      </c>
      <c r="C614" s="12">
        <v>0.49</v>
      </c>
      <c r="D614" s="13">
        <v>0.19</v>
      </c>
      <c r="E614" s="11">
        <v>3</v>
      </c>
      <c r="F614" s="12">
        <v>7.6999999999999999E-2</v>
      </c>
      <c r="G614" s="11">
        <v>16</v>
      </c>
      <c r="H614" s="11">
        <v>37</v>
      </c>
      <c r="I614" s="14">
        <v>0.99660000000000004</v>
      </c>
      <c r="J614" s="13">
        <v>3.37</v>
      </c>
      <c r="K614" s="13">
        <v>0.51</v>
      </c>
      <c r="L614" s="11">
        <v>10.5</v>
      </c>
      <c r="M614" s="10">
        <v>5</v>
      </c>
    </row>
    <row r="615" spans="1:13" x14ac:dyDescent="0.3">
      <c r="A615" s="10">
        <v>614</v>
      </c>
      <c r="B615" s="11">
        <v>7.8</v>
      </c>
      <c r="C615" s="12">
        <v>0.54500000000000004</v>
      </c>
      <c r="D615" s="13">
        <v>0.12</v>
      </c>
      <c r="E615" s="11">
        <v>2.5</v>
      </c>
      <c r="F615" s="12">
        <v>6.8000000000000005E-2</v>
      </c>
      <c r="G615" s="11">
        <v>11</v>
      </c>
      <c r="H615" s="11">
        <v>35</v>
      </c>
      <c r="I615" s="14">
        <v>0.996</v>
      </c>
      <c r="J615" s="13">
        <v>3.34</v>
      </c>
      <c r="K615" s="13">
        <v>0.61</v>
      </c>
      <c r="L615" s="11">
        <v>11.6</v>
      </c>
      <c r="M615" s="10">
        <v>6</v>
      </c>
    </row>
    <row r="616" spans="1:13" x14ac:dyDescent="0.3">
      <c r="A616" s="10">
        <v>615</v>
      </c>
      <c r="B616" s="11">
        <v>9.6999999999999993</v>
      </c>
      <c r="C616" s="12">
        <v>0.31</v>
      </c>
      <c r="D616" s="13">
        <v>0.47</v>
      </c>
      <c r="E616" s="11">
        <v>1.6</v>
      </c>
      <c r="F616" s="12">
        <v>6.2E-2</v>
      </c>
      <c r="G616" s="11">
        <v>13</v>
      </c>
      <c r="H616" s="11">
        <v>33</v>
      </c>
      <c r="I616" s="14">
        <v>0.99829999999999997</v>
      </c>
      <c r="J616" s="13">
        <v>3.27</v>
      </c>
      <c r="K616" s="13">
        <v>0.66</v>
      </c>
      <c r="L616" s="11">
        <v>10</v>
      </c>
      <c r="M616" s="10">
        <v>6</v>
      </c>
    </row>
    <row r="617" spans="1:13" x14ac:dyDescent="0.3">
      <c r="A617" s="10">
        <v>616</v>
      </c>
      <c r="B617" s="11">
        <v>10.6</v>
      </c>
      <c r="C617" s="12">
        <v>1.0249999999999999</v>
      </c>
      <c r="D617" s="13">
        <v>0.43</v>
      </c>
      <c r="E617" s="11">
        <v>2.8</v>
      </c>
      <c r="F617" s="12">
        <v>0.08</v>
      </c>
      <c r="G617" s="11">
        <v>21</v>
      </c>
      <c r="H617" s="11">
        <v>84</v>
      </c>
      <c r="I617" s="14">
        <v>0.99850000000000005</v>
      </c>
      <c r="J617" s="13">
        <v>3.06</v>
      </c>
      <c r="K617" s="13">
        <v>0.56999999999999995</v>
      </c>
      <c r="L617" s="11">
        <v>10.1</v>
      </c>
      <c r="M617" s="10">
        <v>5</v>
      </c>
    </row>
    <row r="618" spans="1:13" x14ac:dyDescent="0.3">
      <c r="A618" s="10">
        <v>617</v>
      </c>
      <c r="B618" s="11">
        <v>8.9</v>
      </c>
      <c r="C618" s="12">
        <v>0.56499999999999995</v>
      </c>
      <c r="D618" s="13">
        <v>0.34</v>
      </c>
      <c r="E618" s="11">
        <v>3</v>
      </c>
      <c r="F618" s="12">
        <v>9.2999999999999999E-2</v>
      </c>
      <c r="G618" s="11">
        <v>16</v>
      </c>
      <c r="H618" s="11">
        <v>112</v>
      </c>
      <c r="I618" s="14">
        <v>0.99980000000000002</v>
      </c>
      <c r="J618" s="13">
        <v>3.38</v>
      </c>
      <c r="K618" s="13">
        <v>0.61</v>
      </c>
      <c r="L618" s="11">
        <v>9.5</v>
      </c>
      <c r="M618" s="10">
        <v>5</v>
      </c>
    </row>
    <row r="619" spans="1:13" x14ac:dyDescent="0.3">
      <c r="A619" s="10">
        <v>618</v>
      </c>
      <c r="B619" s="11">
        <v>8.6999999999999993</v>
      </c>
      <c r="C619" s="12">
        <v>0.69</v>
      </c>
      <c r="D619" s="13">
        <v>0</v>
      </c>
      <c r="E619" s="11">
        <v>3.2</v>
      </c>
      <c r="F619" s="12">
        <v>8.4000000000000005E-2</v>
      </c>
      <c r="G619" s="11">
        <v>13</v>
      </c>
      <c r="H619" s="11">
        <v>33</v>
      </c>
      <c r="I619" s="14">
        <v>0.99919999999999998</v>
      </c>
      <c r="J619" s="13">
        <v>3.36</v>
      </c>
      <c r="K619" s="13">
        <v>0.45</v>
      </c>
      <c r="L619" s="11">
        <v>9.4</v>
      </c>
      <c r="M619" s="10">
        <v>5</v>
      </c>
    </row>
    <row r="620" spans="1:13" x14ac:dyDescent="0.3">
      <c r="A620" s="10">
        <v>619</v>
      </c>
      <c r="B620" s="11">
        <v>8</v>
      </c>
      <c r="C620" s="12">
        <v>0.43</v>
      </c>
      <c r="D620" s="13">
        <v>0.36</v>
      </c>
      <c r="E620" s="11">
        <v>2.2999999999999998</v>
      </c>
      <c r="F620" s="12">
        <v>7.4999999999999997E-2</v>
      </c>
      <c r="G620" s="11">
        <v>10</v>
      </c>
      <c r="H620" s="11">
        <v>48</v>
      </c>
      <c r="I620" s="14">
        <v>0.99760000000000004</v>
      </c>
      <c r="J620" s="13">
        <v>3.34</v>
      </c>
      <c r="K620" s="13">
        <v>0.46</v>
      </c>
      <c r="L620" s="11">
        <v>9.4</v>
      </c>
      <c r="M620" s="10">
        <v>5</v>
      </c>
    </row>
    <row r="621" spans="1:13" x14ac:dyDescent="0.3">
      <c r="A621" s="10">
        <v>620</v>
      </c>
      <c r="B621" s="11">
        <v>9.9</v>
      </c>
      <c r="C621" s="12">
        <v>0.74</v>
      </c>
      <c r="D621" s="13">
        <v>0.28000000000000003</v>
      </c>
      <c r="E621" s="11">
        <v>2.6</v>
      </c>
      <c r="F621" s="12">
        <v>7.8E-2</v>
      </c>
      <c r="G621" s="11">
        <v>21</v>
      </c>
      <c r="H621" s="11">
        <v>77</v>
      </c>
      <c r="I621" s="14">
        <v>0.998</v>
      </c>
      <c r="J621" s="13">
        <v>3.28</v>
      </c>
      <c r="K621" s="13">
        <v>0.51</v>
      </c>
      <c r="L621" s="11">
        <v>9.8000000000000007</v>
      </c>
      <c r="M621" s="10">
        <v>5</v>
      </c>
    </row>
    <row r="622" spans="1:13" x14ac:dyDescent="0.3">
      <c r="A622" s="10">
        <v>621</v>
      </c>
      <c r="B622" s="11">
        <v>7.2</v>
      </c>
      <c r="C622" s="12">
        <v>0.49</v>
      </c>
      <c r="D622" s="13">
        <v>0.18</v>
      </c>
      <c r="E622" s="11">
        <v>2.7</v>
      </c>
      <c r="F622" s="12">
        <v>6.9000000000000006E-2</v>
      </c>
      <c r="G622" s="11">
        <v>13</v>
      </c>
      <c r="H622" s="11">
        <v>34</v>
      </c>
      <c r="I622" s="14">
        <v>0.99670000000000003</v>
      </c>
      <c r="J622" s="13">
        <v>3.29</v>
      </c>
      <c r="K622" s="13">
        <v>0.48</v>
      </c>
      <c r="L622" s="11">
        <v>9.1999999999999993</v>
      </c>
      <c r="M622" s="10">
        <v>6</v>
      </c>
    </row>
    <row r="623" spans="1:13" x14ac:dyDescent="0.3">
      <c r="A623" s="10">
        <v>622</v>
      </c>
      <c r="B623" s="11">
        <v>7.6</v>
      </c>
      <c r="C623" s="12">
        <v>0.46</v>
      </c>
      <c r="D623" s="13">
        <v>0.11</v>
      </c>
      <c r="E623" s="11">
        <v>2.6</v>
      </c>
      <c r="F623" s="12">
        <v>7.9000000000000001E-2</v>
      </c>
      <c r="G623" s="11">
        <v>12</v>
      </c>
      <c r="H623" s="11">
        <v>49</v>
      </c>
      <c r="I623" s="14">
        <v>0.99680000000000002</v>
      </c>
      <c r="J623" s="13">
        <v>3.21</v>
      </c>
      <c r="K623" s="13">
        <v>0.56999999999999995</v>
      </c>
      <c r="L623" s="11">
        <v>10</v>
      </c>
      <c r="M623" s="10">
        <v>5</v>
      </c>
    </row>
    <row r="624" spans="1:13" x14ac:dyDescent="0.3">
      <c r="A624" s="10">
        <v>623</v>
      </c>
      <c r="B624" s="11">
        <v>8.4</v>
      </c>
      <c r="C624" s="12">
        <v>0.56000000000000005</v>
      </c>
      <c r="D624" s="13">
        <v>0.04</v>
      </c>
      <c r="E624" s="11">
        <v>2</v>
      </c>
      <c r="F624" s="12">
        <v>8.2000000000000003E-2</v>
      </c>
      <c r="G624" s="11">
        <v>10</v>
      </c>
      <c r="H624" s="11">
        <v>22</v>
      </c>
      <c r="I624" s="14">
        <v>0.99760000000000004</v>
      </c>
      <c r="J624" s="13">
        <v>3.22</v>
      </c>
      <c r="K624" s="13">
        <v>0.44</v>
      </c>
      <c r="L624" s="11">
        <v>9.6</v>
      </c>
      <c r="M624" s="10">
        <v>5</v>
      </c>
    </row>
    <row r="625" spans="1:13" x14ac:dyDescent="0.3">
      <c r="A625" s="10">
        <v>624</v>
      </c>
      <c r="B625" s="11">
        <v>7.1</v>
      </c>
      <c r="C625" s="12">
        <v>0.66</v>
      </c>
      <c r="D625" s="13">
        <v>0</v>
      </c>
      <c r="E625" s="11">
        <v>3.9</v>
      </c>
      <c r="F625" s="12">
        <v>8.5999999999999993E-2</v>
      </c>
      <c r="G625" s="11">
        <v>17</v>
      </c>
      <c r="H625" s="11">
        <v>45</v>
      </c>
      <c r="I625" s="14">
        <v>0.99760000000000004</v>
      </c>
      <c r="J625" s="13">
        <v>3.46</v>
      </c>
      <c r="K625" s="13">
        <v>0.54</v>
      </c>
      <c r="L625" s="11">
        <v>9.5</v>
      </c>
      <c r="M625" s="10">
        <v>5</v>
      </c>
    </row>
    <row r="626" spans="1:13" x14ac:dyDescent="0.3">
      <c r="A626" s="10">
        <v>625</v>
      </c>
      <c r="B626" s="11">
        <v>8.9</v>
      </c>
      <c r="C626" s="12">
        <v>0.48</v>
      </c>
      <c r="D626" s="13">
        <v>0.24</v>
      </c>
      <c r="E626" s="11">
        <v>2.85</v>
      </c>
      <c r="F626" s="12">
        <v>9.4E-2</v>
      </c>
      <c r="G626" s="11">
        <v>35</v>
      </c>
      <c r="H626" s="11">
        <v>106</v>
      </c>
      <c r="I626" s="14">
        <v>0.99819999999999998</v>
      </c>
      <c r="J626" s="13">
        <v>3.1</v>
      </c>
      <c r="K626" s="13">
        <v>0.53</v>
      </c>
      <c r="L626" s="11">
        <v>9.1999999999999993</v>
      </c>
      <c r="M626" s="10">
        <v>5</v>
      </c>
    </row>
    <row r="627" spans="1:13" x14ac:dyDescent="0.3">
      <c r="A627" s="10">
        <v>626</v>
      </c>
      <c r="B627" s="11">
        <v>7.6</v>
      </c>
      <c r="C627" s="12">
        <v>0.42</v>
      </c>
      <c r="D627" s="13">
        <v>0.08</v>
      </c>
      <c r="E627" s="11">
        <v>2.7</v>
      </c>
      <c r="F627" s="12">
        <v>8.4000000000000005E-2</v>
      </c>
      <c r="G627" s="11">
        <v>15</v>
      </c>
      <c r="H627" s="11">
        <v>48</v>
      </c>
      <c r="I627" s="14">
        <v>0.99680000000000002</v>
      </c>
      <c r="J627" s="13">
        <v>3.21</v>
      </c>
      <c r="K627" s="13">
        <v>0.59</v>
      </c>
      <c r="L627" s="11">
        <v>10</v>
      </c>
      <c r="M627" s="10">
        <v>5</v>
      </c>
    </row>
    <row r="628" spans="1:13" x14ac:dyDescent="0.3">
      <c r="A628" s="10">
        <v>627</v>
      </c>
      <c r="B628" s="11">
        <v>7.1</v>
      </c>
      <c r="C628" s="12">
        <v>0.31</v>
      </c>
      <c r="D628" s="13">
        <v>0.3</v>
      </c>
      <c r="E628" s="11">
        <v>2.2000000000000002</v>
      </c>
      <c r="F628" s="12">
        <v>5.2999999999999999E-2</v>
      </c>
      <c r="G628" s="11">
        <v>36</v>
      </c>
      <c r="H628" s="11">
        <v>127</v>
      </c>
      <c r="I628" s="14">
        <v>0.99650000000000005</v>
      </c>
      <c r="J628" s="13">
        <v>2.94</v>
      </c>
      <c r="K628" s="13">
        <v>1.62</v>
      </c>
      <c r="L628" s="11">
        <v>9.5</v>
      </c>
      <c r="M628" s="10">
        <v>5</v>
      </c>
    </row>
    <row r="629" spans="1:13" x14ac:dyDescent="0.3">
      <c r="A629" s="10">
        <v>628</v>
      </c>
      <c r="B629" s="11">
        <v>7.5</v>
      </c>
      <c r="C629" s="12">
        <v>1.115</v>
      </c>
      <c r="D629" s="13">
        <v>0.1</v>
      </c>
      <c r="E629" s="11">
        <v>3.1</v>
      </c>
      <c r="F629" s="12">
        <v>8.5999999999999993E-2</v>
      </c>
      <c r="G629" s="11">
        <v>5</v>
      </c>
      <c r="H629" s="11">
        <v>12</v>
      </c>
      <c r="I629" s="14">
        <v>0.99580000000000002</v>
      </c>
      <c r="J629" s="13">
        <v>3.54</v>
      </c>
      <c r="K629" s="13">
        <v>0.6</v>
      </c>
      <c r="L629" s="11">
        <v>11.2</v>
      </c>
      <c r="M629" s="10">
        <v>4</v>
      </c>
    </row>
    <row r="630" spans="1:13" x14ac:dyDescent="0.3">
      <c r="A630" s="10">
        <v>629</v>
      </c>
      <c r="B630" s="11">
        <v>9</v>
      </c>
      <c r="C630" s="12">
        <v>0.66</v>
      </c>
      <c r="D630" s="13">
        <v>0.17</v>
      </c>
      <c r="E630" s="11">
        <v>3</v>
      </c>
      <c r="F630" s="12">
        <v>7.6999999999999999E-2</v>
      </c>
      <c r="G630" s="11">
        <v>5</v>
      </c>
      <c r="H630" s="11">
        <v>13</v>
      </c>
      <c r="I630" s="14">
        <v>0.99760000000000004</v>
      </c>
      <c r="J630" s="13">
        <v>3.29</v>
      </c>
      <c r="K630" s="13">
        <v>0.55000000000000004</v>
      </c>
      <c r="L630" s="11">
        <v>10.4</v>
      </c>
      <c r="M630" s="10">
        <v>5</v>
      </c>
    </row>
    <row r="631" spans="1:13" x14ac:dyDescent="0.3">
      <c r="A631" s="10">
        <v>630</v>
      </c>
      <c r="B631" s="11">
        <v>8.1</v>
      </c>
      <c r="C631" s="12">
        <v>0.72</v>
      </c>
      <c r="D631" s="13">
        <v>0.09</v>
      </c>
      <c r="E631" s="11">
        <v>2.8</v>
      </c>
      <c r="F631" s="12">
        <v>8.4000000000000005E-2</v>
      </c>
      <c r="G631" s="11">
        <v>18</v>
      </c>
      <c r="H631" s="11">
        <v>49</v>
      </c>
      <c r="I631" s="14">
        <v>0.99939999999999996</v>
      </c>
      <c r="J631" s="13">
        <v>3.43</v>
      </c>
      <c r="K631" s="13">
        <v>0.72</v>
      </c>
      <c r="L631" s="11">
        <v>11.1</v>
      </c>
      <c r="M631" s="10">
        <v>6</v>
      </c>
    </row>
    <row r="632" spans="1:13" x14ac:dyDescent="0.3">
      <c r="A632" s="10">
        <v>631</v>
      </c>
      <c r="B632" s="11">
        <v>6.4</v>
      </c>
      <c r="C632" s="12">
        <v>0.56999999999999995</v>
      </c>
      <c r="D632" s="13">
        <v>0.02</v>
      </c>
      <c r="E632" s="11">
        <v>1.8</v>
      </c>
      <c r="F632" s="12">
        <v>6.7000000000000004E-2</v>
      </c>
      <c r="G632" s="11">
        <v>4</v>
      </c>
      <c r="H632" s="11">
        <v>11</v>
      </c>
      <c r="I632" s="14">
        <v>0.997</v>
      </c>
      <c r="J632" s="13">
        <v>3.46</v>
      </c>
      <c r="K632" s="13">
        <v>0.68</v>
      </c>
      <c r="L632" s="11">
        <v>9.5</v>
      </c>
      <c r="M632" s="10">
        <v>5</v>
      </c>
    </row>
    <row r="633" spans="1:13" x14ac:dyDescent="0.3">
      <c r="A633" s="10">
        <v>632</v>
      </c>
      <c r="B633" s="11">
        <v>6.4</v>
      </c>
      <c r="C633" s="12">
        <v>0.86499999999999999</v>
      </c>
      <c r="D633" s="13">
        <v>0.03</v>
      </c>
      <c r="E633" s="11">
        <v>3.2</v>
      </c>
      <c r="F633" s="12">
        <v>7.0999999999999994E-2</v>
      </c>
      <c r="G633" s="11">
        <v>27</v>
      </c>
      <c r="H633" s="11">
        <v>58</v>
      </c>
      <c r="I633" s="14">
        <v>0.995</v>
      </c>
      <c r="J633" s="13">
        <v>3.61</v>
      </c>
      <c r="K633" s="13">
        <v>0.49</v>
      </c>
      <c r="L633" s="11">
        <v>12.7</v>
      </c>
      <c r="M633" s="10">
        <v>6</v>
      </c>
    </row>
    <row r="634" spans="1:13" x14ac:dyDescent="0.3">
      <c r="A634" s="10">
        <v>633</v>
      </c>
      <c r="B634" s="11">
        <v>9.5</v>
      </c>
      <c r="C634" s="12">
        <v>0.55000000000000004</v>
      </c>
      <c r="D634" s="13">
        <v>0.66</v>
      </c>
      <c r="E634" s="11">
        <v>2.2999999999999998</v>
      </c>
      <c r="F634" s="12">
        <v>0.38700000000000001</v>
      </c>
      <c r="G634" s="11">
        <v>12</v>
      </c>
      <c r="H634" s="11">
        <v>37</v>
      </c>
      <c r="I634" s="14">
        <v>0.99819999999999998</v>
      </c>
      <c r="J634" s="13">
        <v>3.17</v>
      </c>
      <c r="K634" s="13">
        <v>0.67</v>
      </c>
      <c r="L634" s="11">
        <v>9.6</v>
      </c>
      <c r="M634" s="10">
        <v>5</v>
      </c>
    </row>
    <row r="635" spans="1:13" x14ac:dyDescent="0.3">
      <c r="A635" s="10">
        <v>634</v>
      </c>
      <c r="B635" s="11">
        <v>8.9</v>
      </c>
      <c r="C635" s="12">
        <v>0.875</v>
      </c>
      <c r="D635" s="13">
        <v>0.13</v>
      </c>
      <c r="E635" s="11">
        <v>3.45</v>
      </c>
      <c r="F635" s="12">
        <v>8.7999999999999995E-2</v>
      </c>
      <c r="G635" s="11">
        <v>4</v>
      </c>
      <c r="H635" s="11">
        <v>14</v>
      </c>
      <c r="I635" s="14">
        <v>0.99939999999999996</v>
      </c>
      <c r="J635" s="13">
        <v>3.44</v>
      </c>
      <c r="K635" s="13">
        <v>0.52</v>
      </c>
      <c r="L635" s="11">
        <v>11.5</v>
      </c>
      <c r="M635" s="10">
        <v>5</v>
      </c>
    </row>
    <row r="636" spans="1:13" x14ac:dyDescent="0.3">
      <c r="A636" s="10">
        <v>635</v>
      </c>
      <c r="B636" s="11">
        <v>7.3</v>
      </c>
      <c r="C636" s="12">
        <v>0.83499999999999996</v>
      </c>
      <c r="D636" s="13">
        <v>0.03</v>
      </c>
      <c r="E636" s="11">
        <v>2.1</v>
      </c>
      <c r="F636" s="12">
        <v>9.1999999999999998E-2</v>
      </c>
      <c r="G636" s="11">
        <v>10</v>
      </c>
      <c r="H636" s="11">
        <v>19</v>
      </c>
      <c r="I636" s="14">
        <v>0.99660000000000004</v>
      </c>
      <c r="J636" s="13">
        <v>3.39</v>
      </c>
      <c r="K636" s="13">
        <v>0.47</v>
      </c>
      <c r="L636" s="11">
        <v>9.6</v>
      </c>
      <c r="M636" s="10">
        <v>5</v>
      </c>
    </row>
    <row r="637" spans="1:13" x14ac:dyDescent="0.3">
      <c r="A637" s="10">
        <v>636</v>
      </c>
      <c r="B637" s="11">
        <v>7</v>
      </c>
      <c r="C637" s="12">
        <v>0.45</v>
      </c>
      <c r="D637" s="13">
        <v>0.34</v>
      </c>
      <c r="E637" s="11">
        <v>2.7</v>
      </c>
      <c r="F637" s="12">
        <v>8.2000000000000003E-2</v>
      </c>
      <c r="G637" s="11">
        <v>16</v>
      </c>
      <c r="H637" s="11">
        <v>72</v>
      </c>
      <c r="I637" s="14">
        <v>0.998</v>
      </c>
      <c r="J637" s="13">
        <v>3.55</v>
      </c>
      <c r="K637" s="13">
        <v>0.6</v>
      </c>
      <c r="L637" s="11">
        <v>9.5</v>
      </c>
      <c r="M637" s="10">
        <v>5</v>
      </c>
    </row>
    <row r="638" spans="1:13" x14ac:dyDescent="0.3">
      <c r="A638" s="10">
        <v>637</v>
      </c>
      <c r="B638" s="11">
        <v>7.7</v>
      </c>
      <c r="C638" s="12">
        <v>0.56000000000000005</v>
      </c>
      <c r="D638" s="13">
        <v>0.2</v>
      </c>
      <c r="E638" s="11">
        <v>2</v>
      </c>
      <c r="F638" s="12">
        <v>7.4999999999999997E-2</v>
      </c>
      <c r="G638" s="11">
        <v>9</v>
      </c>
      <c r="H638" s="11">
        <v>39</v>
      </c>
      <c r="I638" s="14">
        <v>0.99870000000000003</v>
      </c>
      <c r="J638" s="13">
        <v>3.48</v>
      </c>
      <c r="K638" s="13">
        <v>0.62</v>
      </c>
      <c r="L638" s="11">
        <v>9.3000000000000007</v>
      </c>
      <c r="M638" s="10">
        <v>5</v>
      </c>
    </row>
    <row r="639" spans="1:13" x14ac:dyDescent="0.3">
      <c r="A639" s="10">
        <v>638</v>
      </c>
      <c r="B639" s="11">
        <v>7.7</v>
      </c>
      <c r="C639" s="12">
        <v>0.96499999999999997</v>
      </c>
      <c r="D639" s="13">
        <v>0.1</v>
      </c>
      <c r="E639" s="11">
        <v>2.1</v>
      </c>
      <c r="F639" s="12">
        <v>0.112</v>
      </c>
      <c r="G639" s="11">
        <v>11</v>
      </c>
      <c r="H639" s="11">
        <v>22</v>
      </c>
      <c r="I639" s="14">
        <v>0.99629999999999996</v>
      </c>
      <c r="J639" s="13">
        <v>3.26</v>
      </c>
      <c r="K639" s="13">
        <v>0.5</v>
      </c>
      <c r="L639" s="11">
        <v>9.5</v>
      </c>
      <c r="M639" s="10">
        <v>5</v>
      </c>
    </row>
    <row r="640" spans="1:13" x14ac:dyDescent="0.3">
      <c r="A640" s="10">
        <v>639</v>
      </c>
      <c r="B640" s="11">
        <v>8.1999999999999993</v>
      </c>
      <c r="C640" s="12">
        <v>0.59</v>
      </c>
      <c r="D640" s="13">
        <v>0</v>
      </c>
      <c r="E640" s="11">
        <v>2.5</v>
      </c>
      <c r="F640" s="12">
        <v>9.2999999999999999E-2</v>
      </c>
      <c r="G640" s="11">
        <v>19</v>
      </c>
      <c r="H640" s="11">
        <v>58</v>
      </c>
      <c r="I640" s="14">
        <v>1.0002</v>
      </c>
      <c r="J640" s="13">
        <v>3.5</v>
      </c>
      <c r="K640" s="13">
        <v>0.65</v>
      </c>
      <c r="L640" s="11">
        <v>9.3000000000000007</v>
      </c>
      <c r="M640" s="10">
        <v>6</v>
      </c>
    </row>
    <row r="641" spans="1:13" x14ac:dyDescent="0.3">
      <c r="A641" s="10">
        <v>640</v>
      </c>
      <c r="B641" s="11">
        <v>9</v>
      </c>
      <c r="C641" s="12">
        <v>0.46</v>
      </c>
      <c r="D641" s="13">
        <v>0.23</v>
      </c>
      <c r="E641" s="11">
        <v>2.8</v>
      </c>
      <c r="F641" s="12">
        <v>9.1999999999999998E-2</v>
      </c>
      <c r="G641" s="11">
        <v>28</v>
      </c>
      <c r="H641" s="11">
        <v>104</v>
      </c>
      <c r="I641" s="14">
        <v>0.99829999999999997</v>
      </c>
      <c r="J641" s="13">
        <v>3.1</v>
      </c>
      <c r="K641" s="13">
        <v>0.56000000000000005</v>
      </c>
      <c r="L641" s="11">
        <v>9.1999999999999993</v>
      </c>
      <c r="M641" s="10">
        <v>5</v>
      </c>
    </row>
    <row r="642" spans="1:13" x14ac:dyDescent="0.3">
      <c r="A642" s="10">
        <v>641</v>
      </c>
      <c r="B642" s="11">
        <v>9</v>
      </c>
      <c r="C642" s="12">
        <v>0.69</v>
      </c>
      <c r="D642" s="13">
        <v>0</v>
      </c>
      <c r="E642" s="11">
        <v>2.4</v>
      </c>
      <c r="F642" s="12">
        <v>8.7999999999999995E-2</v>
      </c>
      <c r="G642" s="11">
        <v>19</v>
      </c>
      <c r="H642" s="11">
        <v>38</v>
      </c>
      <c r="I642" s="14">
        <v>0.999</v>
      </c>
      <c r="J642" s="13">
        <v>3.35</v>
      </c>
      <c r="K642" s="13">
        <v>0.6</v>
      </c>
      <c r="L642" s="11">
        <v>9.3000000000000007</v>
      </c>
      <c r="M642" s="10">
        <v>5</v>
      </c>
    </row>
    <row r="643" spans="1:13" x14ac:dyDescent="0.3">
      <c r="A643" s="10">
        <v>642</v>
      </c>
      <c r="B643" s="11">
        <v>8.3000000000000007</v>
      </c>
      <c r="C643" s="12">
        <v>0.76</v>
      </c>
      <c r="D643" s="13">
        <v>0.28999999999999998</v>
      </c>
      <c r="E643" s="11">
        <v>4.2</v>
      </c>
      <c r="F643" s="12">
        <v>7.4999999999999997E-2</v>
      </c>
      <c r="G643" s="11">
        <v>12</v>
      </c>
      <c r="H643" s="11">
        <v>16</v>
      </c>
      <c r="I643" s="14">
        <v>0.99650000000000005</v>
      </c>
      <c r="J643" s="13">
        <v>3.45</v>
      </c>
      <c r="K643" s="13">
        <v>0.68</v>
      </c>
      <c r="L643" s="11">
        <v>11.5</v>
      </c>
      <c r="M643" s="10">
        <v>6</v>
      </c>
    </row>
    <row r="644" spans="1:13" x14ac:dyDescent="0.3">
      <c r="A644" s="10">
        <v>643</v>
      </c>
      <c r="B644" s="11">
        <v>9.1999999999999993</v>
      </c>
      <c r="C644" s="12">
        <v>0.53</v>
      </c>
      <c r="D644" s="13">
        <v>0.24</v>
      </c>
      <c r="E644" s="11">
        <v>2.6</v>
      </c>
      <c r="F644" s="12">
        <v>7.8E-2</v>
      </c>
      <c r="G644" s="11">
        <v>28</v>
      </c>
      <c r="H644" s="11">
        <v>139</v>
      </c>
      <c r="I644" s="14">
        <v>0.99787999999999999</v>
      </c>
      <c r="J644" s="13">
        <v>3.21</v>
      </c>
      <c r="K644" s="13">
        <v>0.56999999999999995</v>
      </c>
      <c r="L644" s="11">
        <v>9.5</v>
      </c>
      <c r="M644" s="10">
        <v>5</v>
      </c>
    </row>
    <row r="645" spans="1:13" x14ac:dyDescent="0.3">
      <c r="A645" s="10">
        <v>644</v>
      </c>
      <c r="B645" s="11">
        <v>6.5</v>
      </c>
      <c r="C645" s="12">
        <v>0.61499999999999999</v>
      </c>
      <c r="D645" s="13">
        <v>0</v>
      </c>
      <c r="E645" s="11">
        <v>1.9</v>
      </c>
      <c r="F645" s="12">
        <v>6.5000000000000002E-2</v>
      </c>
      <c r="G645" s="11">
        <v>9</v>
      </c>
      <c r="H645" s="11">
        <v>18</v>
      </c>
      <c r="I645" s="14">
        <v>0.99719999999999998</v>
      </c>
      <c r="J645" s="13">
        <v>3.46</v>
      </c>
      <c r="K645" s="13">
        <v>0.65</v>
      </c>
      <c r="L645" s="11">
        <v>9.1999999999999993</v>
      </c>
      <c r="M645" s="10">
        <v>5</v>
      </c>
    </row>
    <row r="646" spans="1:13" x14ac:dyDescent="0.3">
      <c r="A646" s="10">
        <v>645</v>
      </c>
      <c r="B646" s="11">
        <v>11.6</v>
      </c>
      <c r="C646" s="12">
        <v>0.41</v>
      </c>
      <c r="D646" s="13">
        <v>0.57999999999999996</v>
      </c>
      <c r="E646" s="11">
        <v>2.8</v>
      </c>
      <c r="F646" s="12">
        <v>9.6000000000000002E-2</v>
      </c>
      <c r="G646" s="11">
        <v>25</v>
      </c>
      <c r="H646" s="11">
        <v>101</v>
      </c>
      <c r="I646" s="14">
        <v>1.00024</v>
      </c>
      <c r="J646" s="13">
        <v>3.13</v>
      </c>
      <c r="K646" s="13">
        <v>0.53</v>
      </c>
      <c r="L646" s="11">
        <v>10</v>
      </c>
      <c r="M646" s="10">
        <v>5</v>
      </c>
    </row>
    <row r="647" spans="1:13" x14ac:dyDescent="0.3">
      <c r="A647" s="10">
        <v>646</v>
      </c>
      <c r="B647" s="11">
        <v>11.1</v>
      </c>
      <c r="C647" s="12">
        <v>0.39</v>
      </c>
      <c r="D647" s="13">
        <v>0.54</v>
      </c>
      <c r="E647" s="11">
        <v>2.7</v>
      </c>
      <c r="F647" s="12">
        <v>9.5000000000000001E-2</v>
      </c>
      <c r="G647" s="11">
        <v>21</v>
      </c>
      <c r="H647" s="11">
        <v>101</v>
      </c>
      <c r="I647" s="14">
        <v>1.0001</v>
      </c>
      <c r="J647" s="13">
        <v>3.13</v>
      </c>
      <c r="K647" s="13">
        <v>0.51</v>
      </c>
      <c r="L647" s="11">
        <v>9.5</v>
      </c>
      <c r="M647" s="10">
        <v>5</v>
      </c>
    </row>
    <row r="648" spans="1:13" x14ac:dyDescent="0.3">
      <c r="A648" s="10">
        <v>647</v>
      </c>
      <c r="B648" s="11">
        <v>7.3</v>
      </c>
      <c r="C648" s="12">
        <v>0.51</v>
      </c>
      <c r="D648" s="13">
        <v>0.18</v>
      </c>
      <c r="E648" s="11">
        <v>2.1</v>
      </c>
      <c r="F648" s="12">
        <v>7.0000000000000007E-2</v>
      </c>
      <c r="G648" s="11">
        <v>12</v>
      </c>
      <c r="H648" s="11">
        <v>28</v>
      </c>
      <c r="I648" s="14">
        <v>0.99768000000000001</v>
      </c>
      <c r="J648" s="13">
        <v>3.52</v>
      </c>
      <c r="K648" s="13">
        <v>0.73</v>
      </c>
      <c r="L648" s="11">
        <v>9.5</v>
      </c>
      <c r="M648" s="10">
        <v>6</v>
      </c>
    </row>
    <row r="649" spans="1:13" x14ac:dyDescent="0.3">
      <c r="A649" s="10">
        <v>648</v>
      </c>
      <c r="B649" s="11">
        <v>8.1999999999999993</v>
      </c>
      <c r="C649" s="12">
        <v>0.34</v>
      </c>
      <c r="D649" s="13">
        <v>0.38</v>
      </c>
      <c r="E649" s="11">
        <v>2.5</v>
      </c>
      <c r="F649" s="12">
        <v>0.08</v>
      </c>
      <c r="G649" s="11">
        <v>12</v>
      </c>
      <c r="H649" s="11">
        <v>57</v>
      </c>
      <c r="I649" s="14">
        <v>0.99780000000000002</v>
      </c>
      <c r="J649" s="13">
        <v>3.3</v>
      </c>
      <c r="K649" s="13">
        <v>0.47</v>
      </c>
      <c r="L649" s="11">
        <v>9</v>
      </c>
      <c r="M649" s="10">
        <v>6</v>
      </c>
    </row>
    <row r="650" spans="1:13" x14ac:dyDescent="0.3">
      <c r="A650" s="10">
        <v>649</v>
      </c>
      <c r="B650" s="11">
        <v>8.6</v>
      </c>
      <c r="C650" s="12">
        <v>0.33</v>
      </c>
      <c r="D650" s="13">
        <v>0.4</v>
      </c>
      <c r="E650" s="11">
        <v>2.6</v>
      </c>
      <c r="F650" s="12">
        <v>8.3000000000000004E-2</v>
      </c>
      <c r="G650" s="11">
        <v>16</v>
      </c>
      <c r="H650" s="11">
        <v>68</v>
      </c>
      <c r="I650" s="14">
        <v>0.99782000000000004</v>
      </c>
      <c r="J650" s="13">
        <v>3.3</v>
      </c>
      <c r="K650" s="13">
        <v>0.48</v>
      </c>
      <c r="L650" s="11">
        <v>9.4</v>
      </c>
      <c r="M650" s="10">
        <v>5</v>
      </c>
    </row>
    <row r="651" spans="1:13" x14ac:dyDescent="0.3">
      <c r="A651" s="10">
        <v>650</v>
      </c>
      <c r="B651" s="11">
        <v>7.2</v>
      </c>
      <c r="C651" s="12">
        <v>0.5</v>
      </c>
      <c r="D651" s="13">
        <v>0.18</v>
      </c>
      <c r="E651" s="11">
        <v>2.1</v>
      </c>
      <c r="F651" s="12">
        <v>7.0999999999999994E-2</v>
      </c>
      <c r="G651" s="11">
        <v>12</v>
      </c>
      <c r="H651" s="11">
        <v>31</v>
      </c>
      <c r="I651" s="14">
        <v>0.99761</v>
      </c>
      <c r="J651" s="13">
        <v>3.52</v>
      </c>
      <c r="K651" s="13">
        <v>0.72</v>
      </c>
      <c r="L651" s="11">
        <v>9.6</v>
      </c>
      <c r="M651" s="10">
        <v>6</v>
      </c>
    </row>
    <row r="652" spans="1:13" x14ac:dyDescent="0.3">
      <c r="A652" s="10">
        <v>651</v>
      </c>
      <c r="B652" s="11">
        <v>8.3000000000000007</v>
      </c>
      <c r="C652" s="12">
        <v>0.65</v>
      </c>
      <c r="D652" s="13">
        <v>0.1</v>
      </c>
      <c r="E652" s="11">
        <v>2.9</v>
      </c>
      <c r="F652" s="12">
        <v>8.8999999999999996E-2</v>
      </c>
      <c r="G652" s="11">
        <v>17</v>
      </c>
      <c r="H652" s="11">
        <v>40</v>
      </c>
      <c r="I652" s="14">
        <v>0.99802999999999997</v>
      </c>
      <c r="J652" s="13">
        <v>3.29</v>
      </c>
      <c r="K652" s="13">
        <v>0.55000000000000004</v>
      </c>
      <c r="L652" s="11">
        <v>9.5</v>
      </c>
      <c r="M652" s="10">
        <v>5</v>
      </c>
    </row>
    <row r="653" spans="1:13" x14ac:dyDescent="0.3">
      <c r="A653" s="10">
        <v>652</v>
      </c>
      <c r="B653" s="11">
        <v>7.6</v>
      </c>
      <c r="C653" s="12">
        <v>0.54</v>
      </c>
      <c r="D653" s="13">
        <v>0.13</v>
      </c>
      <c r="E653" s="11">
        <v>2.5</v>
      </c>
      <c r="F653" s="12">
        <v>9.7000000000000003E-2</v>
      </c>
      <c r="G653" s="11">
        <v>24</v>
      </c>
      <c r="H653" s="11">
        <v>66</v>
      </c>
      <c r="I653" s="14">
        <v>0.99785000000000001</v>
      </c>
      <c r="J653" s="13">
        <v>3.39</v>
      </c>
      <c r="K653" s="13">
        <v>0.61</v>
      </c>
      <c r="L653" s="11">
        <v>9.4</v>
      </c>
      <c r="M653" s="10">
        <v>5</v>
      </c>
    </row>
    <row r="654" spans="1:13" x14ac:dyDescent="0.3">
      <c r="A654" s="10">
        <v>653</v>
      </c>
      <c r="B654" s="11">
        <v>7.8</v>
      </c>
      <c r="C654" s="12">
        <v>0.48</v>
      </c>
      <c r="D654" s="13">
        <v>0.68</v>
      </c>
      <c r="E654" s="11">
        <v>1.7</v>
      </c>
      <c r="F654" s="12">
        <v>0.41499999999999998</v>
      </c>
      <c r="G654" s="11">
        <v>14</v>
      </c>
      <c r="H654" s="11">
        <v>32</v>
      </c>
      <c r="I654" s="14">
        <v>0.99656</v>
      </c>
      <c r="J654" s="13">
        <v>3.09</v>
      </c>
      <c r="K654" s="13">
        <v>1.06</v>
      </c>
      <c r="L654" s="11">
        <v>9.1</v>
      </c>
      <c r="M654" s="10">
        <v>6</v>
      </c>
    </row>
    <row r="655" spans="1:13" x14ac:dyDescent="0.3">
      <c r="A655" s="10">
        <v>654</v>
      </c>
      <c r="B655" s="11">
        <v>7.8</v>
      </c>
      <c r="C655" s="12">
        <v>0.91</v>
      </c>
      <c r="D655" s="13">
        <v>7.0000000000000007E-2</v>
      </c>
      <c r="E655" s="11">
        <v>1.9</v>
      </c>
      <c r="F655" s="12">
        <v>5.8000000000000003E-2</v>
      </c>
      <c r="G655" s="11">
        <v>22</v>
      </c>
      <c r="H655" s="11">
        <v>47</v>
      </c>
      <c r="I655" s="14">
        <v>0.99524999999999997</v>
      </c>
      <c r="J655" s="13">
        <v>3.51</v>
      </c>
      <c r="K655" s="13">
        <v>0.43</v>
      </c>
      <c r="L655" s="11">
        <v>10.7</v>
      </c>
      <c r="M655" s="10">
        <v>6</v>
      </c>
    </row>
    <row r="656" spans="1:13" x14ac:dyDescent="0.3">
      <c r="A656" s="10">
        <v>655</v>
      </c>
      <c r="B656" s="11">
        <v>6.3</v>
      </c>
      <c r="C656" s="12">
        <v>0.98</v>
      </c>
      <c r="D656" s="13">
        <v>0.01</v>
      </c>
      <c r="E656" s="11">
        <v>2</v>
      </c>
      <c r="F656" s="12">
        <v>5.7000000000000002E-2</v>
      </c>
      <c r="G656" s="11">
        <v>15</v>
      </c>
      <c r="H656" s="11">
        <v>33</v>
      </c>
      <c r="I656" s="14">
        <v>0.99487999999999999</v>
      </c>
      <c r="J656" s="13">
        <v>3.6</v>
      </c>
      <c r="K656" s="13">
        <v>0.46</v>
      </c>
      <c r="L656" s="11">
        <v>11.2</v>
      </c>
      <c r="M656" s="10">
        <v>6</v>
      </c>
    </row>
    <row r="657" spans="1:13" x14ac:dyDescent="0.3">
      <c r="A657" s="10">
        <v>656</v>
      </c>
      <c r="B657" s="11">
        <v>8.1</v>
      </c>
      <c r="C657" s="12">
        <v>0.87</v>
      </c>
      <c r="D657" s="13">
        <v>0</v>
      </c>
      <c r="E657" s="11">
        <v>2.2000000000000002</v>
      </c>
      <c r="F657" s="12">
        <v>8.4000000000000005E-2</v>
      </c>
      <c r="G657" s="11">
        <v>10</v>
      </c>
      <c r="H657" s="11">
        <v>31</v>
      </c>
      <c r="I657" s="14">
        <v>0.99656</v>
      </c>
      <c r="J657" s="13">
        <v>3.25</v>
      </c>
      <c r="K657" s="13">
        <v>0.5</v>
      </c>
      <c r="L657" s="11">
        <v>9.8000000000000007</v>
      </c>
      <c r="M657" s="10">
        <v>5</v>
      </c>
    </row>
    <row r="658" spans="1:13" x14ac:dyDescent="0.3">
      <c r="A658" s="10">
        <v>657</v>
      </c>
      <c r="B658" s="11">
        <v>8.8000000000000007</v>
      </c>
      <c r="C658" s="12">
        <v>0.42</v>
      </c>
      <c r="D658" s="13">
        <v>0.21</v>
      </c>
      <c r="E658" s="11">
        <v>2.5</v>
      </c>
      <c r="F658" s="12">
        <v>9.1999999999999998E-2</v>
      </c>
      <c r="G658" s="11">
        <v>33</v>
      </c>
      <c r="H658" s="11">
        <v>88</v>
      </c>
      <c r="I658" s="14">
        <v>0.99822999999999995</v>
      </c>
      <c r="J658" s="13">
        <v>3.19</v>
      </c>
      <c r="K658" s="13">
        <v>0.52</v>
      </c>
      <c r="L658" s="11">
        <v>9.1999999999999993</v>
      </c>
      <c r="M658" s="10">
        <v>5</v>
      </c>
    </row>
    <row r="659" spans="1:13" x14ac:dyDescent="0.3">
      <c r="A659" s="10">
        <v>658</v>
      </c>
      <c r="B659" s="11">
        <v>9</v>
      </c>
      <c r="C659" s="12">
        <v>0.57999999999999996</v>
      </c>
      <c r="D659" s="13">
        <v>0.25</v>
      </c>
      <c r="E659" s="11">
        <v>2.8</v>
      </c>
      <c r="F659" s="12">
        <v>7.4999999999999997E-2</v>
      </c>
      <c r="G659" s="11">
        <v>9</v>
      </c>
      <c r="H659" s="11">
        <v>104</v>
      </c>
      <c r="I659" s="14">
        <v>0.99778999999999995</v>
      </c>
      <c r="J659" s="13">
        <v>3.23</v>
      </c>
      <c r="K659" s="13">
        <v>0.56999999999999995</v>
      </c>
      <c r="L659" s="11">
        <v>9.6999999999999993</v>
      </c>
      <c r="M659" s="10">
        <v>5</v>
      </c>
    </row>
    <row r="660" spans="1:13" x14ac:dyDescent="0.3">
      <c r="A660" s="10">
        <v>659</v>
      </c>
      <c r="B660" s="11">
        <v>9.3000000000000007</v>
      </c>
      <c r="C660" s="12">
        <v>0.65500000000000003</v>
      </c>
      <c r="D660" s="13">
        <v>0.26</v>
      </c>
      <c r="E660" s="11">
        <v>2</v>
      </c>
      <c r="F660" s="12">
        <v>9.6000000000000002E-2</v>
      </c>
      <c r="G660" s="11">
        <v>5</v>
      </c>
      <c r="H660" s="11">
        <v>35</v>
      </c>
      <c r="I660" s="14">
        <v>0.99738000000000004</v>
      </c>
      <c r="J660" s="13">
        <v>3.25</v>
      </c>
      <c r="K660" s="13">
        <v>0.42</v>
      </c>
      <c r="L660" s="11">
        <v>9.6</v>
      </c>
      <c r="M660" s="10">
        <v>5</v>
      </c>
    </row>
    <row r="661" spans="1:13" x14ac:dyDescent="0.3">
      <c r="A661" s="10">
        <v>660</v>
      </c>
      <c r="B661" s="11">
        <v>8.8000000000000007</v>
      </c>
      <c r="C661" s="12">
        <v>0.7</v>
      </c>
      <c r="D661" s="13">
        <v>0</v>
      </c>
      <c r="E661" s="11">
        <v>1.7</v>
      </c>
      <c r="F661" s="12">
        <v>6.9000000000000006E-2</v>
      </c>
      <c r="G661" s="11">
        <v>8</v>
      </c>
      <c r="H661" s="11">
        <v>19</v>
      </c>
      <c r="I661" s="14">
        <v>0.99700999999999995</v>
      </c>
      <c r="J661" s="13">
        <v>3.31</v>
      </c>
      <c r="K661" s="13">
        <v>0.53</v>
      </c>
      <c r="L661" s="11">
        <v>10</v>
      </c>
      <c r="M661" s="10">
        <v>6</v>
      </c>
    </row>
    <row r="662" spans="1:13" x14ac:dyDescent="0.3">
      <c r="A662" s="10">
        <v>661</v>
      </c>
      <c r="B662" s="11">
        <v>9.1</v>
      </c>
      <c r="C662" s="12">
        <v>0.68</v>
      </c>
      <c r="D662" s="13">
        <v>0.11</v>
      </c>
      <c r="E662" s="11">
        <v>2.8</v>
      </c>
      <c r="F662" s="12">
        <v>9.2999999999999999E-2</v>
      </c>
      <c r="G662" s="11">
        <v>11</v>
      </c>
      <c r="H662" s="11">
        <v>44</v>
      </c>
      <c r="I662" s="14">
        <v>0.99887999999999999</v>
      </c>
      <c r="J662" s="13">
        <v>3.31</v>
      </c>
      <c r="K662" s="13">
        <v>0.55000000000000004</v>
      </c>
      <c r="L662" s="11">
        <v>9.5</v>
      </c>
      <c r="M662" s="10">
        <v>6</v>
      </c>
    </row>
    <row r="663" spans="1:13" x14ac:dyDescent="0.3">
      <c r="A663" s="10">
        <v>662</v>
      </c>
      <c r="B663" s="11">
        <v>9.1999999999999993</v>
      </c>
      <c r="C663" s="12">
        <v>0.67</v>
      </c>
      <c r="D663" s="13">
        <v>0.1</v>
      </c>
      <c r="E663" s="11">
        <v>3</v>
      </c>
      <c r="F663" s="12">
        <v>9.0999999999999998E-2</v>
      </c>
      <c r="G663" s="11">
        <v>12</v>
      </c>
      <c r="H663" s="11">
        <v>48</v>
      </c>
      <c r="I663" s="14">
        <v>0.99887999999999999</v>
      </c>
      <c r="J663" s="13">
        <v>3.31</v>
      </c>
      <c r="K663" s="13">
        <v>0.54</v>
      </c>
      <c r="L663" s="11">
        <v>9.5</v>
      </c>
      <c r="M663" s="10">
        <v>6</v>
      </c>
    </row>
    <row r="664" spans="1:13" x14ac:dyDescent="0.3">
      <c r="A664" s="10">
        <v>663</v>
      </c>
      <c r="B664" s="11">
        <v>8.8000000000000007</v>
      </c>
      <c r="C664" s="12">
        <v>0.59</v>
      </c>
      <c r="D664" s="13">
        <v>0.18</v>
      </c>
      <c r="E664" s="11">
        <v>2.9</v>
      </c>
      <c r="F664" s="12">
        <v>8.8999999999999996E-2</v>
      </c>
      <c r="G664" s="11">
        <v>12</v>
      </c>
      <c r="H664" s="11">
        <v>74</v>
      </c>
      <c r="I664" s="14">
        <v>0.99738000000000004</v>
      </c>
      <c r="J664" s="13">
        <v>3.14</v>
      </c>
      <c r="K664" s="13">
        <v>0.54</v>
      </c>
      <c r="L664" s="11">
        <v>9.4</v>
      </c>
      <c r="M664" s="10">
        <v>5</v>
      </c>
    </row>
    <row r="665" spans="1:13" x14ac:dyDescent="0.3">
      <c r="A665" s="10">
        <v>664</v>
      </c>
      <c r="B665" s="11">
        <v>7.5</v>
      </c>
      <c r="C665" s="12">
        <v>0.6</v>
      </c>
      <c r="D665" s="13">
        <v>0.32</v>
      </c>
      <c r="E665" s="11">
        <v>2.7</v>
      </c>
      <c r="F665" s="12">
        <v>0.10299999999999999</v>
      </c>
      <c r="G665" s="11">
        <v>13</v>
      </c>
      <c r="H665" s="11">
        <v>98</v>
      </c>
      <c r="I665" s="14">
        <v>0.99938000000000005</v>
      </c>
      <c r="J665" s="13">
        <v>3.45</v>
      </c>
      <c r="K665" s="13">
        <v>0.62</v>
      </c>
      <c r="L665" s="11">
        <v>9.5</v>
      </c>
      <c r="M665" s="10">
        <v>5</v>
      </c>
    </row>
    <row r="666" spans="1:13" x14ac:dyDescent="0.3">
      <c r="A666" s="10">
        <v>665</v>
      </c>
      <c r="B666" s="11">
        <v>7.1</v>
      </c>
      <c r="C666" s="12">
        <v>0.59</v>
      </c>
      <c r="D666" s="13">
        <v>0.02</v>
      </c>
      <c r="E666" s="11">
        <v>2.2999999999999998</v>
      </c>
      <c r="F666" s="12">
        <v>8.2000000000000003E-2</v>
      </c>
      <c r="G666" s="11">
        <v>24</v>
      </c>
      <c r="H666" s="11">
        <v>94</v>
      </c>
      <c r="I666" s="14">
        <v>0.99743999999999999</v>
      </c>
      <c r="J666" s="13">
        <v>3.55</v>
      </c>
      <c r="K666" s="13">
        <v>0.53</v>
      </c>
      <c r="L666" s="11">
        <v>9.6999999999999993</v>
      </c>
      <c r="M666" s="10">
        <v>6</v>
      </c>
    </row>
    <row r="667" spans="1:13" x14ac:dyDescent="0.3">
      <c r="A667" s="10">
        <v>666</v>
      </c>
      <c r="B667" s="11">
        <v>7.9</v>
      </c>
      <c r="C667" s="12">
        <v>0.72</v>
      </c>
      <c r="D667" s="13">
        <v>0.01</v>
      </c>
      <c r="E667" s="11">
        <v>1.9</v>
      </c>
      <c r="F667" s="12">
        <v>7.5999999999999998E-2</v>
      </c>
      <c r="G667" s="11">
        <v>7</v>
      </c>
      <c r="H667" s="11">
        <v>32</v>
      </c>
      <c r="I667" s="14">
        <v>0.99668000000000001</v>
      </c>
      <c r="J667" s="13">
        <v>3.39</v>
      </c>
      <c r="K667" s="13">
        <v>0.54</v>
      </c>
      <c r="L667" s="11">
        <v>9.6</v>
      </c>
      <c r="M667" s="10">
        <v>5</v>
      </c>
    </row>
    <row r="668" spans="1:13" x14ac:dyDescent="0.3">
      <c r="A668" s="10">
        <v>667</v>
      </c>
      <c r="B668" s="11">
        <v>9.4</v>
      </c>
      <c r="C668" s="12">
        <v>0.68500000000000005</v>
      </c>
      <c r="D668" s="13">
        <v>0.26</v>
      </c>
      <c r="E668" s="11">
        <v>2.4</v>
      </c>
      <c r="F668" s="12">
        <v>8.2000000000000003E-2</v>
      </c>
      <c r="G668" s="11">
        <v>23</v>
      </c>
      <c r="H668" s="11">
        <v>143</v>
      </c>
      <c r="I668" s="14">
        <v>0.99780000000000002</v>
      </c>
      <c r="J668" s="13">
        <v>3.28</v>
      </c>
      <c r="K668" s="13">
        <v>0.55000000000000004</v>
      </c>
      <c r="L668" s="11">
        <v>9.4</v>
      </c>
      <c r="M668" s="10">
        <v>5</v>
      </c>
    </row>
    <row r="669" spans="1:13" x14ac:dyDescent="0.3">
      <c r="A669" s="10">
        <v>668</v>
      </c>
      <c r="B669" s="11">
        <v>9.5</v>
      </c>
      <c r="C669" s="12">
        <v>0.56999999999999995</v>
      </c>
      <c r="D669" s="13">
        <v>0.27</v>
      </c>
      <c r="E669" s="11">
        <v>2.2999999999999998</v>
      </c>
      <c r="F669" s="12">
        <v>8.2000000000000003E-2</v>
      </c>
      <c r="G669" s="11">
        <v>23</v>
      </c>
      <c r="H669" s="11">
        <v>144</v>
      </c>
      <c r="I669" s="14">
        <v>0.99782000000000004</v>
      </c>
      <c r="J669" s="13">
        <v>3.27</v>
      </c>
      <c r="K669" s="13">
        <v>0.55000000000000004</v>
      </c>
      <c r="L669" s="11">
        <v>9.4</v>
      </c>
      <c r="M669" s="10">
        <v>5</v>
      </c>
    </row>
    <row r="670" spans="1:13" x14ac:dyDescent="0.3">
      <c r="A670" s="10">
        <v>669</v>
      </c>
      <c r="B670" s="11">
        <v>7.9</v>
      </c>
      <c r="C670" s="12">
        <v>0.4</v>
      </c>
      <c r="D670" s="13">
        <v>0.28999999999999998</v>
      </c>
      <c r="E670" s="11">
        <v>1.8</v>
      </c>
      <c r="F670" s="12">
        <v>0.157</v>
      </c>
      <c r="G670" s="11">
        <v>1</v>
      </c>
      <c r="H670" s="11">
        <v>44</v>
      </c>
      <c r="I670" s="14">
        <v>0.99729999999999996</v>
      </c>
      <c r="J670" s="13">
        <v>3.3</v>
      </c>
      <c r="K670" s="13">
        <v>0.92</v>
      </c>
      <c r="L670" s="11">
        <v>9.5</v>
      </c>
      <c r="M670" s="10">
        <v>6</v>
      </c>
    </row>
    <row r="671" spans="1:13" x14ac:dyDescent="0.3">
      <c r="A671" s="10">
        <v>670</v>
      </c>
      <c r="B671" s="11">
        <v>7.9</v>
      </c>
      <c r="C671" s="12">
        <v>0.4</v>
      </c>
      <c r="D671" s="13">
        <v>0.3</v>
      </c>
      <c r="E671" s="11">
        <v>1.8</v>
      </c>
      <c r="F671" s="12">
        <v>0.157</v>
      </c>
      <c r="G671" s="11">
        <v>2</v>
      </c>
      <c r="H671" s="11">
        <v>45</v>
      </c>
      <c r="I671" s="14">
        <v>0.99726999999999999</v>
      </c>
      <c r="J671" s="13">
        <v>3.31</v>
      </c>
      <c r="K671" s="13">
        <v>0.91</v>
      </c>
      <c r="L671" s="11">
        <v>9.5</v>
      </c>
      <c r="M671" s="10">
        <v>6</v>
      </c>
    </row>
    <row r="672" spans="1:13" x14ac:dyDescent="0.3">
      <c r="A672" s="10">
        <v>671</v>
      </c>
      <c r="B672" s="11">
        <v>7.2</v>
      </c>
      <c r="C672" s="12">
        <v>1</v>
      </c>
      <c r="D672" s="13">
        <v>0</v>
      </c>
      <c r="E672" s="11">
        <v>3</v>
      </c>
      <c r="F672" s="12">
        <v>0.10199999999999999</v>
      </c>
      <c r="G672" s="11">
        <v>7</v>
      </c>
      <c r="H672" s="11">
        <v>16</v>
      </c>
      <c r="I672" s="14">
        <v>0.99585999999999997</v>
      </c>
      <c r="J672" s="13">
        <v>3.43</v>
      </c>
      <c r="K672" s="13">
        <v>0.46</v>
      </c>
      <c r="L672" s="11">
        <v>10</v>
      </c>
      <c r="M672" s="10">
        <v>5</v>
      </c>
    </row>
    <row r="673" spans="1:13" x14ac:dyDescent="0.3">
      <c r="A673" s="10">
        <v>672</v>
      </c>
      <c r="B673" s="11">
        <v>6.9</v>
      </c>
      <c r="C673" s="12">
        <v>0.76500000000000001</v>
      </c>
      <c r="D673" s="13">
        <v>0.18</v>
      </c>
      <c r="E673" s="11">
        <v>2.4</v>
      </c>
      <c r="F673" s="12">
        <v>0.24299999999999999</v>
      </c>
      <c r="G673" s="11">
        <v>5.5</v>
      </c>
      <c r="H673" s="11">
        <v>48</v>
      </c>
      <c r="I673" s="14">
        <v>0.99612000000000001</v>
      </c>
      <c r="J673" s="13">
        <v>3.4</v>
      </c>
      <c r="K673" s="13">
        <v>0.6</v>
      </c>
      <c r="L673" s="11">
        <v>10.3</v>
      </c>
      <c r="M673" s="10">
        <v>6</v>
      </c>
    </row>
    <row r="674" spans="1:13" x14ac:dyDescent="0.3">
      <c r="A674" s="10">
        <v>673</v>
      </c>
      <c r="B674" s="11">
        <v>6.9</v>
      </c>
      <c r="C674" s="12">
        <v>0.63500000000000001</v>
      </c>
      <c r="D674" s="13">
        <v>0.17</v>
      </c>
      <c r="E674" s="11">
        <v>2.4</v>
      </c>
      <c r="F674" s="12">
        <v>0.24099999999999999</v>
      </c>
      <c r="G674" s="11">
        <v>6</v>
      </c>
      <c r="H674" s="11">
        <v>18</v>
      </c>
      <c r="I674" s="14">
        <v>0.99609999999999999</v>
      </c>
      <c r="J674" s="13">
        <v>3.4</v>
      </c>
      <c r="K674" s="13">
        <v>0.59</v>
      </c>
      <c r="L674" s="11">
        <v>10.3</v>
      </c>
      <c r="M674" s="10">
        <v>6</v>
      </c>
    </row>
    <row r="675" spans="1:13" x14ac:dyDescent="0.3">
      <c r="A675" s="10">
        <v>674</v>
      </c>
      <c r="B675" s="11">
        <v>8.3000000000000007</v>
      </c>
      <c r="C675" s="12">
        <v>0.43</v>
      </c>
      <c r="D675" s="13">
        <v>0.3</v>
      </c>
      <c r="E675" s="11">
        <v>3.4</v>
      </c>
      <c r="F675" s="12">
        <v>7.9000000000000001E-2</v>
      </c>
      <c r="G675" s="11">
        <v>7</v>
      </c>
      <c r="H675" s="11">
        <v>34</v>
      </c>
      <c r="I675" s="14">
        <v>0.99787999999999999</v>
      </c>
      <c r="J675" s="13">
        <v>3.36</v>
      </c>
      <c r="K675" s="13">
        <v>0.61</v>
      </c>
      <c r="L675" s="11">
        <v>10.5</v>
      </c>
      <c r="M675" s="10">
        <v>5</v>
      </c>
    </row>
    <row r="676" spans="1:13" x14ac:dyDescent="0.3">
      <c r="A676" s="10">
        <v>675</v>
      </c>
      <c r="B676" s="11">
        <v>7.1</v>
      </c>
      <c r="C676" s="12">
        <v>0.52</v>
      </c>
      <c r="D676" s="13">
        <v>0.03</v>
      </c>
      <c r="E676" s="11">
        <v>2.6</v>
      </c>
      <c r="F676" s="12">
        <v>7.5999999999999998E-2</v>
      </c>
      <c r="G676" s="11">
        <v>21</v>
      </c>
      <c r="H676" s="11">
        <v>92</v>
      </c>
      <c r="I676" s="14">
        <v>0.99744999999999995</v>
      </c>
      <c r="J676" s="13">
        <v>3.5</v>
      </c>
      <c r="K676" s="13">
        <v>0.6</v>
      </c>
      <c r="L676" s="11">
        <v>9.8000000000000007</v>
      </c>
      <c r="M676" s="10">
        <v>5</v>
      </c>
    </row>
    <row r="677" spans="1:13" x14ac:dyDescent="0.3">
      <c r="A677" s="10">
        <v>676</v>
      </c>
      <c r="B677" s="11">
        <v>7</v>
      </c>
      <c r="C677" s="12">
        <v>0.56999999999999995</v>
      </c>
      <c r="D677" s="13">
        <v>0</v>
      </c>
      <c r="E677" s="11">
        <v>2</v>
      </c>
      <c r="F677" s="12">
        <v>0.19</v>
      </c>
      <c r="G677" s="11">
        <v>12</v>
      </c>
      <c r="H677" s="11">
        <v>45</v>
      </c>
      <c r="I677" s="14">
        <v>0.99675999999999998</v>
      </c>
      <c r="J677" s="13">
        <v>3.31</v>
      </c>
      <c r="K677" s="13">
        <v>0.6</v>
      </c>
      <c r="L677" s="11">
        <v>9.4</v>
      </c>
      <c r="M677" s="10">
        <v>6</v>
      </c>
    </row>
    <row r="678" spans="1:13" x14ac:dyDescent="0.3">
      <c r="A678" s="10">
        <v>677</v>
      </c>
      <c r="B678" s="11">
        <v>6.5</v>
      </c>
      <c r="C678" s="12">
        <v>0.46</v>
      </c>
      <c r="D678" s="13">
        <v>0.14000000000000001</v>
      </c>
      <c r="E678" s="11">
        <v>2.4</v>
      </c>
      <c r="F678" s="12">
        <v>0.114</v>
      </c>
      <c r="G678" s="11">
        <v>9</v>
      </c>
      <c r="H678" s="11">
        <v>37</v>
      </c>
      <c r="I678" s="14">
        <v>0.99731999999999998</v>
      </c>
      <c r="J678" s="13">
        <v>3.66</v>
      </c>
      <c r="K678" s="13">
        <v>0.65</v>
      </c>
      <c r="L678" s="11">
        <v>9.8000000000000007</v>
      </c>
      <c r="M678" s="10">
        <v>5</v>
      </c>
    </row>
    <row r="679" spans="1:13" x14ac:dyDescent="0.3">
      <c r="A679" s="10">
        <v>678</v>
      </c>
      <c r="B679" s="11">
        <v>9</v>
      </c>
      <c r="C679" s="12">
        <v>0.82</v>
      </c>
      <c r="D679" s="13">
        <v>0.05</v>
      </c>
      <c r="E679" s="11">
        <v>2.4</v>
      </c>
      <c r="F679" s="12">
        <v>8.1000000000000003E-2</v>
      </c>
      <c r="G679" s="11">
        <v>26</v>
      </c>
      <c r="H679" s="11">
        <v>96</v>
      </c>
      <c r="I679" s="14">
        <v>0.99814000000000003</v>
      </c>
      <c r="J679" s="13">
        <v>3.36</v>
      </c>
      <c r="K679" s="13">
        <v>0.53</v>
      </c>
      <c r="L679" s="11">
        <v>10</v>
      </c>
      <c r="M679" s="10">
        <v>5</v>
      </c>
    </row>
    <row r="680" spans="1:13" x14ac:dyDescent="0.3">
      <c r="A680" s="10">
        <v>679</v>
      </c>
      <c r="B680" s="11">
        <v>7.1</v>
      </c>
      <c r="C680" s="12">
        <v>0.59</v>
      </c>
      <c r="D680" s="13">
        <v>0.01</v>
      </c>
      <c r="E680" s="11">
        <v>2.5</v>
      </c>
      <c r="F680" s="12">
        <v>7.6999999999999999E-2</v>
      </c>
      <c r="G680" s="11">
        <v>20</v>
      </c>
      <c r="H680" s="11">
        <v>85</v>
      </c>
      <c r="I680" s="14">
        <v>0.99746000000000001</v>
      </c>
      <c r="J680" s="13">
        <v>3.55</v>
      </c>
      <c r="K680" s="13">
        <v>0.59</v>
      </c>
      <c r="L680" s="11">
        <v>9.8000000000000007</v>
      </c>
      <c r="M680" s="10">
        <v>5</v>
      </c>
    </row>
    <row r="681" spans="1:13" x14ac:dyDescent="0.3">
      <c r="A681" s="10">
        <v>680</v>
      </c>
      <c r="B681" s="11">
        <v>9.9</v>
      </c>
      <c r="C681" s="12">
        <v>0.35</v>
      </c>
      <c r="D681" s="13">
        <v>0.41</v>
      </c>
      <c r="E681" s="11">
        <v>2.2999999999999998</v>
      </c>
      <c r="F681" s="12">
        <v>8.3000000000000004E-2</v>
      </c>
      <c r="G681" s="11">
        <v>11</v>
      </c>
      <c r="H681" s="11">
        <v>61</v>
      </c>
      <c r="I681" s="14">
        <v>0.99819999999999998</v>
      </c>
      <c r="J681" s="13">
        <v>3.21</v>
      </c>
      <c r="K681" s="13">
        <v>0.5</v>
      </c>
      <c r="L681" s="11">
        <v>9.5</v>
      </c>
      <c r="M681" s="10">
        <v>5</v>
      </c>
    </row>
    <row r="682" spans="1:13" x14ac:dyDescent="0.3">
      <c r="A682" s="10">
        <v>681</v>
      </c>
      <c r="B682" s="11">
        <v>10</v>
      </c>
      <c r="C682" s="12">
        <v>0.56000000000000005</v>
      </c>
      <c r="D682" s="13">
        <v>0.24</v>
      </c>
      <c r="E682" s="11">
        <v>2.2000000000000002</v>
      </c>
      <c r="F682" s="12">
        <v>7.9000000000000001E-2</v>
      </c>
      <c r="G682" s="11">
        <v>19</v>
      </c>
      <c r="H682" s="11">
        <v>58</v>
      </c>
      <c r="I682" s="14">
        <v>0.99909999999999999</v>
      </c>
      <c r="J682" s="13">
        <v>3.18</v>
      </c>
      <c r="K682" s="13">
        <v>0.56000000000000005</v>
      </c>
      <c r="L682" s="11">
        <v>10.1</v>
      </c>
      <c r="M682" s="10">
        <v>6</v>
      </c>
    </row>
    <row r="683" spans="1:13" x14ac:dyDescent="0.3">
      <c r="A683" s="10">
        <v>682</v>
      </c>
      <c r="B683" s="11">
        <v>8.6</v>
      </c>
      <c r="C683" s="12">
        <v>0.63</v>
      </c>
      <c r="D683" s="13">
        <v>0.17</v>
      </c>
      <c r="E683" s="11">
        <v>2.9</v>
      </c>
      <c r="F683" s="12">
        <v>9.9000000000000005E-2</v>
      </c>
      <c r="G683" s="11">
        <v>21</v>
      </c>
      <c r="H683" s="11">
        <v>119</v>
      </c>
      <c r="I683" s="14">
        <v>0.998</v>
      </c>
      <c r="J683" s="13">
        <v>3.09</v>
      </c>
      <c r="K683" s="13">
        <v>0.52</v>
      </c>
      <c r="L683" s="11">
        <v>9.3000000000000007</v>
      </c>
      <c r="M683" s="10">
        <v>5</v>
      </c>
    </row>
    <row r="684" spans="1:13" x14ac:dyDescent="0.3">
      <c r="A684" s="10">
        <v>683</v>
      </c>
      <c r="B684" s="11">
        <v>7.4</v>
      </c>
      <c r="C684" s="12">
        <v>0.37</v>
      </c>
      <c r="D684" s="13">
        <v>0.43</v>
      </c>
      <c r="E684" s="11">
        <v>2.6</v>
      </c>
      <c r="F684" s="12">
        <v>8.2000000000000003E-2</v>
      </c>
      <c r="G684" s="11">
        <v>18</v>
      </c>
      <c r="H684" s="11">
        <v>82</v>
      </c>
      <c r="I684" s="14">
        <v>0.99707999999999997</v>
      </c>
      <c r="J684" s="13">
        <v>3.33</v>
      </c>
      <c r="K684" s="13">
        <v>0.68</v>
      </c>
      <c r="L684" s="11">
        <v>9.6999999999999993</v>
      </c>
      <c r="M684" s="10">
        <v>6</v>
      </c>
    </row>
    <row r="685" spans="1:13" x14ac:dyDescent="0.3">
      <c r="A685" s="10">
        <v>684</v>
      </c>
      <c r="B685" s="11">
        <v>8.8000000000000007</v>
      </c>
      <c r="C685" s="12">
        <v>0.64</v>
      </c>
      <c r="D685" s="13">
        <v>0.17</v>
      </c>
      <c r="E685" s="11">
        <v>2.9</v>
      </c>
      <c r="F685" s="12">
        <v>8.4000000000000005E-2</v>
      </c>
      <c r="G685" s="11">
        <v>25</v>
      </c>
      <c r="H685" s="11">
        <v>130</v>
      </c>
      <c r="I685" s="14">
        <v>0.99817999999999996</v>
      </c>
      <c r="J685" s="13">
        <v>3.23</v>
      </c>
      <c r="K685" s="13">
        <v>0.54</v>
      </c>
      <c r="L685" s="11">
        <v>9.6</v>
      </c>
      <c r="M685" s="10">
        <v>5</v>
      </c>
    </row>
    <row r="686" spans="1:13" x14ac:dyDescent="0.3">
      <c r="A686" s="10">
        <v>685</v>
      </c>
      <c r="B686" s="11">
        <v>7.1</v>
      </c>
      <c r="C686" s="12">
        <v>0.61</v>
      </c>
      <c r="D686" s="13">
        <v>0.02</v>
      </c>
      <c r="E686" s="11">
        <v>2.5</v>
      </c>
      <c r="F686" s="12">
        <v>8.1000000000000003E-2</v>
      </c>
      <c r="G686" s="11">
        <v>17</v>
      </c>
      <c r="H686" s="11">
        <v>87</v>
      </c>
      <c r="I686" s="14">
        <v>0.99744999999999995</v>
      </c>
      <c r="J686" s="13">
        <v>3.48</v>
      </c>
      <c r="K686" s="13">
        <v>0.6</v>
      </c>
      <c r="L686" s="11">
        <v>9.6999999999999993</v>
      </c>
      <c r="M686" s="10">
        <v>6</v>
      </c>
    </row>
    <row r="687" spans="1:13" x14ac:dyDescent="0.3">
      <c r="A687" s="10">
        <v>686</v>
      </c>
      <c r="B687" s="11">
        <v>7.7</v>
      </c>
      <c r="C687" s="12">
        <v>0.6</v>
      </c>
      <c r="D687" s="13">
        <v>0</v>
      </c>
      <c r="E687" s="11">
        <v>2.6</v>
      </c>
      <c r="F687" s="12">
        <v>5.5E-2</v>
      </c>
      <c r="G687" s="11">
        <v>7</v>
      </c>
      <c r="H687" s="11">
        <v>13</v>
      </c>
      <c r="I687" s="14">
        <v>0.99639</v>
      </c>
      <c r="J687" s="13">
        <v>3.38</v>
      </c>
      <c r="K687" s="13">
        <v>0.56000000000000005</v>
      </c>
      <c r="L687" s="11">
        <v>10.8</v>
      </c>
      <c r="M687" s="10">
        <v>5</v>
      </c>
    </row>
    <row r="688" spans="1:13" x14ac:dyDescent="0.3">
      <c r="A688" s="10">
        <v>687</v>
      </c>
      <c r="B688" s="11">
        <v>10.1</v>
      </c>
      <c r="C688" s="12">
        <v>0.27</v>
      </c>
      <c r="D688" s="13">
        <v>0.54</v>
      </c>
      <c r="E688" s="11">
        <v>2.2999999999999998</v>
      </c>
      <c r="F688" s="12">
        <v>6.5000000000000002E-2</v>
      </c>
      <c r="G688" s="11">
        <v>7</v>
      </c>
      <c r="H688" s="11">
        <v>26</v>
      </c>
      <c r="I688" s="14">
        <v>0.99531000000000003</v>
      </c>
      <c r="J688" s="13">
        <v>3.17</v>
      </c>
      <c r="K688" s="13">
        <v>0.53</v>
      </c>
      <c r="L688" s="11">
        <v>12.5</v>
      </c>
      <c r="M688" s="10">
        <v>6</v>
      </c>
    </row>
    <row r="689" spans="1:13" x14ac:dyDescent="0.3">
      <c r="A689" s="10">
        <v>688</v>
      </c>
      <c r="B689" s="11">
        <v>10.8</v>
      </c>
      <c r="C689" s="12">
        <v>0.89</v>
      </c>
      <c r="D689" s="13">
        <v>0.3</v>
      </c>
      <c r="E689" s="11">
        <v>2.6</v>
      </c>
      <c r="F689" s="12">
        <v>0.13200000000000001</v>
      </c>
      <c r="G689" s="11">
        <v>7</v>
      </c>
      <c r="H689" s="11">
        <v>60</v>
      </c>
      <c r="I689" s="14">
        <v>0.99785999999999997</v>
      </c>
      <c r="J689" s="13">
        <v>2.99</v>
      </c>
      <c r="K689" s="13">
        <v>1.18</v>
      </c>
      <c r="L689" s="11">
        <v>10.199999999999999</v>
      </c>
      <c r="M689" s="10">
        <v>5</v>
      </c>
    </row>
    <row r="690" spans="1:13" x14ac:dyDescent="0.3">
      <c r="A690" s="10">
        <v>689</v>
      </c>
      <c r="B690" s="11">
        <v>8.6999999999999993</v>
      </c>
      <c r="C690" s="12">
        <v>0.46</v>
      </c>
      <c r="D690" s="13">
        <v>0.31</v>
      </c>
      <c r="E690" s="11">
        <v>2.5</v>
      </c>
      <c r="F690" s="12">
        <v>0.126</v>
      </c>
      <c r="G690" s="11">
        <v>24</v>
      </c>
      <c r="H690" s="11">
        <v>64</v>
      </c>
      <c r="I690" s="14">
        <v>0.99746000000000001</v>
      </c>
      <c r="J690" s="13">
        <v>3.1</v>
      </c>
      <c r="K690" s="13">
        <v>0.74</v>
      </c>
      <c r="L690" s="11">
        <v>9.6</v>
      </c>
      <c r="M690" s="10">
        <v>5</v>
      </c>
    </row>
    <row r="691" spans="1:13" x14ac:dyDescent="0.3">
      <c r="A691" s="10">
        <v>690</v>
      </c>
      <c r="B691" s="11">
        <v>9.3000000000000007</v>
      </c>
      <c r="C691" s="12">
        <v>0.37</v>
      </c>
      <c r="D691" s="13">
        <v>0.44</v>
      </c>
      <c r="E691" s="11">
        <v>1.6</v>
      </c>
      <c r="F691" s="12">
        <v>3.7999999999999999E-2</v>
      </c>
      <c r="G691" s="11">
        <v>21</v>
      </c>
      <c r="H691" s="11">
        <v>42</v>
      </c>
      <c r="I691" s="14">
        <v>0.99526000000000003</v>
      </c>
      <c r="J691" s="13">
        <v>3.24</v>
      </c>
      <c r="K691" s="13">
        <v>0.81</v>
      </c>
      <c r="L691" s="11">
        <v>10.8</v>
      </c>
      <c r="M691" s="10">
        <v>7</v>
      </c>
    </row>
    <row r="692" spans="1:13" x14ac:dyDescent="0.3">
      <c r="A692" s="10">
        <v>691</v>
      </c>
      <c r="B692" s="11">
        <v>9.4</v>
      </c>
      <c r="C692" s="12">
        <v>0.5</v>
      </c>
      <c r="D692" s="13">
        <v>0.34</v>
      </c>
      <c r="E692" s="11">
        <v>3.6</v>
      </c>
      <c r="F692" s="12">
        <v>8.2000000000000003E-2</v>
      </c>
      <c r="G692" s="11">
        <v>5</v>
      </c>
      <c r="H692" s="11">
        <v>14</v>
      </c>
      <c r="I692" s="14">
        <v>0.99870000000000003</v>
      </c>
      <c r="J692" s="13">
        <v>3.29</v>
      </c>
      <c r="K692" s="13">
        <v>0.52</v>
      </c>
      <c r="L692" s="11">
        <v>10.7</v>
      </c>
      <c r="M692" s="10">
        <v>6</v>
      </c>
    </row>
    <row r="693" spans="1:13" x14ac:dyDescent="0.3">
      <c r="A693" s="10">
        <v>692</v>
      </c>
      <c r="B693" s="11">
        <v>7.2</v>
      </c>
      <c r="C693" s="12">
        <v>0.61</v>
      </c>
      <c r="D693" s="13">
        <v>0.08</v>
      </c>
      <c r="E693" s="11">
        <v>4</v>
      </c>
      <c r="F693" s="12">
        <v>8.2000000000000003E-2</v>
      </c>
      <c r="G693" s="11">
        <v>26</v>
      </c>
      <c r="H693" s="11">
        <v>108</v>
      </c>
      <c r="I693" s="14">
        <v>0.99641000000000002</v>
      </c>
      <c r="J693" s="13">
        <v>3.25</v>
      </c>
      <c r="K693" s="13">
        <v>0.51</v>
      </c>
      <c r="L693" s="11">
        <v>9.4</v>
      </c>
      <c r="M693" s="10">
        <v>5</v>
      </c>
    </row>
    <row r="694" spans="1:13" x14ac:dyDescent="0.3">
      <c r="A694" s="10">
        <v>693</v>
      </c>
      <c r="B694" s="11">
        <v>8.6</v>
      </c>
      <c r="C694" s="12">
        <v>0.55000000000000004</v>
      </c>
      <c r="D694" s="13">
        <v>0.09</v>
      </c>
      <c r="E694" s="11">
        <v>3.3</v>
      </c>
      <c r="F694" s="12">
        <v>6.8000000000000005E-2</v>
      </c>
      <c r="G694" s="11">
        <v>8</v>
      </c>
      <c r="H694" s="11">
        <v>17</v>
      </c>
      <c r="I694" s="14">
        <v>0.99734999999999996</v>
      </c>
      <c r="J694" s="13">
        <v>3.23</v>
      </c>
      <c r="K694" s="13">
        <v>0.44</v>
      </c>
      <c r="L694" s="11">
        <v>10</v>
      </c>
      <c r="M694" s="10">
        <v>5</v>
      </c>
    </row>
    <row r="695" spans="1:13" x14ac:dyDescent="0.3">
      <c r="A695" s="10">
        <v>694</v>
      </c>
      <c r="B695" s="11">
        <v>5.0999999999999996</v>
      </c>
      <c r="C695" s="12">
        <v>0.58499999999999996</v>
      </c>
      <c r="D695" s="13">
        <v>0</v>
      </c>
      <c r="E695" s="11">
        <v>1.7</v>
      </c>
      <c r="F695" s="12">
        <v>4.3999999999999997E-2</v>
      </c>
      <c r="G695" s="11">
        <v>14</v>
      </c>
      <c r="H695" s="11">
        <v>86</v>
      </c>
      <c r="I695" s="14">
        <v>0.99263999999999997</v>
      </c>
      <c r="J695" s="13">
        <v>3.56</v>
      </c>
      <c r="K695" s="13">
        <v>0.94</v>
      </c>
      <c r="L695" s="11">
        <v>12.9</v>
      </c>
      <c r="M695" s="10">
        <v>7</v>
      </c>
    </row>
    <row r="696" spans="1:13" x14ac:dyDescent="0.3">
      <c r="A696" s="10">
        <v>695</v>
      </c>
      <c r="B696" s="11">
        <v>7.7</v>
      </c>
      <c r="C696" s="12">
        <v>0.56000000000000005</v>
      </c>
      <c r="D696" s="13">
        <v>0.08</v>
      </c>
      <c r="E696" s="11">
        <v>2.5</v>
      </c>
      <c r="F696" s="12">
        <v>0.114</v>
      </c>
      <c r="G696" s="11">
        <v>14</v>
      </c>
      <c r="H696" s="11">
        <v>46</v>
      </c>
      <c r="I696" s="14">
        <v>0.99709999999999999</v>
      </c>
      <c r="J696" s="13">
        <v>3.24</v>
      </c>
      <c r="K696" s="13">
        <v>0.66</v>
      </c>
      <c r="L696" s="11">
        <v>9.6</v>
      </c>
      <c r="M696" s="10">
        <v>6</v>
      </c>
    </row>
    <row r="697" spans="1:13" x14ac:dyDescent="0.3">
      <c r="A697" s="10">
        <v>696</v>
      </c>
      <c r="B697" s="11">
        <v>8.4</v>
      </c>
      <c r="C697" s="12">
        <v>0.52</v>
      </c>
      <c r="D697" s="13">
        <v>0.22</v>
      </c>
      <c r="E697" s="11">
        <v>2.7</v>
      </c>
      <c r="F697" s="12">
        <v>8.4000000000000005E-2</v>
      </c>
      <c r="G697" s="11">
        <v>4</v>
      </c>
      <c r="H697" s="11">
        <v>18</v>
      </c>
      <c r="I697" s="14">
        <v>0.99682000000000004</v>
      </c>
      <c r="J697" s="13">
        <v>3.26</v>
      </c>
      <c r="K697" s="13">
        <v>0.56999999999999995</v>
      </c>
      <c r="L697" s="11">
        <v>9.9</v>
      </c>
      <c r="M697" s="10">
        <v>6</v>
      </c>
    </row>
    <row r="698" spans="1:13" x14ac:dyDescent="0.3">
      <c r="A698" s="10">
        <v>697</v>
      </c>
      <c r="B698" s="11">
        <v>8.1999999999999993</v>
      </c>
      <c r="C698" s="12">
        <v>0.28000000000000003</v>
      </c>
      <c r="D698" s="13">
        <v>0.4</v>
      </c>
      <c r="E698" s="11">
        <v>2.4</v>
      </c>
      <c r="F698" s="12">
        <v>5.1999999999999998E-2</v>
      </c>
      <c r="G698" s="11">
        <v>4</v>
      </c>
      <c r="H698" s="11">
        <v>10</v>
      </c>
      <c r="I698" s="14">
        <v>0.99356</v>
      </c>
      <c r="J698" s="13">
        <v>3.33</v>
      </c>
      <c r="K698" s="13">
        <v>0.7</v>
      </c>
      <c r="L698" s="11">
        <v>12.8</v>
      </c>
      <c r="M698" s="10">
        <v>7</v>
      </c>
    </row>
    <row r="699" spans="1:13" x14ac:dyDescent="0.3">
      <c r="A699" s="10">
        <v>698</v>
      </c>
      <c r="B699" s="11">
        <v>8.4</v>
      </c>
      <c r="C699" s="12">
        <v>0.25</v>
      </c>
      <c r="D699" s="13">
        <v>0.39</v>
      </c>
      <c r="E699" s="11">
        <v>2</v>
      </c>
      <c r="F699" s="12">
        <v>4.1000000000000002E-2</v>
      </c>
      <c r="G699" s="11">
        <v>4</v>
      </c>
      <c r="H699" s="11">
        <v>10</v>
      </c>
      <c r="I699" s="14">
        <v>0.99385999999999997</v>
      </c>
      <c r="J699" s="13">
        <v>3.27</v>
      </c>
      <c r="K699" s="13">
        <v>0.71</v>
      </c>
      <c r="L699" s="11">
        <v>12.5</v>
      </c>
      <c r="M699" s="10">
        <v>7</v>
      </c>
    </row>
    <row r="700" spans="1:13" x14ac:dyDescent="0.3">
      <c r="A700" s="10">
        <v>699</v>
      </c>
      <c r="B700" s="11">
        <v>7.4</v>
      </c>
      <c r="C700" s="12">
        <v>0.53</v>
      </c>
      <c r="D700" s="13">
        <v>0.12</v>
      </c>
      <c r="E700" s="11">
        <v>1.9</v>
      </c>
      <c r="F700" s="12">
        <v>0.16500000000000001</v>
      </c>
      <c r="G700" s="11">
        <v>4</v>
      </c>
      <c r="H700" s="11">
        <v>12</v>
      </c>
      <c r="I700" s="14">
        <v>0.99702000000000002</v>
      </c>
      <c r="J700" s="13">
        <v>3.26</v>
      </c>
      <c r="K700" s="13">
        <v>0.86</v>
      </c>
      <c r="L700" s="11">
        <v>9.1999999999999993</v>
      </c>
      <c r="M700" s="10">
        <v>5</v>
      </c>
    </row>
    <row r="701" spans="1:13" x14ac:dyDescent="0.3">
      <c r="A701" s="10">
        <v>700</v>
      </c>
      <c r="B701" s="11">
        <v>7.6</v>
      </c>
      <c r="C701" s="12">
        <v>0.48</v>
      </c>
      <c r="D701" s="13">
        <v>0.31</v>
      </c>
      <c r="E701" s="11">
        <v>2.8</v>
      </c>
      <c r="F701" s="12">
        <v>7.0000000000000007E-2</v>
      </c>
      <c r="G701" s="11">
        <v>4</v>
      </c>
      <c r="H701" s="11">
        <v>15</v>
      </c>
      <c r="I701" s="14">
        <v>0.99692999999999998</v>
      </c>
      <c r="J701" s="13">
        <v>3.22</v>
      </c>
      <c r="K701" s="13">
        <v>0.55000000000000004</v>
      </c>
      <c r="L701" s="11">
        <v>10.3</v>
      </c>
      <c r="M701" s="10">
        <v>6</v>
      </c>
    </row>
    <row r="702" spans="1:13" x14ac:dyDescent="0.3">
      <c r="A702" s="10">
        <v>701</v>
      </c>
      <c r="B702" s="11">
        <v>7.3</v>
      </c>
      <c r="C702" s="12">
        <v>0.49</v>
      </c>
      <c r="D702" s="13">
        <v>0.1</v>
      </c>
      <c r="E702" s="11">
        <v>2.6</v>
      </c>
      <c r="F702" s="12">
        <v>6.8000000000000005E-2</v>
      </c>
      <c r="G702" s="11">
        <v>4</v>
      </c>
      <c r="H702" s="11">
        <v>14</v>
      </c>
      <c r="I702" s="14">
        <v>0.99561999999999995</v>
      </c>
      <c r="J702" s="13">
        <v>3.3</v>
      </c>
      <c r="K702" s="13">
        <v>0.47</v>
      </c>
      <c r="L702" s="11">
        <v>10.5</v>
      </c>
      <c r="M702" s="10">
        <v>5</v>
      </c>
    </row>
    <row r="703" spans="1:13" x14ac:dyDescent="0.3">
      <c r="A703" s="10">
        <v>702</v>
      </c>
      <c r="B703" s="11">
        <v>12.9</v>
      </c>
      <c r="C703" s="12">
        <v>0.5</v>
      </c>
      <c r="D703" s="13">
        <v>0.55000000000000004</v>
      </c>
      <c r="E703" s="11">
        <v>2.8</v>
      </c>
      <c r="F703" s="12">
        <v>7.1999999999999995E-2</v>
      </c>
      <c r="G703" s="11">
        <v>7</v>
      </c>
      <c r="H703" s="11">
        <v>24</v>
      </c>
      <c r="I703" s="14">
        <v>1.0001199999999999</v>
      </c>
      <c r="J703" s="13">
        <v>3.09</v>
      </c>
      <c r="K703" s="13">
        <v>0.68</v>
      </c>
      <c r="L703" s="11">
        <v>10.9</v>
      </c>
      <c r="M703" s="10">
        <v>6</v>
      </c>
    </row>
    <row r="704" spans="1:13" x14ac:dyDescent="0.3">
      <c r="A704" s="10">
        <v>703</v>
      </c>
      <c r="B704" s="11">
        <v>10.8</v>
      </c>
      <c r="C704" s="12">
        <v>0.45</v>
      </c>
      <c r="D704" s="13">
        <v>0.33</v>
      </c>
      <c r="E704" s="11">
        <v>2.5</v>
      </c>
      <c r="F704" s="12">
        <v>9.9000000000000005E-2</v>
      </c>
      <c r="G704" s="11">
        <v>20</v>
      </c>
      <c r="H704" s="11">
        <v>38</v>
      </c>
      <c r="I704" s="14">
        <v>0.99817999999999996</v>
      </c>
      <c r="J704" s="13">
        <v>3.24</v>
      </c>
      <c r="K704" s="13">
        <v>0.71</v>
      </c>
      <c r="L704" s="11">
        <v>10.8</v>
      </c>
      <c r="M704" s="10">
        <v>5</v>
      </c>
    </row>
    <row r="705" spans="1:13" x14ac:dyDescent="0.3">
      <c r="A705" s="10">
        <v>704</v>
      </c>
      <c r="B705" s="11">
        <v>6.9</v>
      </c>
      <c r="C705" s="12">
        <v>0.39</v>
      </c>
      <c r="D705" s="13">
        <v>0.24</v>
      </c>
      <c r="E705" s="11">
        <v>2.1</v>
      </c>
      <c r="F705" s="12">
        <v>0.10199999999999999</v>
      </c>
      <c r="G705" s="11">
        <v>4</v>
      </c>
      <c r="H705" s="11">
        <v>7</v>
      </c>
      <c r="I705" s="14">
        <v>0.99461999999999995</v>
      </c>
      <c r="J705" s="13">
        <v>3.44</v>
      </c>
      <c r="K705" s="13">
        <v>0.57999999999999996</v>
      </c>
      <c r="L705" s="11">
        <v>11.4</v>
      </c>
      <c r="M705" s="10">
        <v>4</v>
      </c>
    </row>
    <row r="706" spans="1:13" x14ac:dyDescent="0.3">
      <c r="A706" s="10">
        <v>705</v>
      </c>
      <c r="B706" s="11">
        <v>12.6</v>
      </c>
      <c r="C706" s="12">
        <v>0.41</v>
      </c>
      <c r="D706" s="13">
        <v>0.54</v>
      </c>
      <c r="E706" s="11">
        <v>2.8</v>
      </c>
      <c r="F706" s="12">
        <v>0.10299999999999999</v>
      </c>
      <c r="G706" s="11">
        <v>19</v>
      </c>
      <c r="H706" s="11">
        <v>41</v>
      </c>
      <c r="I706" s="14">
        <v>0.99939</v>
      </c>
      <c r="J706" s="13">
        <v>3.21</v>
      </c>
      <c r="K706" s="13">
        <v>0.76</v>
      </c>
      <c r="L706" s="11">
        <v>11.3</v>
      </c>
      <c r="M706" s="10">
        <v>6</v>
      </c>
    </row>
    <row r="707" spans="1:13" x14ac:dyDescent="0.3">
      <c r="A707" s="10">
        <v>706</v>
      </c>
      <c r="B707" s="11">
        <v>9.8000000000000007</v>
      </c>
      <c r="C707" s="12">
        <v>0.51</v>
      </c>
      <c r="D707" s="13">
        <v>0.19</v>
      </c>
      <c r="E707" s="11">
        <v>3.2</v>
      </c>
      <c r="F707" s="12">
        <v>8.1000000000000003E-2</v>
      </c>
      <c r="G707" s="11">
        <v>8</v>
      </c>
      <c r="H707" s="11">
        <v>30</v>
      </c>
      <c r="I707" s="14">
        <v>0.99839999999999995</v>
      </c>
      <c r="J707" s="13">
        <v>3.23</v>
      </c>
      <c r="K707" s="13">
        <v>0.57999999999999996</v>
      </c>
      <c r="L707" s="11">
        <v>10.5</v>
      </c>
      <c r="M707" s="10">
        <v>6</v>
      </c>
    </row>
    <row r="708" spans="1:13" x14ac:dyDescent="0.3">
      <c r="A708" s="10">
        <v>707</v>
      </c>
      <c r="B708" s="11">
        <v>10.8</v>
      </c>
      <c r="C708" s="12">
        <v>0.28999999999999998</v>
      </c>
      <c r="D708" s="13">
        <v>0.42</v>
      </c>
      <c r="E708" s="11">
        <v>1.6</v>
      </c>
      <c r="F708" s="12">
        <v>8.4000000000000005E-2</v>
      </c>
      <c r="G708" s="11">
        <v>19</v>
      </c>
      <c r="H708" s="11">
        <v>27</v>
      </c>
      <c r="I708" s="14">
        <v>0.99544999999999995</v>
      </c>
      <c r="J708" s="13">
        <v>3.28</v>
      </c>
      <c r="K708" s="13">
        <v>0.73</v>
      </c>
      <c r="L708" s="11">
        <v>11.9</v>
      </c>
      <c r="M708" s="10">
        <v>6</v>
      </c>
    </row>
    <row r="709" spans="1:13" x14ac:dyDescent="0.3">
      <c r="A709" s="10">
        <v>708</v>
      </c>
      <c r="B709" s="11">
        <v>7.1</v>
      </c>
      <c r="C709" s="12">
        <v>0.71499999999999997</v>
      </c>
      <c r="D709" s="13">
        <v>0</v>
      </c>
      <c r="E709" s="11">
        <v>2.35</v>
      </c>
      <c r="F709" s="12">
        <v>7.0999999999999994E-2</v>
      </c>
      <c r="G709" s="11">
        <v>21</v>
      </c>
      <c r="H709" s="11">
        <v>47</v>
      </c>
      <c r="I709" s="14">
        <v>0.99631999999999998</v>
      </c>
      <c r="J709" s="13">
        <v>3.29</v>
      </c>
      <c r="K709" s="13">
        <v>0.45</v>
      </c>
      <c r="L709" s="11">
        <v>9.4</v>
      </c>
      <c r="M709" s="10">
        <v>5</v>
      </c>
    </row>
    <row r="710" spans="1:13" x14ac:dyDescent="0.3">
      <c r="A710" s="10">
        <v>709</v>
      </c>
      <c r="B710" s="11">
        <v>9.1</v>
      </c>
      <c r="C710" s="12">
        <v>0.66</v>
      </c>
      <c r="D710" s="13">
        <v>0.15</v>
      </c>
      <c r="E710" s="11">
        <v>3.2</v>
      </c>
      <c r="F710" s="12">
        <v>9.7000000000000003E-2</v>
      </c>
      <c r="G710" s="11">
        <v>9</v>
      </c>
      <c r="H710" s="11">
        <v>59</v>
      </c>
      <c r="I710" s="14">
        <v>0.99975999999999998</v>
      </c>
      <c r="J710" s="13">
        <v>3.28</v>
      </c>
      <c r="K710" s="13">
        <v>0.54</v>
      </c>
      <c r="L710" s="11">
        <v>9.6</v>
      </c>
      <c r="M710" s="10">
        <v>5</v>
      </c>
    </row>
    <row r="711" spans="1:13" x14ac:dyDescent="0.3">
      <c r="A711" s="10">
        <v>710</v>
      </c>
      <c r="B711" s="11">
        <v>7</v>
      </c>
      <c r="C711" s="12">
        <v>0.68500000000000005</v>
      </c>
      <c r="D711" s="13">
        <v>0</v>
      </c>
      <c r="E711" s="11">
        <v>1.9</v>
      </c>
      <c r="F711" s="12">
        <v>9.9000000000000005E-2</v>
      </c>
      <c r="G711" s="11">
        <v>9</v>
      </c>
      <c r="H711" s="11">
        <v>22</v>
      </c>
      <c r="I711" s="14">
        <v>0.99605999999999995</v>
      </c>
      <c r="J711" s="13">
        <v>3.34</v>
      </c>
      <c r="K711" s="13">
        <v>0.6</v>
      </c>
      <c r="L711" s="11">
        <v>9.6999999999999993</v>
      </c>
      <c r="M711" s="10">
        <v>5</v>
      </c>
    </row>
    <row r="712" spans="1:13" x14ac:dyDescent="0.3">
      <c r="A712" s="10">
        <v>711</v>
      </c>
      <c r="B712" s="11">
        <v>4.9000000000000004</v>
      </c>
      <c r="C712" s="12">
        <v>0.42</v>
      </c>
      <c r="D712" s="13">
        <v>0</v>
      </c>
      <c r="E712" s="11">
        <v>2.1</v>
      </c>
      <c r="F712" s="12">
        <v>4.8000000000000001E-2</v>
      </c>
      <c r="G712" s="11">
        <v>16</v>
      </c>
      <c r="H712" s="11">
        <v>42</v>
      </c>
      <c r="I712" s="14">
        <v>0.99153999999999998</v>
      </c>
      <c r="J712" s="13">
        <v>3.71</v>
      </c>
      <c r="K712" s="13">
        <v>0.74</v>
      </c>
      <c r="L712" s="11">
        <v>14</v>
      </c>
      <c r="M712" s="10">
        <v>7</v>
      </c>
    </row>
    <row r="713" spans="1:13" x14ac:dyDescent="0.3">
      <c r="A713" s="10">
        <v>712</v>
      </c>
      <c r="B713" s="11">
        <v>6.7</v>
      </c>
      <c r="C713" s="12">
        <v>0.54</v>
      </c>
      <c r="D713" s="13">
        <v>0.13</v>
      </c>
      <c r="E713" s="11">
        <v>2</v>
      </c>
      <c r="F713" s="12">
        <v>7.5999999999999998E-2</v>
      </c>
      <c r="G713" s="11">
        <v>15</v>
      </c>
      <c r="H713" s="11">
        <v>36</v>
      </c>
      <c r="I713" s="14">
        <v>0.99729999999999996</v>
      </c>
      <c r="J713" s="13">
        <v>3.61</v>
      </c>
      <c r="K713" s="13">
        <v>0.64</v>
      </c>
      <c r="L713" s="11">
        <v>9.8000000000000007</v>
      </c>
      <c r="M713" s="10">
        <v>5</v>
      </c>
    </row>
    <row r="714" spans="1:13" x14ac:dyDescent="0.3">
      <c r="A714" s="10">
        <v>713</v>
      </c>
      <c r="B714" s="11">
        <v>7.1</v>
      </c>
      <c r="C714" s="12">
        <v>0.48</v>
      </c>
      <c r="D714" s="13">
        <v>0.28000000000000003</v>
      </c>
      <c r="E714" s="11">
        <v>2.8</v>
      </c>
      <c r="F714" s="12">
        <v>6.8000000000000005E-2</v>
      </c>
      <c r="G714" s="11">
        <v>6</v>
      </c>
      <c r="H714" s="11">
        <v>16</v>
      </c>
      <c r="I714" s="14">
        <v>0.99682000000000004</v>
      </c>
      <c r="J714" s="13">
        <v>3.24</v>
      </c>
      <c r="K714" s="13">
        <v>0.53</v>
      </c>
      <c r="L714" s="11">
        <v>10.3</v>
      </c>
      <c r="M714" s="10">
        <v>5</v>
      </c>
    </row>
    <row r="715" spans="1:13" x14ac:dyDescent="0.3">
      <c r="A715" s="10">
        <v>714</v>
      </c>
      <c r="B715" s="11">
        <v>7.1</v>
      </c>
      <c r="C715" s="12">
        <v>0.46</v>
      </c>
      <c r="D715" s="13">
        <v>0.14000000000000001</v>
      </c>
      <c r="E715" s="11">
        <v>2.8</v>
      </c>
      <c r="F715" s="12">
        <v>7.5999999999999998E-2</v>
      </c>
      <c r="G715" s="11">
        <v>15</v>
      </c>
      <c r="H715" s="11">
        <v>37</v>
      </c>
      <c r="I715" s="14">
        <v>0.99624000000000001</v>
      </c>
      <c r="J715" s="13">
        <v>3.36</v>
      </c>
      <c r="K715" s="13">
        <v>0.49</v>
      </c>
      <c r="L715" s="11">
        <v>10.7</v>
      </c>
      <c r="M715" s="10">
        <v>5</v>
      </c>
    </row>
    <row r="716" spans="1:13" x14ac:dyDescent="0.3">
      <c r="A716" s="10">
        <v>715</v>
      </c>
      <c r="B716" s="11">
        <v>7.5</v>
      </c>
      <c r="C716" s="12">
        <v>0.27</v>
      </c>
      <c r="D716" s="13">
        <v>0.34</v>
      </c>
      <c r="E716" s="11">
        <v>2.2999999999999998</v>
      </c>
      <c r="F716" s="12">
        <v>0.05</v>
      </c>
      <c r="G716" s="11">
        <v>4</v>
      </c>
      <c r="H716" s="11">
        <v>8</v>
      </c>
      <c r="I716" s="14">
        <v>0.99509999999999998</v>
      </c>
      <c r="J716" s="13">
        <v>3.4</v>
      </c>
      <c r="K716" s="13">
        <v>0.64</v>
      </c>
      <c r="L716" s="11">
        <v>11</v>
      </c>
      <c r="M716" s="10">
        <v>7</v>
      </c>
    </row>
    <row r="717" spans="1:13" x14ac:dyDescent="0.3">
      <c r="A717" s="10">
        <v>716</v>
      </c>
      <c r="B717" s="11">
        <v>7.8</v>
      </c>
      <c r="C717" s="12">
        <v>0.56999999999999995</v>
      </c>
      <c r="D717" s="13">
        <v>0.09</v>
      </c>
      <c r="E717" s="11">
        <v>2.2999999999999998</v>
      </c>
      <c r="F717" s="12">
        <v>6.5000000000000002E-2</v>
      </c>
      <c r="G717" s="11">
        <v>34</v>
      </c>
      <c r="H717" s="11">
        <v>45</v>
      </c>
      <c r="I717" s="14">
        <v>0.99417</v>
      </c>
      <c r="J717" s="13">
        <v>3.46</v>
      </c>
      <c r="K717" s="13">
        <v>0.74</v>
      </c>
      <c r="L717" s="11">
        <v>12.7</v>
      </c>
      <c r="M717" s="10">
        <v>8</v>
      </c>
    </row>
    <row r="718" spans="1:13" x14ac:dyDescent="0.3">
      <c r="A718" s="10">
        <v>717</v>
      </c>
      <c r="B718" s="11">
        <v>5.9</v>
      </c>
      <c r="C718" s="12">
        <v>0.61</v>
      </c>
      <c r="D718" s="13">
        <v>0.08</v>
      </c>
      <c r="E718" s="11">
        <v>2.1</v>
      </c>
      <c r="F718" s="12">
        <v>7.0999999999999994E-2</v>
      </c>
      <c r="G718" s="11">
        <v>16</v>
      </c>
      <c r="H718" s="11">
        <v>24</v>
      </c>
      <c r="I718" s="14">
        <v>0.99375999999999998</v>
      </c>
      <c r="J718" s="13">
        <v>3.56</v>
      </c>
      <c r="K718" s="13">
        <v>0.77</v>
      </c>
      <c r="L718" s="11">
        <v>11.1</v>
      </c>
      <c r="M718" s="10">
        <v>6</v>
      </c>
    </row>
    <row r="719" spans="1:13" x14ac:dyDescent="0.3">
      <c r="A719" s="10">
        <v>718</v>
      </c>
      <c r="B719" s="11">
        <v>7.5</v>
      </c>
      <c r="C719" s="12">
        <v>0.68500000000000005</v>
      </c>
      <c r="D719" s="13">
        <v>7.0000000000000007E-2</v>
      </c>
      <c r="E719" s="11">
        <v>2.5</v>
      </c>
      <c r="F719" s="12">
        <v>5.8000000000000003E-2</v>
      </c>
      <c r="G719" s="11">
        <v>5</v>
      </c>
      <c r="H719" s="11">
        <v>9</v>
      </c>
      <c r="I719" s="14">
        <v>0.99631999999999998</v>
      </c>
      <c r="J719" s="13">
        <v>3.38</v>
      </c>
      <c r="K719" s="13">
        <v>0.55000000000000004</v>
      </c>
      <c r="L719" s="11">
        <v>10.9</v>
      </c>
      <c r="M719" s="10">
        <v>4</v>
      </c>
    </row>
    <row r="720" spans="1:13" x14ac:dyDescent="0.3">
      <c r="A720" s="10">
        <v>719</v>
      </c>
      <c r="B720" s="11">
        <v>10.4</v>
      </c>
      <c r="C720" s="12">
        <v>0.44</v>
      </c>
      <c r="D720" s="13">
        <v>0.42</v>
      </c>
      <c r="E720" s="11">
        <v>1.5</v>
      </c>
      <c r="F720" s="12">
        <v>0.14499999999999999</v>
      </c>
      <c r="G720" s="11">
        <v>34</v>
      </c>
      <c r="H720" s="11">
        <v>48</v>
      </c>
      <c r="I720" s="14">
        <v>0.99831999999999999</v>
      </c>
      <c r="J720" s="13">
        <v>3.38</v>
      </c>
      <c r="K720" s="13">
        <v>0.86</v>
      </c>
      <c r="L720" s="11">
        <v>9.9</v>
      </c>
      <c r="M720" s="10">
        <v>3</v>
      </c>
    </row>
    <row r="721" spans="1:13" x14ac:dyDescent="0.3">
      <c r="A721" s="10">
        <v>720</v>
      </c>
      <c r="B721" s="11">
        <v>11.6</v>
      </c>
      <c r="C721" s="12">
        <v>0.47</v>
      </c>
      <c r="D721" s="13">
        <v>0.44</v>
      </c>
      <c r="E721" s="11">
        <v>1.6</v>
      </c>
      <c r="F721" s="12">
        <v>0.14699999999999999</v>
      </c>
      <c r="G721" s="11">
        <v>36</v>
      </c>
      <c r="H721" s="11">
        <v>51</v>
      </c>
      <c r="I721" s="14">
        <v>0.99836000000000003</v>
      </c>
      <c r="J721" s="13">
        <v>3.38</v>
      </c>
      <c r="K721" s="13">
        <v>0.86</v>
      </c>
      <c r="L721" s="11">
        <v>9.9</v>
      </c>
      <c r="M721" s="10">
        <v>4</v>
      </c>
    </row>
    <row r="722" spans="1:13" x14ac:dyDescent="0.3">
      <c r="A722" s="10">
        <v>721</v>
      </c>
      <c r="B722" s="11">
        <v>8.8000000000000007</v>
      </c>
      <c r="C722" s="12">
        <v>0.68500000000000005</v>
      </c>
      <c r="D722" s="13">
        <v>0.26</v>
      </c>
      <c r="E722" s="11">
        <v>1.6</v>
      </c>
      <c r="F722" s="12">
        <v>8.7999999999999995E-2</v>
      </c>
      <c r="G722" s="11">
        <v>16</v>
      </c>
      <c r="H722" s="11">
        <v>23</v>
      </c>
      <c r="I722" s="14">
        <v>0.99694000000000005</v>
      </c>
      <c r="J722" s="13">
        <v>3.32</v>
      </c>
      <c r="K722" s="13">
        <v>0.47</v>
      </c>
      <c r="L722" s="11">
        <v>9.4</v>
      </c>
      <c r="M722" s="10">
        <v>5</v>
      </c>
    </row>
    <row r="723" spans="1:13" x14ac:dyDescent="0.3">
      <c r="A723" s="10">
        <v>722</v>
      </c>
      <c r="B723" s="11">
        <v>7.6</v>
      </c>
      <c r="C723" s="12">
        <v>0.66500000000000004</v>
      </c>
      <c r="D723" s="13">
        <v>0.1</v>
      </c>
      <c r="E723" s="11">
        <v>1.5</v>
      </c>
      <c r="F723" s="12">
        <v>6.6000000000000003E-2</v>
      </c>
      <c r="G723" s="11">
        <v>27</v>
      </c>
      <c r="H723" s="11">
        <v>55</v>
      </c>
      <c r="I723" s="14">
        <v>0.99655000000000005</v>
      </c>
      <c r="J723" s="13">
        <v>3.39</v>
      </c>
      <c r="K723" s="13">
        <v>0.51</v>
      </c>
      <c r="L723" s="11">
        <v>9.3000000000000007</v>
      </c>
      <c r="M723" s="10">
        <v>5</v>
      </c>
    </row>
    <row r="724" spans="1:13" x14ac:dyDescent="0.3">
      <c r="A724" s="10">
        <v>723</v>
      </c>
      <c r="B724" s="11">
        <v>6.7</v>
      </c>
      <c r="C724" s="12">
        <v>0.28000000000000003</v>
      </c>
      <c r="D724" s="13">
        <v>0.28000000000000003</v>
      </c>
      <c r="E724" s="11">
        <v>2.4</v>
      </c>
      <c r="F724" s="12">
        <v>1.2E-2</v>
      </c>
      <c r="G724" s="11">
        <v>36</v>
      </c>
      <c r="H724" s="11">
        <v>100</v>
      </c>
      <c r="I724" s="14">
        <v>0.99063999999999997</v>
      </c>
      <c r="J724" s="13">
        <v>3.26</v>
      </c>
      <c r="K724" s="13">
        <v>0.39</v>
      </c>
      <c r="L724" s="11">
        <v>11.7</v>
      </c>
      <c r="M724" s="10">
        <v>7</v>
      </c>
    </row>
    <row r="725" spans="1:13" x14ac:dyDescent="0.3">
      <c r="A725" s="10">
        <v>724</v>
      </c>
      <c r="B725" s="11">
        <v>10.1</v>
      </c>
      <c r="C725" s="12">
        <v>0.31</v>
      </c>
      <c r="D725" s="13">
        <v>0.35</v>
      </c>
      <c r="E725" s="11">
        <v>1.6</v>
      </c>
      <c r="F725" s="12">
        <v>7.4999999999999997E-2</v>
      </c>
      <c r="G725" s="11">
        <v>9</v>
      </c>
      <c r="H725" s="11">
        <v>28</v>
      </c>
      <c r="I725" s="14">
        <v>0.99672000000000005</v>
      </c>
      <c r="J725" s="13">
        <v>3.24</v>
      </c>
      <c r="K725" s="13">
        <v>0.83</v>
      </c>
      <c r="L725" s="11">
        <v>11.2</v>
      </c>
      <c r="M725" s="10">
        <v>7</v>
      </c>
    </row>
    <row r="726" spans="1:13" x14ac:dyDescent="0.3">
      <c r="A726" s="10">
        <v>725</v>
      </c>
      <c r="B726" s="11">
        <v>6</v>
      </c>
      <c r="C726" s="12">
        <v>0.5</v>
      </c>
      <c r="D726" s="13">
        <v>0.04</v>
      </c>
      <c r="E726" s="11">
        <v>2.2000000000000002</v>
      </c>
      <c r="F726" s="12">
        <v>9.1999999999999998E-2</v>
      </c>
      <c r="G726" s="11">
        <v>13</v>
      </c>
      <c r="H726" s="11">
        <v>26</v>
      </c>
      <c r="I726" s="14">
        <v>0.99646999999999997</v>
      </c>
      <c r="J726" s="13">
        <v>3.46</v>
      </c>
      <c r="K726" s="13">
        <v>0.47</v>
      </c>
      <c r="L726" s="11">
        <v>10</v>
      </c>
      <c r="M726" s="10">
        <v>5</v>
      </c>
    </row>
    <row r="727" spans="1:13" x14ac:dyDescent="0.3">
      <c r="A727" s="10">
        <v>726</v>
      </c>
      <c r="B727" s="11">
        <v>11.1</v>
      </c>
      <c r="C727" s="12">
        <v>0.42</v>
      </c>
      <c r="D727" s="13">
        <v>0.47</v>
      </c>
      <c r="E727" s="11">
        <v>2.65</v>
      </c>
      <c r="F727" s="12">
        <v>8.5000000000000006E-2</v>
      </c>
      <c r="G727" s="11">
        <v>9</v>
      </c>
      <c r="H727" s="11">
        <v>34</v>
      </c>
      <c r="I727" s="14">
        <v>0.99736000000000002</v>
      </c>
      <c r="J727" s="13">
        <v>3.24</v>
      </c>
      <c r="K727" s="13">
        <v>0.77</v>
      </c>
      <c r="L727" s="11">
        <v>12.1</v>
      </c>
      <c r="M727" s="10">
        <v>7</v>
      </c>
    </row>
    <row r="728" spans="1:13" x14ac:dyDescent="0.3">
      <c r="A728" s="10">
        <v>727</v>
      </c>
      <c r="B728" s="11">
        <v>6.6</v>
      </c>
      <c r="C728" s="12">
        <v>0.66</v>
      </c>
      <c r="D728" s="13">
        <v>0</v>
      </c>
      <c r="E728" s="11">
        <v>3</v>
      </c>
      <c r="F728" s="12">
        <v>0.115</v>
      </c>
      <c r="G728" s="11">
        <v>21</v>
      </c>
      <c r="H728" s="11">
        <v>31</v>
      </c>
      <c r="I728" s="14">
        <v>0.99629000000000001</v>
      </c>
      <c r="J728" s="13">
        <v>3.45</v>
      </c>
      <c r="K728" s="13">
        <v>0.63</v>
      </c>
      <c r="L728" s="11">
        <v>10.3</v>
      </c>
      <c r="M728" s="10">
        <v>5</v>
      </c>
    </row>
    <row r="729" spans="1:13" x14ac:dyDescent="0.3">
      <c r="A729" s="10">
        <v>728</v>
      </c>
      <c r="B729" s="11">
        <v>10.6</v>
      </c>
      <c r="C729" s="12">
        <v>0.5</v>
      </c>
      <c r="D729" s="13">
        <v>0.45</v>
      </c>
      <c r="E729" s="11">
        <v>2.6</v>
      </c>
      <c r="F729" s="12">
        <v>0.11899999999999999</v>
      </c>
      <c r="G729" s="11">
        <v>34</v>
      </c>
      <c r="H729" s="11">
        <v>68</v>
      </c>
      <c r="I729" s="14">
        <v>0.99707999999999997</v>
      </c>
      <c r="J729" s="13">
        <v>3.23</v>
      </c>
      <c r="K729" s="13">
        <v>0.72</v>
      </c>
      <c r="L729" s="11">
        <v>10.9</v>
      </c>
      <c r="M729" s="10">
        <v>6</v>
      </c>
    </row>
    <row r="730" spans="1:13" x14ac:dyDescent="0.3">
      <c r="A730" s="10">
        <v>729</v>
      </c>
      <c r="B730" s="11">
        <v>7.1</v>
      </c>
      <c r="C730" s="12">
        <v>0.68500000000000005</v>
      </c>
      <c r="D730" s="13">
        <v>0.35</v>
      </c>
      <c r="E730" s="11">
        <v>2</v>
      </c>
      <c r="F730" s="12">
        <v>8.7999999999999995E-2</v>
      </c>
      <c r="G730" s="11">
        <v>9</v>
      </c>
      <c r="H730" s="11">
        <v>92</v>
      </c>
      <c r="I730" s="14">
        <v>0.99629999999999996</v>
      </c>
      <c r="J730" s="13">
        <v>3.28</v>
      </c>
      <c r="K730" s="13">
        <v>0.62</v>
      </c>
      <c r="L730" s="11">
        <v>9.4</v>
      </c>
      <c r="M730" s="10">
        <v>5</v>
      </c>
    </row>
    <row r="731" spans="1:13" x14ac:dyDescent="0.3">
      <c r="A731" s="10">
        <v>730</v>
      </c>
      <c r="B731" s="11">
        <v>9.9</v>
      </c>
      <c r="C731" s="12">
        <v>0.25</v>
      </c>
      <c r="D731" s="13">
        <v>0.46</v>
      </c>
      <c r="E731" s="11">
        <v>1.7</v>
      </c>
      <c r="F731" s="12">
        <v>6.2E-2</v>
      </c>
      <c r="G731" s="11">
        <v>26</v>
      </c>
      <c r="H731" s="11">
        <v>42</v>
      </c>
      <c r="I731" s="14">
        <v>0.99590000000000001</v>
      </c>
      <c r="J731" s="13">
        <v>3.18</v>
      </c>
      <c r="K731" s="13">
        <v>0.83</v>
      </c>
      <c r="L731" s="11">
        <v>10.6</v>
      </c>
      <c r="M731" s="10">
        <v>6</v>
      </c>
    </row>
    <row r="732" spans="1:13" x14ac:dyDescent="0.3">
      <c r="A732" s="10">
        <v>731</v>
      </c>
      <c r="B732" s="11">
        <v>6.4</v>
      </c>
      <c r="C732" s="12">
        <v>0.64</v>
      </c>
      <c r="D732" s="13">
        <v>0.21</v>
      </c>
      <c r="E732" s="11">
        <v>1.8</v>
      </c>
      <c r="F732" s="12">
        <v>8.1000000000000003E-2</v>
      </c>
      <c r="G732" s="11">
        <v>14</v>
      </c>
      <c r="H732" s="11">
        <v>31</v>
      </c>
      <c r="I732" s="14">
        <v>0.99689000000000005</v>
      </c>
      <c r="J732" s="13">
        <v>3.59</v>
      </c>
      <c r="K732" s="13">
        <v>0.66</v>
      </c>
      <c r="L732" s="11">
        <v>9.8000000000000007</v>
      </c>
      <c r="M732" s="10">
        <v>5</v>
      </c>
    </row>
    <row r="733" spans="1:13" x14ac:dyDescent="0.3">
      <c r="A733" s="10">
        <v>732</v>
      </c>
      <c r="B733" s="11">
        <v>7.4</v>
      </c>
      <c r="C733" s="12">
        <v>0.68</v>
      </c>
      <c r="D733" s="13">
        <v>0.16</v>
      </c>
      <c r="E733" s="11">
        <v>1.8</v>
      </c>
      <c r="F733" s="12">
        <v>7.8E-2</v>
      </c>
      <c r="G733" s="11">
        <v>12</v>
      </c>
      <c r="H733" s="11">
        <v>39</v>
      </c>
      <c r="I733" s="14">
        <v>0.99770000000000003</v>
      </c>
      <c r="J733" s="13">
        <v>3.5</v>
      </c>
      <c r="K733" s="13">
        <v>0.7</v>
      </c>
      <c r="L733" s="11">
        <v>9.9</v>
      </c>
      <c r="M733" s="10">
        <v>6</v>
      </c>
    </row>
    <row r="734" spans="1:13" x14ac:dyDescent="0.3">
      <c r="A734" s="10">
        <v>733</v>
      </c>
      <c r="B734" s="11">
        <v>6.4</v>
      </c>
      <c r="C734" s="12">
        <v>0.63</v>
      </c>
      <c r="D734" s="13">
        <v>0.21</v>
      </c>
      <c r="E734" s="11">
        <v>1.6</v>
      </c>
      <c r="F734" s="12">
        <v>0.08</v>
      </c>
      <c r="G734" s="11">
        <v>12</v>
      </c>
      <c r="H734" s="11">
        <v>32</v>
      </c>
      <c r="I734" s="14">
        <v>0.99689000000000005</v>
      </c>
      <c r="J734" s="13">
        <v>3.58</v>
      </c>
      <c r="K734" s="13">
        <v>0.66</v>
      </c>
      <c r="L734" s="11">
        <v>9.8000000000000007</v>
      </c>
      <c r="M734" s="10">
        <v>5</v>
      </c>
    </row>
    <row r="735" spans="1:13" x14ac:dyDescent="0.3">
      <c r="A735" s="10">
        <v>734</v>
      </c>
      <c r="B735" s="11">
        <v>9.3000000000000007</v>
      </c>
      <c r="C735" s="12">
        <v>0.43</v>
      </c>
      <c r="D735" s="13">
        <v>0.44</v>
      </c>
      <c r="E735" s="11">
        <v>1.9</v>
      </c>
      <c r="F735" s="12">
        <v>8.5000000000000006E-2</v>
      </c>
      <c r="G735" s="11">
        <v>9</v>
      </c>
      <c r="H735" s="11">
        <v>22</v>
      </c>
      <c r="I735" s="14">
        <v>0.99707999999999997</v>
      </c>
      <c r="J735" s="13">
        <v>3.28</v>
      </c>
      <c r="K735" s="13">
        <v>0.55000000000000004</v>
      </c>
      <c r="L735" s="11">
        <v>9.5</v>
      </c>
      <c r="M735" s="10">
        <v>5</v>
      </c>
    </row>
    <row r="736" spans="1:13" x14ac:dyDescent="0.3">
      <c r="A736" s="10">
        <v>735</v>
      </c>
      <c r="B736" s="11">
        <v>8</v>
      </c>
      <c r="C736" s="12">
        <v>0.42</v>
      </c>
      <c r="D736" s="13">
        <v>0.32</v>
      </c>
      <c r="E736" s="11">
        <v>2.5</v>
      </c>
      <c r="F736" s="12">
        <v>0.08</v>
      </c>
      <c r="G736" s="11">
        <v>26</v>
      </c>
      <c r="H736" s="11">
        <v>122</v>
      </c>
      <c r="I736" s="14">
        <v>0.99800999999999995</v>
      </c>
      <c r="J736" s="13">
        <v>3.22</v>
      </c>
      <c r="K736" s="13">
        <v>1.07</v>
      </c>
      <c r="L736" s="11">
        <v>9.6999999999999993</v>
      </c>
      <c r="M736" s="10">
        <v>5</v>
      </c>
    </row>
    <row r="737" spans="1:13" x14ac:dyDescent="0.3">
      <c r="A737" s="10">
        <v>736</v>
      </c>
      <c r="B737" s="11">
        <v>9.3000000000000007</v>
      </c>
      <c r="C737" s="12">
        <v>0.36</v>
      </c>
      <c r="D737" s="13">
        <v>0.39</v>
      </c>
      <c r="E737" s="11">
        <v>1.5</v>
      </c>
      <c r="F737" s="12">
        <v>0.08</v>
      </c>
      <c r="G737" s="11">
        <v>41</v>
      </c>
      <c r="H737" s="11">
        <v>55</v>
      </c>
      <c r="I737" s="14">
        <v>0.99651999999999996</v>
      </c>
      <c r="J737" s="13">
        <v>3.47</v>
      </c>
      <c r="K737" s="13">
        <v>0.73</v>
      </c>
      <c r="L737" s="11">
        <v>10.9</v>
      </c>
      <c r="M737" s="10">
        <v>6</v>
      </c>
    </row>
    <row r="738" spans="1:13" x14ac:dyDescent="0.3">
      <c r="A738" s="10">
        <v>737</v>
      </c>
      <c r="B738" s="11">
        <v>7.6</v>
      </c>
      <c r="C738" s="12">
        <v>0.73499999999999999</v>
      </c>
      <c r="D738" s="13">
        <v>0.02</v>
      </c>
      <c r="E738" s="11">
        <v>2.5</v>
      </c>
      <c r="F738" s="12">
        <v>7.0999999999999994E-2</v>
      </c>
      <c r="G738" s="11">
        <v>10</v>
      </c>
      <c r="H738" s="11">
        <v>14</v>
      </c>
      <c r="I738" s="14">
        <v>0.99538000000000004</v>
      </c>
      <c r="J738" s="13">
        <v>3.51</v>
      </c>
      <c r="K738" s="13">
        <v>0.71</v>
      </c>
      <c r="L738" s="11">
        <v>11.7</v>
      </c>
      <c r="M738" s="10">
        <v>7</v>
      </c>
    </row>
    <row r="739" spans="1:13" x14ac:dyDescent="0.3">
      <c r="A739" s="10">
        <v>738</v>
      </c>
      <c r="B739" s="11">
        <v>8.1999999999999993</v>
      </c>
      <c r="C739" s="12">
        <v>0.26</v>
      </c>
      <c r="D739" s="13">
        <v>0.34</v>
      </c>
      <c r="E739" s="11">
        <v>2.5</v>
      </c>
      <c r="F739" s="12">
        <v>7.2999999999999995E-2</v>
      </c>
      <c r="G739" s="11">
        <v>16</v>
      </c>
      <c r="H739" s="11">
        <v>47</v>
      </c>
      <c r="I739" s="14">
        <v>0.99594000000000005</v>
      </c>
      <c r="J739" s="13">
        <v>3.4</v>
      </c>
      <c r="K739" s="13">
        <v>0.78</v>
      </c>
      <c r="L739" s="11">
        <v>11.3</v>
      </c>
      <c r="M739" s="10">
        <v>7</v>
      </c>
    </row>
    <row r="740" spans="1:13" x14ac:dyDescent="0.3">
      <c r="A740" s="10">
        <v>739</v>
      </c>
      <c r="B740" s="11">
        <v>11.7</v>
      </c>
      <c r="C740" s="12">
        <v>0.28000000000000003</v>
      </c>
      <c r="D740" s="13">
        <v>0.47</v>
      </c>
      <c r="E740" s="11">
        <v>1.7</v>
      </c>
      <c r="F740" s="12">
        <v>5.3999999999999999E-2</v>
      </c>
      <c r="G740" s="11">
        <v>17</v>
      </c>
      <c r="H740" s="11">
        <v>32</v>
      </c>
      <c r="I740" s="14">
        <v>0.99685999999999997</v>
      </c>
      <c r="J740" s="13">
        <v>3.15</v>
      </c>
      <c r="K740" s="13">
        <v>0.67</v>
      </c>
      <c r="L740" s="11">
        <v>10.6</v>
      </c>
      <c r="M740" s="10">
        <v>7</v>
      </c>
    </row>
    <row r="741" spans="1:13" x14ac:dyDescent="0.3">
      <c r="A741" s="10">
        <v>740</v>
      </c>
      <c r="B741" s="11">
        <v>6.8</v>
      </c>
      <c r="C741" s="12">
        <v>0.56000000000000005</v>
      </c>
      <c r="D741" s="13">
        <v>0.22</v>
      </c>
      <c r="E741" s="11">
        <v>1.8</v>
      </c>
      <c r="F741" s="12">
        <v>7.3999999999999996E-2</v>
      </c>
      <c r="G741" s="11">
        <v>15</v>
      </c>
      <c r="H741" s="11">
        <v>24</v>
      </c>
      <c r="I741" s="14">
        <v>0.99438000000000004</v>
      </c>
      <c r="J741" s="13">
        <v>3.4</v>
      </c>
      <c r="K741" s="13">
        <v>0.82</v>
      </c>
      <c r="L741" s="11">
        <v>11.2</v>
      </c>
      <c r="M741" s="10">
        <v>6</v>
      </c>
    </row>
    <row r="742" spans="1:13" x14ac:dyDescent="0.3">
      <c r="A742" s="10">
        <v>741</v>
      </c>
      <c r="B742" s="11">
        <v>7.2</v>
      </c>
      <c r="C742" s="12">
        <v>0.62</v>
      </c>
      <c r="D742" s="13">
        <v>0.06</v>
      </c>
      <c r="E742" s="11">
        <v>2.7</v>
      </c>
      <c r="F742" s="12">
        <v>7.6999999999999999E-2</v>
      </c>
      <c r="G742" s="11">
        <v>15</v>
      </c>
      <c r="H742" s="11">
        <v>85</v>
      </c>
      <c r="I742" s="14">
        <v>0.99746000000000001</v>
      </c>
      <c r="J742" s="13">
        <v>3.51</v>
      </c>
      <c r="K742" s="13">
        <v>0.54</v>
      </c>
      <c r="L742" s="11">
        <v>9.5</v>
      </c>
      <c r="M742" s="10">
        <v>5</v>
      </c>
    </row>
    <row r="743" spans="1:13" x14ac:dyDescent="0.3">
      <c r="A743" s="10">
        <v>742</v>
      </c>
      <c r="B743" s="11">
        <v>5.8</v>
      </c>
      <c r="C743" s="12">
        <v>1.01</v>
      </c>
      <c r="D743" s="13">
        <v>0.66</v>
      </c>
      <c r="E743" s="11">
        <v>2</v>
      </c>
      <c r="F743" s="12">
        <v>3.9E-2</v>
      </c>
      <c r="G743" s="11">
        <v>15</v>
      </c>
      <c r="H743" s="11">
        <v>88</v>
      </c>
      <c r="I743" s="14">
        <v>0.99356999999999995</v>
      </c>
      <c r="J743" s="13">
        <v>3.66</v>
      </c>
      <c r="K743" s="13">
        <v>0.6</v>
      </c>
      <c r="L743" s="11">
        <v>11.5</v>
      </c>
      <c r="M743" s="10">
        <v>6</v>
      </c>
    </row>
    <row r="744" spans="1:13" x14ac:dyDescent="0.3">
      <c r="A744" s="10">
        <v>743</v>
      </c>
      <c r="B744" s="11">
        <v>7.5</v>
      </c>
      <c r="C744" s="12">
        <v>0.42</v>
      </c>
      <c r="D744" s="13">
        <v>0.32</v>
      </c>
      <c r="E744" s="11">
        <v>2.7</v>
      </c>
      <c r="F744" s="12">
        <v>6.7000000000000004E-2</v>
      </c>
      <c r="G744" s="11">
        <v>7</v>
      </c>
      <c r="H744" s="11">
        <v>25</v>
      </c>
      <c r="I744" s="14">
        <v>0.99628000000000005</v>
      </c>
      <c r="J744" s="13">
        <v>3.24</v>
      </c>
      <c r="K744" s="13">
        <v>0.44</v>
      </c>
      <c r="L744" s="11">
        <v>10.4</v>
      </c>
      <c r="M744" s="10">
        <v>5</v>
      </c>
    </row>
    <row r="745" spans="1:13" x14ac:dyDescent="0.3">
      <c r="A745" s="10">
        <v>744</v>
      </c>
      <c r="B745" s="11">
        <v>7.2</v>
      </c>
      <c r="C745" s="12">
        <v>0.62</v>
      </c>
      <c r="D745" s="13">
        <v>0.06</v>
      </c>
      <c r="E745" s="11">
        <v>2.5</v>
      </c>
      <c r="F745" s="12">
        <v>7.8E-2</v>
      </c>
      <c r="G745" s="11">
        <v>17</v>
      </c>
      <c r="H745" s="11">
        <v>84</v>
      </c>
      <c r="I745" s="14">
        <v>0.99746000000000001</v>
      </c>
      <c r="J745" s="13">
        <v>3.51</v>
      </c>
      <c r="K745" s="13">
        <v>0.53</v>
      </c>
      <c r="L745" s="11">
        <v>9.6999999999999993</v>
      </c>
      <c r="M745" s="10">
        <v>5</v>
      </c>
    </row>
    <row r="746" spans="1:13" x14ac:dyDescent="0.3">
      <c r="A746" s="10">
        <v>745</v>
      </c>
      <c r="B746" s="11">
        <v>7.2</v>
      </c>
      <c r="C746" s="12">
        <v>0.63500000000000001</v>
      </c>
      <c r="D746" s="13">
        <v>7.0000000000000007E-2</v>
      </c>
      <c r="E746" s="11">
        <v>2.6</v>
      </c>
      <c r="F746" s="12">
        <v>7.6999999999999999E-2</v>
      </c>
      <c r="G746" s="11">
        <v>16</v>
      </c>
      <c r="H746" s="11">
        <v>86</v>
      </c>
      <c r="I746" s="14">
        <v>0.99748000000000003</v>
      </c>
      <c r="J746" s="13">
        <v>3.51</v>
      </c>
      <c r="K746" s="13">
        <v>0.54</v>
      </c>
      <c r="L746" s="11">
        <v>9.6999999999999993</v>
      </c>
      <c r="M746" s="10">
        <v>5</v>
      </c>
    </row>
    <row r="747" spans="1:13" x14ac:dyDescent="0.3">
      <c r="A747" s="10">
        <v>746</v>
      </c>
      <c r="B747" s="11">
        <v>6.8</v>
      </c>
      <c r="C747" s="12">
        <v>0.49</v>
      </c>
      <c r="D747" s="13">
        <v>0.22</v>
      </c>
      <c r="E747" s="11">
        <v>2.2999999999999998</v>
      </c>
      <c r="F747" s="12">
        <v>7.0999999999999994E-2</v>
      </c>
      <c r="G747" s="11">
        <v>13</v>
      </c>
      <c r="H747" s="11">
        <v>24</v>
      </c>
      <c r="I747" s="14">
        <v>0.99438000000000004</v>
      </c>
      <c r="J747" s="13">
        <v>3.41</v>
      </c>
      <c r="K747" s="13">
        <v>0.83</v>
      </c>
      <c r="L747" s="11">
        <v>11.3</v>
      </c>
      <c r="M747" s="10">
        <v>6</v>
      </c>
    </row>
    <row r="748" spans="1:13" x14ac:dyDescent="0.3">
      <c r="A748" s="10">
        <v>747</v>
      </c>
      <c r="B748" s="11">
        <v>6.9</v>
      </c>
      <c r="C748" s="12">
        <v>0.51</v>
      </c>
      <c r="D748" s="13">
        <v>0.23</v>
      </c>
      <c r="E748" s="11">
        <v>2</v>
      </c>
      <c r="F748" s="12">
        <v>7.1999999999999995E-2</v>
      </c>
      <c r="G748" s="11">
        <v>13</v>
      </c>
      <c r="H748" s="11">
        <v>22</v>
      </c>
      <c r="I748" s="14">
        <v>0.99438000000000004</v>
      </c>
      <c r="J748" s="13">
        <v>3.4</v>
      </c>
      <c r="K748" s="13">
        <v>0.84</v>
      </c>
      <c r="L748" s="11">
        <v>11.2</v>
      </c>
      <c r="M748" s="10">
        <v>6</v>
      </c>
    </row>
    <row r="749" spans="1:13" x14ac:dyDescent="0.3">
      <c r="A749" s="10">
        <v>748</v>
      </c>
      <c r="B749" s="11">
        <v>7.6</v>
      </c>
      <c r="C749" s="12">
        <v>0.63</v>
      </c>
      <c r="D749" s="13">
        <v>0.03</v>
      </c>
      <c r="E749" s="11">
        <v>2</v>
      </c>
      <c r="F749" s="12">
        <v>0.08</v>
      </c>
      <c r="G749" s="11">
        <v>27</v>
      </c>
      <c r="H749" s="11">
        <v>43</v>
      </c>
      <c r="I749" s="14">
        <v>0.99578</v>
      </c>
      <c r="J749" s="13">
        <v>3.44</v>
      </c>
      <c r="K749" s="13">
        <v>0.64</v>
      </c>
      <c r="L749" s="11">
        <v>10.9</v>
      </c>
      <c r="M749" s="10">
        <v>6</v>
      </c>
    </row>
    <row r="750" spans="1:13" x14ac:dyDescent="0.3">
      <c r="A750" s="10">
        <v>749</v>
      </c>
      <c r="B750" s="11">
        <v>7.7</v>
      </c>
      <c r="C750" s="12">
        <v>0.71499999999999997</v>
      </c>
      <c r="D750" s="13">
        <v>0.01</v>
      </c>
      <c r="E750" s="11">
        <v>2.1</v>
      </c>
      <c r="F750" s="12">
        <v>6.4000000000000001E-2</v>
      </c>
      <c r="G750" s="11">
        <v>31</v>
      </c>
      <c r="H750" s="11">
        <v>43</v>
      </c>
      <c r="I750" s="14">
        <v>0.99370999999999998</v>
      </c>
      <c r="J750" s="13">
        <v>3.41</v>
      </c>
      <c r="K750" s="13">
        <v>0.56999999999999995</v>
      </c>
      <c r="L750" s="11">
        <v>11.8</v>
      </c>
      <c r="M750" s="10">
        <v>6</v>
      </c>
    </row>
    <row r="751" spans="1:13" x14ac:dyDescent="0.3">
      <c r="A751" s="10">
        <v>750</v>
      </c>
      <c r="B751" s="11">
        <v>6.9</v>
      </c>
      <c r="C751" s="12">
        <v>0.56000000000000005</v>
      </c>
      <c r="D751" s="13">
        <v>0.03</v>
      </c>
      <c r="E751" s="11">
        <v>1.5</v>
      </c>
      <c r="F751" s="12">
        <v>8.5999999999999993E-2</v>
      </c>
      <c r="G751" s="11">
        <v>36</v>
      </c>
      <c r="H751" s="11">
        <v>46</v>
      </c>
      <c r="I751" s="14">
        <v>0.99521999999999999</v>
      </c>
      <c r="J751" s="13">
        <v>3.53</v>
      </c>
      <c r="K751" s="13">
        <v>0.56999999999999995</v>
      </c>
      <c r="L751" s="11">
        <v>10.6</v>
      </c>
      <c r="M751" s="10">
        <v>5</v>
      </c>
    </row>
    <row r="752" spans="1:13" x14ac:dyDescent="0.3">
      <c r="A752" s="10">
        <v>751</v>
      </c>
      <c r="B752" s="11">
        <v>7.3</v>
      </c>
      <c r="C752" s="12">
        <v>0.35</v>
      </c>
      <c r="D752" s="13">
        <v>0.24</v>
      </c>
      <c r="E752" s="11">
        <v>2</v>
      </c>
      <c r="F752" s="12">
        <v>6.7000000000000004E-2</v>
      </c>
      <c r="G752" s="11">
        <v>28</v>
      </c>
      <c r="H752" s="11">
        <v>48</v>
      </c>
      <c r="I752" s="14">
        <v>0.99575999999999998</v>
      </c>
      <c r="J752" s="13">
        <v>3.43</v>
      </c>
      <c r="K752" s="13">
        <v>0.54</v>
      </c>
      <c r="L752" s="11">
        <v>10</v>
      </c>
      <c r="M752" s="10">
        <v>4</v>
      </c>
    </row>
    <row r="753" spans="1:13" x14ac:dyDescent="0.3">
      <c r="A753" s="10">
        <v>752</v>
      </c>
      <c r="B753" s="11">
        <v>9.1</v>
      </c>
      <c r="C753" s="12">
        <v>0.21</v>
      </c>
      <c r="D753" s="13">
        <v>0.37</v>
      </c>
      <c r="E753" s="11">
        <v>1.6</v>
      </c>
      <c r="F753" s="12">
        <v>6.7000000000000004E-2</v>
      </c>
      <c r="G753" s="11">
        <v>6</v>
      </c>
      <c r="H753" s="11">
        <v>10</v>
      </c>
      <c r="I753" s="14">
        <v>0.99551999999999996</v>
      </c>
      <c r="J753" s="13">
        <v>3.23</v>
      </c>
      <c r="K753" s="13">
        <v>0.57999999999999996</v>
      </c>
      <c r="L753" s="11">
        <v>11.1</v>
      </c>
      <c r="M753" s="10">
        <v>7</v>
      </c>
    </row>
    <row r="754" spans="1:13" x14ac:dyDescent="0.3">
      <c r="A754" s="10">
        <v>753</v>
      </c>
      <c r="B754" s="11">
        <v>10.4</v>
      </c>
      <c r="C754" s="12">
        <v>0.38</v>
      </c>
      <c r="D754" s="13">
        <v>0.46</v>
      </c>
      <c r="E754" s="11">
        <v>2.1</v>
      </c>
      <c r="F754" s="12">
        <v>0.104</v>
      </c>
      <c r="G754" s="11">
        <v>6</v>
      </c>
      <c r="H754" s="11">
        <v>10</v>
      </c>
      <c r="I754" s="14">
        <v>0.99663999999999997</v>
      </c>
      <c r="J754" s="13">
        <v>3.12</v>
      </c>
      <c r="K754" s="13">
        <v>0.65</v>
      </c>
      <c r="L754" s="11">
        <v>11.8</v>
      </c>
      <c r="M754" s="10">
        <v>7</v>
      </c>
    </row>
    <row r="755" spans="1:13" x14ac:dyDescent="0.3">
      <c r="A755" s="10">
        <v>754</v>
      </c>
      <c r="B755" s="11">
        <v>8.8000000000000007</v>
      </c>
      <c r="C755" s="12">
        <v>0.31</v>
      </c>
      <c r="D755" s="13">
        <v>0.4</v>
      </c>
      <c r="E755" s="11">
        <v>2.8</v>
      </c>
      <c r="F755" s="12">
        <v>0.109</v>
      </c>
      <c r="G755" s="11">
        <v>7</v>
      </c>
      <c r="H755" s="11">
        <v>16</v>
      </c>
      <c r="I755" s="14">
        <v>0.99614000000000003</v>
      </c>
      <c r="J755" s="13">
        <v>3.31</v>
      </c>
      <c r="K755" s="13">
        <v>0.79</v>
      </c>
      <c r="L755" s="11">
        <v>11.8</v>
      </c>
      <c r="M755" s="10">
        <v>7</v>
      </c>
    </row>
    <row r="756" spans="1:13" x14ac:dyDescent="0.3">
      <c r="A756" s="10">
        <v>755</v>
      </c>
      <c r="B756" s="11">
        <v>7.1</v>
      </c>
      <c r="C756" s="12">
        <v>0.47</v>
      </c>
      <c r="D756" s="13">
        <v>0</v>
      </c>
      <c r="E756" s="11">
        <v>2.2000000000000002</v>
      </c>
      <c r="F756" s="12">
        <v>6.7000000000000004E-2</v>
      </c>
      <c r="G756" s="11">
        <v>7</v>
      </c>
      <c r="H756" s="11">
        <v>14</v>
      </c>
      <c r="I756" s="14">
        <v>0.99517</v>
      </c>
      <c r="J756" s="13">
        <v>3.4</v>
      </c>
      <c r="K756" s="13">
        <v>0.57999999999999996</v>
      </c>
      <c r="L756" s="11">
        <v>10.9</v>
      </c>
      <c r="M756" s="10">
        <v>4</v>
      </c>
    </row>
    <row r="757" spans="1:13" x14ac:dyDescent="0.3">
      <c r="A757" s="10">
        <v>756</v>
      </c>
      <c r="B757" s="11">
        <v>8.8000000000000007</v>
      </c>
      <c r="C757" s="12">
        <v>0.61</v>
      </c>
      <c r="D757" s="13">
        <v>0.19</v>
      </c>
      <c r="E757" s="11">
        <v>4</v>
      </c>
      <c r="F757" s="12">
        <v>9.4E-2</v>
      </c>
      <c r="G757" s="11">
        <v>30</v>
      </c>
      <c r="H757" s="11">
        <v>69</v>
      </c>
      <c r="I757" s="14">
        <v>0.99787000000000003</v>
      </c>
      <c r="J757" s="13">
        <v>3.22</v>
      </c>
      <c r="K757" s="13">
        <v>0.5</v>
      </c>
      <c r="L757" s="11">
        <v>10</v>
      </c>
      <c r="M757" s="10">
        <v>6</v>
      </c>
    </row>
    <row r="758" spans="1:13" x14ac:dyDescent="0.3">
      <c r="A758" s="10">
        <v>757</v>
      </c>
      <c r="B758" s="11">
        <v>7.2</v>
      </c>
      <c r="C758" s="12">
        <v>0.6</v>
      </c>
      <c r="D758" s="13">
        <v>0.04</v>
      </c>
      <c r="E758" s="11">
        <v>2.5</v>
      </c>
      <c r="F758" s="12">
        <v>7.5999999999999998E-2</v>
      </c>
      <c r="G758" s="11">
        <v>18</v>
      </c>
      <c r="H758" s="11">
        <v>88</v>
      </c>
      <c r="I758" s="14">
        <v>0.99744999999999995</v>
      </c>
      <c r="J758" s="13">
        <v>3.53</v>
      </c>
      <c r="K758" s="13">
        <v>0.55000000000000004</v>
      </c>
      <c r="L758" s="11">
        <v>9.5</v>
      </c>
      <c r="M758" s="10">
        <v>5</v>
      </c>
    </row>
    <row r="759" spans="1:13" x14ac:dyDescent="0.3">
      <c r="A759" s="10">
        <v>758</v>
      </c>
      <c r="B759" s="11">
        <v>9.1999999999999993</v>
      </c>
      <c r="C759" s="12">
        <v>0.56000000000000005</v>
      </c>
      <c r="D759" s="13">
        <v>0.18</v>
      </c>
      <c r="E759" s="11">
        <v>1.6</v>
      </c>
      <c r="F759" s="12">
        <v>7.8E-2</v>
      </c>
      <c r="G759" s="11">
        <v>10</v>
      </c>
      <c r="H759" s="11">
        <v>21</v>
      </c>
      <c r="I759" s="14">
        <v>0.99575999999999998</v>
      </c>
      <c r="J759" s="13">
        <v>3.15</v>
      </c>
      <c r="K759" s="13">
        <v>0.49</v>
      </c>
      <c r="L759" s="11">
        <v>9.9</v>
      </c>
      <c r="M759" s="10">
        <v>5</v>
      </c>
    </row>
    <row r="760" spans="1:13" x14ac:dyDescent="0.3">
      <c r="A760" s="10">
        <v>759</v>
      </c>
      <c r="B760" s="11">
        <v>7.6</v>
      </c>
      <c r="C760" s="12">
        <v>0.71499999999999997</v>
      </c>
      <c r="D760" s="13">
        <v>0</v>
      </c>
      <c r="E760" s="11">
        <v>2.1</v>
      </c>
      <c r="F760" s="12">
        <v>6.8000000000000005E-2</v>
      </c>
      <c r="G760" s="11">
        <v>30</v>
      </c>
      <c r="H760" s="11">
        <v>35</v>
      </c>
      <c r="I760" s="14">
        <v>0.99533000000000005</v>
      </c>
      <c r="J760" s="13">
        <v>3.48</v>
      </c>
      <c r="K760" s="13">
        <v>0.65</v>
      </c>
      <c r="L760" s="11">
        <v>11.4</v>
      </c>
      <c r="M760" s="10">
        <v>6</v>
      </c>
    </row>
    <row r="761" spans="1:13" x14ac:dyDescent="0.3">
      <c r="A761" s="10">
        <v>760</v>
      </c>
      <c r="B761" s="11">
        <v>8.4</v>
      </c>
      <c r="C761" s="12">
        <v>0.31</v>
      </c>
      <c r="D761" s="13">
        <v>0.28999999999999998</v>
      </c>
      <c r="E761" s="11">
        <v>3.1</v>
      </c>
      <c r="F761" s="12">
        <v>0.19400000000000001</v>
      </c>
      <c r="G761" s="11">
        <v>14</v>
      </c>
      <c r="H761" s="11">
        <v>26</v>
      </c>
      <c r="I761" s="14">
        <v>0.99536000000000002</v>
      </c>
      <c r="J761" s="13">
        <v>3.22</v>
      </c>
      <c r="K761" s="13">
        <v>0.78</v>
      </c>
      <c r="L761" s="11">
        <v>12</v>
      </c>
      <c r="M761" s="10">
        <v>6</v>
      </c>
    </row>
    <row r="762" spans="1:13" x14ac:dyDescent="0.3">
      <c r="A762" s="10">
        <v>761</v>
      </c>
      <c r="B762" s="11">
        <v>8.9</v>
      </c>
      <c r="C762" s="12">
        <v>0.75</v>
      </c>
      <c r="D762" s="13">
        <v>0.14000000000000001</v>
      </c>
      <c r="E762" s="11">
        <v>2.5</v>
      </c>
      <c r="F762" s="12">
        <v>8.5999999999999993E-2</v>
      </c>
      <c r="G762" s="11">
        <v>9</v>
      </c>
      <c r="H762" s="11">
        <v>30</v>
      </c>
      <c r="I762" s="14">
        <v>0.99824000000000002</v>
      </c>
      <c r="J762" s="13">
        <v>3.34</v>
      </c>
      <c r="K762" s="13">
        <v>0.64</v>
      </c>
      <c r="L762" s="11">
        <v>10.5</v>
      </c>
      <c r="M762" s="10">
        <v>5</v>
      </c>
    </row>
    <row r="763" spans="1:13" x14ac:dyDescent="0.3">
      <c r="A763" s="10">
        <v>762</v>
      </c>
      <c r="B763" s="11">
        <v>9</v>
      </c>
      <c r="C763" s="12">
        <v>0.8</v>
      </c>
      <c r="D763" s="13">
        <v>0.12</v>
      </c>
      <c r="E763" s="11">
        <v>2.4</v>
      </c>
      <c r="F763" s="12">
        <v>8.3000000000000004E-2</v>
      </c>
      <c r="G763" s="11">
        <v>8</v>
      </c>
      <c r="H763" s="11">
        <v>28</v>
      </c>
      <c r="I763" s="14">
        <v>0.99836000000000003</v>
      </c>
      <c r="J763" s="13">
        <v>3.33</v>
      </c>
      <c r="K763" s="13">
        <v>0.65</v>
      </c>
      <c r="L763" s="11">
        <v>10.4</v>
      </c>
      <c r="M763" s="10">
        <v>6</v>
      </c>
    </row>
    <row r="764" spans="1:13" x14ac:dyDescent="0.3">
      <c r="A764" s="10">
        <v>763</v>
      </c>
      <c r="B764" s="11">
        <v>10.7</v>
      </c>
      <c r="C764" s="12">
        <v>0.52</v>
      </c>
      <c r="D764" s="13">
        <v>0.38</v>
      </c>
      <c r="E764" s="11">
        <v>2.6</v>
      </c>
      <c r="F764" s="12">
        <v>6.6000000000000003E-2</v>
      </c>
      <c r="G764" s="11">
        <v>29</v>
      </c>
      <c r="H764" s="11">
        <v>56</v>
      </c>
      <c r="I764" s="14">
        <v>0.99577000000000004</v>
      </c>
      <c r="J764" s="13">
        <v>3.15</v>
      </c>
      <c r="K764" s="13">
        <v>0.79</v>
      </c>
      <c r="L764" s="11">
        <v>12.1</v>
      </c>
      <c r="M764" s="10">
        <v>7</v>
      </c>
    </row>
    <row r="765" spans="1:13" x14ac:dyDescent="0.3">
      <c r="A765" s="10">
        <v>764</v>
      </c>
      <c r="B765" s="11">
        <v>6.8</v>
      </c>
      <c r="C765" s="12">
        <v>0.56999999999999995</v>
      </c>
      <c r="D765" s="13">
        <v>0</v>
      </c>
      <c r="E765" s="11">
        <v>2.5</v>
      </c>
      <c r="F765" s="12">
        <v>7.1999999999999995E-2</v>
      </c>
      <c r="G765" s="11">
        <v>32</v>
      </c>
      <c r="H765" s="11">
        <v>64</v>
      </c>
      <c r="I765" s="14">
        <v>0.99490999999999996</v>
      </c>
      <c r="J765" s="13">
        <v>3.43</v>
      </c>
      <c r="K765" s="13">
        <v>0.56000000000000005</v>
      </c>
      <c r="L765" s="11">
        <v>11.2</v>
      </c>
      <c r="M765" s="10">
        <v>6</v>
      </c>
    </row>
    <row r="766" spans="1:13" x14ac:dyDescent="0.3">
      <c r="A766" s="10">
        <v>765</v>
      </c>
      <c r="B766" s="11">
        <v>10.7</v>
      </c>
      <c r="C766" s="12">
        <v>0.9</v>
      </c>
      <c r="D766" s="13">
        <v>0.34</v>
      </c>
      <c r="E766" s="11">
        <v>6.6</v>
      </c>
      <c r="F766" s="12">
        <v>0.112</v>
      </c>
      <c r="G766" s="11">
        <v>23</v>
      </c>
      <c r="H766" s="11">
        <v>99</v>
      </c>
      <c r="I766" s="14">
        <v>1.0028900000000001</v>
      </c>
      <c r="J766" s="13">
        <v>3.22</v>
      </c>
      <c r="K766" s="13">
        <v>0.68</v>
      </c>
      <c r="L766" s="11">
        <v>9.3000000000000007</v>
      </c>
      <c r="M766" s="10">
        <v>5</v>
      </c>
    </row>
    <row r="767" spans="1:13" x14ac:dyDescent="0.3">
      <c r="A767" s="10">
        <v>766</v>
      </c>
      <c r="B767" s="11">
        <v>7.2</v>
      </c>
      <c r="C767" s="12">
        <v>0.34</v>
      </c>
      <c r="D767" s="13">
        <v>0.24</v>
      </c>
      <c r="E767" s="11">
        <v>2</v>
      </c>
      <c r="F767" s="12">
        <v>7.0999999999999994E-2</v>
      </c>
      <c r="G767" s="11">
        <v>30</v>
      </c>
      <c r="H767" s="11">
        <v>52</v>
      </c>
      <c r="I767" s="14">
        <v>0.99575999999999998</v>
      </c>
      <c r="J767" s="13">
        <v>3.44</v>
      </c>
      <c r="K767" s="13">
        <v>0.57999999999999996</v>
      </c>
      <c r="L767" s="11">
        <v>10.1</v>
      </c>
      <c r="M767" s="10">
        <v>5</v>
      </c>
    </row>
    <row r="768" spans="1:13" x14ac:dyDescent="0.3">
      <c r="A768" s="10">
        <v>767</v>
      </c>
      <c r="B768" s="11">
        <v>7.2</v>
      </c>
      <c r="C768" s="12">
        <v>0.66</v>
      </c>
      <c r="D768" s="13">
        <v>0.03</v>
      </c>
      <c r="E768" s="11">
        <v>2.2999999999999998</v>
      </c>
      <c r="F768" s="12">
        <v>7.8E-2</v>
      </c>
      <c r="G768" s="11">
        <v>16</v>
      </c>
      <c r="H768" s="11">
        <v>86</v>
      </c>
      <c r="I768" s="14">
        <v>0.99743000000000004</v>
      </c>
      <c r="J768" s="13">
        <v>3.53</v>
      </c>
      <c r="K768" s="13">
        <v>0.56999999999999995</v>
      </c>
      <c r="L768" s="11">
        <v>9.6999999999999993</v>
      </c>
      <c r="M768" s="10">
        <v>5</v>
      </c>
    </row>
    <row r="769" spans="1:13" x14ac:dyDescent="0.3">
      <c r="A769" s="10">
        <v>768</v>
      </c>
      <c r="B769" s="11">
        <v>10.1</v>
      </c>
      <c r="C769" s="12">
        <v>0.45</v>
      </c>
      <c r="D769" s="13">
        <v>0.23</v>
      </c>
      <c r="E769" s="11">
        <v>1.9</v>
      </c>
      <c r="F769" s="12">
        <v>8.2000000000000003E-2</v>
      </c>
      <c r="G769" s="11">
        <v>10</v>
      </c>
      <c r="H769" s="11">
        <v>18</v>
      </c>
      <c r="I769" s="14">
        <v>0.99773999999999996</v>
      </c>
      <c r="J769" s="13">
        <v>3.22</v>
      </c>
      <c r="K769" s="13">
        <v>0.65</v>
      </c>
      <c r="L769" s="11">
        <v>9.3000000000000007</v>
      </c>
      <c r="M769" s="10">
        <v>6</v>
      </c>
    </row>
    <row r="770" spans="1:13" x14ac:dyDescent="0.3">
      <c r="A770" s="10">
        <v>769</v>
      </c>
      <c r="B770" s="11">
        <v>7.2</v>
      </c>
      <c r="C770" s="12">
        <v>0.63</v>
      </c>
      <c r="D770" s="13">
        <v>0.03</v>
      </c>
      <c r="E770" s="11">
        <v>2.2000000000000002</v>
      </c>
      <c r="F770" s="12">
        <v>0.08</v>
      </c>
      <c r="G770" s="11">
        <v>17</v>
      </c>
      <c r="H770" s="11">
        <v>88</v>
      </c>
      <c r="I770" s="14">
        <v>0.99744999999999995</v>
      </c>
      <c r="J770" s="13">
        <v>3.53</v>
      </c>
      <c r="K770" s="13">
        <v>0.57999999999999996</v>
      </c>
      <c r="L770" s="11">
        <v>9.8000000000000007</v>
      </c>
      <c r="M770" s="10">
        <v>6</v>
      </c>
    </row>
    <row r="771" spans="1:13" x14ac:dyDescent="0.3">
      <c r="A771" s="10">
        <v>770</v>
      </c>
      <c r="B771" s="11">
        <v>7.1</v>
      </c>
      <c r="C771" s="12">
        <v>0.59</v>
      </c>
      <c r="D771" s="13">
        <v>0.01</v>
      </c>
      <c r="E771" s="11">
        <v>2.2999999999999998</v>
      </c>
      <c r="F771" s="12">
        <v>0.08</v>
      </c>
      <c r="G771" s="11">
        <v>27</v>
      </c>
      <c r="H771" s="11">
        <v>43</v>
      </c>
      <c r="I771" s="14">
        <v>0.99550000000000005</v>
      </c>
      <c r="J771" s="13">
        <v>3.42</v>
      </c>
      <c r="K771" s="13">
        <v>0.57999999999999996</v>
      </c>
      <c r="L771" s="11">
        <v>10.7</v>
      </c>
      <c r="M771" s="10">
        <v>6</v>
      </c>
    </row>
    <row r="772" spans="1:13" x14ac:dyDescent="0.3">
      <c r="A772" s="10">
        <v>771</v>
      </c>
      <c r="B772" s="11">
        <v>8.3000000000000007</v>
      </c>
      <c r="C772" s="12">
        <v>0.31</v>
      </c>
      <c r="D772" s="13">
        <v>0.39</v>
      </c>
      <c r="E772" s="11">
        <v>2.4</v>
      </c>
      <c r="F772" s="12">
        <v>7.8E-2</v>
      </c>
      <c r="G772" s="11">
        <v>17</v>
      </c>
      <c r="H772" s="11">
        <v>43</v>
      </c>
      <c r="I772" s="14">
        <v>0.99443999999999999</v>
      </c>
      <c r="J772" s="13">
        <v>3.31</v>
      </c>
      <c r="K772" s="13">
        <v>0.77</v>
      </c>
      <c r="L772" s="11">
        <v>12.5</v>
      </c>
      <c r="M772" s="10">
        <v>7</v>
      </c>
    </row>
    <row r="773" spans="1:13" x14ac:dyDescent="0.3">
      <c r="A773" s="10">
        <v>772</v>
      </c>
      <c r="B773" s="11">
        <v>8.3000000000000007</v>
      </c>
      <c r="C773" s="12">
        <v>1.02</v>
      </c>
      <c r="D773" s="13">
        <v>0.02</v>
      </c>
      <c r="E773" s="11">
        <v>3.4</v>
      </c>
      <c r="F773" s="12">
        <v>8.4000000000000005E-2</v>
      </c>
      <c r="G773" s="11">
        <v>6</v>
      </c>
      <c r="H773" s="11">
        <v>11</v>
      </c>
      <c r="I773" s="14">
        <v>0.99892000000000003</v>
      </c>
      <c r="J773" s="13">
        <v>3.48</v>
      </c>
      <c r="K773" s="13">
        <v>0.49</v>
      </c>
      <c r="L773" s="11">
        <v>11</v>
      </c>
      <c r="M773" s="10">
        <v>3</v>
      </c>
    </row>
    <row r="774" spans="1:13" x14ac:dyDescent="0.3">
      <c r="A774" s="10">
        <v>773</v>
      </c>
      <c r="B774" s="11">
        <v>8.9</v>
      </c>
      <c r="C774" s="12">
        <v>0.31</v>
      </c>
      <c r="D774" s="13">
        <v>0.36</v>
      </c>
      <c r="E774" s="11">
        <v>2.6</v>
      </c>
      <c r="F774" s="12">
        <v>5.6000000000000001E-2</v>
      </c>
      <c r="G774" s="11">
        <v>10</v>
      </c>
      <c r="H774" s="11">
        <v>39</v>
      </c>
      <c r="I774" s="14">
        <v>0.99561999999999995</v>
      </c>
      <c r="J774" s="13">
        <v>3.4</v>
      </c>
      <c r="K774" s="13">
        <v>0.69</v>
      </c>
      <c r="L774" s="11">
        <v>11.8</v>
      </c>
      <c r="M774" s="10">
        <v>5</v>
      </c>
    </row>
    <row r="775" spans="1:13" x14ac:dyDescent="0.3">
      <c r="A775" s="10">
        <v>774</v>
      </c>
      <c r="B775" s="11">
        <v>7.4</v>
      </c>
      <c r="C775" s="12">
        <v>0.63500000000000001</v>
      </c>
      <c r="D775" s="13">
        <v>0.1</v>
      </c>
      <c r="E775" s="11">
        <v>2.4</v>
      </c>
      <c r="F775" s="12">
        <v>0.08</v>
      </c>
      <c r="G775" s="11">
        <v>16</v>
      </c>
      <c r="H775" s="11">
        <v>33</v>
      </c>
      <c r="I775" s="14">
        <v>0.99736000000000002</v>
      </c>
      <c r="J775" s="13">
        <v>3.58</v>
      </c>
      <c r="K775" s="13">
        <v>0.69</v>
      </c>
      <c r="L775" s="11">
        <v>10.8</v>
      </c>
      <c r="M775" s="10">
        <v>7</v>
      </c>
    </row>
    <row r="776" spans="1:13" x14ac:dyDescent="0.3">
      <c r="A776" s="10">
        <v>775</v>
      </c>
      <c r="B776" s="11">
        <v>6.8</v>
      </c>
      <c r="C776" s="12">
        <v>0.59</v>
      </c>
      <c r="D776" s="13">
        <v>0.06</v>
      </c>
      <c r="E776" s="11">
        <v>6</v>
      </c>
      <c r="F776" s="12">
        <v>0.06</v>
      </c>
      <c r="G776" s="11">
        <v>11</v>
      </c>
      <c r="H776" s="11">
        <v>18</v>
      </c>
      <c r="I776" s="14">
        <v>0.99619999999999997</v>
      </c>
      <c r="J776" s="13">
        <v>3.41</v>
      </c>
      <c r="K776" s="13">
        <v>0.59</v>
      </c>
      <c r="L776" s="11">
        <v>10.8</v>
      </c>
      <c r="M776" s="10">
        <v>7</v>
      </c>
    </row>
    <row r="777" spans="1:13" x14ac:dyDescent="0.3">
      <c r="A777" s="10">
        <v>776</v>
      </c>
      <c r="B777" s="11">
        <v>9.1999999999999993</v>
      </c>
      <c r="C777" s="12">
        <v>0.57999999999999996</v>
      </c>
      <c r="D777" s="13">
        <v>0.2</v>
      </c>
      <c r="E777" s="11">
        <v>3</v>
      </c>
      <c r="F777" s="12">
        <v>8.1000000000000003E-2</v>
      </c>
      <c r="G777" s="11">
        <v>15</v>
      </c>
      <c r="H777" s="11">
        <v>115</v>
      </c>
      <c r="I777" s="14">
        <v>0.998</v>
      </c>
      <c r="J777" s="13">
        <v>3.23</v>
      </c>
      <c r="K777" s="13">
        <v>0.59</v>
      </c>
      <c r="L777" s="11">
        <v>9.5</v>
      </c>
      <c r="M777" s="10">
        <v>5</v>
      </c>
    </row>
    <row r="778" spans="1:13" x14ac:dyDescent="0.3">
      <c r="A778" s="10">
        <v>777</v>
      </c>
      <c r="B778" s="11">
        <v>7.2</v>
      </c>
      <c r="C778" s="12">
        <v>0.54</v>
      </c>
      <c r="D778" s="13">
        <v>0.27</v>
      </c>
      <c r="E778" s="11">
        <v>2.6</v>
      </c>
      <c r="F778" s="12">
        <v>8.4000000000000005E-2</v>
      </c>
      <c r="G778" s="11">
        <v>12</v>
      </c>
      <c r="H778" s="11">
        <v>78</v>
      </c>
      <c r="I778" s="14">
        <v>0.99639999999999995</v>
      </c>
      <c r="J778" s="13">
        <v>3.39</v>
      </c>
      <c r="K778" s="13">
        <v>0.71</v>
      </c>
      <c r="L778" s="11">
        <v>11</v>
      </c>
      <c r="M778" s="10">
        <v>5</v>
      </c>
    </row>
    <row r="779" spans="1:13" x14ac:dyDescent="0.3">
      <c r="A779" s="10">
        <v>778</v>
      </c>
      <c r="B779" s="11">
        <v>6.1</v>
      </c>
      <c r="C779" s="12">
        <v>0.56000000000000005</v>
      </c>
      <c r="D779" s="13">
        <v>0</v>
      </c>
      <c r="E779" s="11">
        <v>2.2000000000000002</v>
      </c>
      <c r="F779" s="12">
        <v>7.9000000000000001E-2</v>
      </c>
      <c r="G779" s="11">
        <v>6</v>
      </c>
      <c r="H779" s="11">
        <v>9</v>
      </c>
      <c r="I779" s="14">
        <v>0.99480000000000002</v>
      </c>
      <c r="J779" s="13">
        <v>3.59</v>
      </c>
      <c r="K779" s="13">
        <v>0.54</v>
      </c>
      <c r="L779" s="11">
        <v>11.5</v>
      </c>
      <c r="M779" s="10">
        <v>6</v>
      </c>
    </row>
    <row r="780" spans="1:13" x14ac:dyDescent="0.3">
      <c r="A780" s="10">
        <v>779</v>
      </c>
      <c r="B780" s="11">
        <v>7.4</v>
      </c>
      <c r="C780" s="12">
        <v>0.52</v>
      </c>
      <c r="D780" s="13">
        <v>0.13</v>
      </c>
      <c r="E780" s="11">
        <v>2.4</v>
      </c>
      <c r="F780" s="12">
        <v>7.8E-2</v>
      </c>
      <c r="G780" s="11">
        <v>34</v>
      </c>
      <c r="H780" s="11">
        <v>61</v>
      </c>
      <c r="I780" s="14">
        <v>0.99528000000000005</v>
      </c>
      <c r="J780" s="13">
        <v>3.43</v>
      </c>
      <c r="K780" s="13">
        <v>0.59</v>
      </c>
      <c r="L780" s="11">
        <v>10.8</v>
      </c>
      <c r="M780" s="10">
        <v>6</v>
      </c>
    </row>
    <row r="781" spans="1:13" x14ac:dyDescent="0.3">
      <c r="A781" s="10">
        <v>780</v>
      </c>
      <c r="B781" s="11">
        <v>7.3</v>
      </c>
      <c r="C781" s="12">
        <v>0.30499999999999999</v>
      </c>
      <c r="D781" s="13">
        <v>0.39</v>
      </c>
      <c r="E781" s="11">
        <v>1.2</v>
      </c>
      <c r="F781" s="12">
        <v>5.8999999999999997E-2</v>
      </c>
      <c r="G781" s="11">
        <v>7</v>
      </c>
      <c r="H781" s="11">
        <v>11</v>
      </c>
      <c r="I781" s="14">
        <v>0.99331000000000003</v>
      </c>
      <c r="J781" s="13">
        <v>3.29</v>
      </c>
      <c r="K781" s="13">
        <v>0.52</v>
      </c>
      <c r="L781" s="11">
        <v>11.5</v>
      </c>
      <c r="M781" s="10">
        <v>6</v>
      </c>
    </row>
    <row r="782" spans="1:13" x14ac:dyDescent="0.3">
      <c r="A782" s="10">
        <v>781</v>
      </c>
      <c r="B782" s="11">
        <v>9.3000000000000007</v>
      </c>
      <c r="C782" s="12">
        <v>0.38</v>
      </c>
      <c r="D782" s="13">
        <v>0.48</v>
      </c>
      <c r="E782" s="11">
        <v>3.8</v>
      </c>
      <c r="F782" s="12">
        <v>0.13200000000000001</v>
      </c>
      <c r="G782" s="11">
        <v>3</v>
      </c>
      <c r="H782" s="11">
        <v>11</v>
      </c>
      <c r="I782" s="14">
        <v>0.99577000000000004</v>
      </c>
      <c r="J782" s="13">
        <v>3.23</v>
      </c>
      <c r="K782" s="13">
        <v>0.56999999999999995</v>
      </c>
      <c r="L782" s="11">
        <v>13.2</v>
      </c>
      <c r="M782" s="10">
        <v>6</v>
      </c>
    </row>
    <row r="783" spans="1:13" x14ac:dyDescent="0.3">
      <c r="A783" s="10">
        <v>782</v>
      </c>
      <c r="B783" s="11">
        <v>9.1</v>
      </c>
      <c r="C783" s="12">
        <v>0.28000000000000003</v>
      </c>
      <c r="D783" s="13">
        <v>0.46</v>
      </c>
      <c r="E783" s="11">
        <v>9</v>
      </c>
      <c r="F783" s="12">
        <v>0.114</v>
      </c>
      <c r="G783" s="11">
        <v>3</v>
      </c>
      <c r="H783" s="11">
        <v>9</v>
      </c>
      <c r="I783" s="14">
        <v>0.99900999999999995</v>
      </c>
      <c r="J783" s="13">
        <v>3.18</v>
      </c>
      <c r="K783" s="13">
        <v>0.6</v>
      </c>
      <c r="L783" s="11">
        <v>10.9</v>
      </c>
      <c r="M783" s="10">
        <v>6</v>
      </c>
    </row>
    <row r="784" spans="1:13" x14ac:dyDescent="0.3">
      <c r="A784" s="10">
        <v>783</v>
      </c>
      <c r="B784" s="11">
        <v>10</v>
      </c>
      <c r="C784" s="12">
        <v>0.46</v>
      </c>
      <c r="D784" s="13">
        <v>0.44</v>
      </c>
      <c r="E784" s="11">
        <v>2.9</v>
      </c>
      <c r="F784" s="12">
        <v>6.5000000000000002E-2</v>
      </c>
      <c r="G784" s="11">
        <v>4</v>
      </c>
      <c r="H784" s="11">
        <v>8</v>
      </c>
      <c r="I784" s="14">
        <v>0.99673999999999996</v>
      </c>
      <c r="J784" s="13">
        <v>3.33</v>
      </c>
      <c r="K784" s="13">
        <v>0.62</v>
      </c>
      <c r="L784" s="11">
        <v>12.2</v>
      </c>
      <c r="M784" s="10">
        <v>6</v>
      </c>
    </row>
    <row r="785" spans="1:13" x14ac:dyDescent="0.3">
      <c r="A785" s="10">
        <v>784</v>
      </c>
      <c r="B785" s="11">
        <v>9.4</v>
      </c>
      <c r="C785" s="12">
        <v>0.39500000000000002</v>
      </c>
      <c r="D785" s="13">
        <v>0.46</v>
      </c>
      <c r="E785" s="11">
        <v>4.5999999999999996</v>
      </c>
      <c r="F785" s="12">
        <v>9.4E-2</v>
      </c>
      <c r="G785" s="11">
        <v>3</v>
      </c>
      <c r="H785" s="11">
        <v>10</v>
      </c>
      <c r="I785" s="14">
        <v>0.99639</v>
      </c>
      <c r="J785" s="13">
        <v>3.27</v>
      </c>
      <c r="K785" s="13">
        <v>0.64</v>
      </c>
      <c r="L785" s="11">
        <v>12.2</v>
      </c>
      <c r="M785" s="10">
        <v>7</v>
      </c>
    </row>
    <row r="786" spans="1:13" x14ac:dyDescent="0.3">
      <c r="A786" s="10">
        <v>785</v>
      </c>
      <c r="B786" s="11">
        <v>8.6</v>
      </c>
      <c r="C786" s="12">
        <v>0.315</v>
      </c>
      <c r="D786" s="13">
        <v>0.4</v>
      </c>
      <c r="E786" s="11">
        <v>2.2000000000000002</v>
      </c>
      <c r="F786" s="12">
        <v>7.9000000000000001E-2</v>
      </c>
      <c r="G786" s="11">
        <v>3</v>
      </c>
      <c r="H786" s="11">
        <v>6</v>
      </c>
      <c r="I786" s="14">
        <v>0.99512</v>
      </c>
      <c r="J786" s="13">
        <v>3.27</v>
      </c>
      <c r="K786" s="13">
        <v>0.67</v>
      </c>
      <c r="L786" s="11">
        <v>11.9</v>
      </c>
      <c r="M786" s="10">
        <v>6</v>
      </c>
    </row>
    <row r="787" spans="1:13" x14ac:dyDescent="0.3">
      <c r="A787" s="10">
        <v>786</v>
      </c>
      <c r="B787" s="11">
        <v>5.3</v>
      </c>
      <c r="C787" s="12">
        <v>0.71499999999999997</v>
      </c>
      <c r="D787" s="13">
        <v>0.19</v>
      </c>
      <c r="E787" s="11">
        <v>1.5</v>
      </c>
      <c r="F787" s="12">
        <v>0.161</v>
      </c>
      <c r="G787" s="11">
        <v>7</v>
      </c>
      <c r="H787" s="11">
        <v>62</v>
      </c>
      <c r="I787" s="14">
        <v>0.99395</v>
      </c>
      <c r="J787" s="13">
        <v>3.62</v>
      </c>
      <c r="K787" s="13">
        <v>0.61</v>
      </c>
      <c r="L787" s="11">
        <v>11</v>
      </c>
      <c r="M787" s="10">
        <v>5</v>
      </c>
    </row>
    <row r="788" spans="1:13" x14ac:dyDescent="0.3">
      <c r="A788" s="10">
        <v>787</v>
      </c>
      <c r="B788" s="11">
        <v>6.8</v>
      </c>
      <c r="C788" s="12">
        <v>0.41</v>
      </c>
      <c r="D788" s="13">
        <v>0.31</v>
      </c>
      <c r="E788" s="11">
        <v>8.8000000000000007</v>
      </c>
      <c r="F788" s="12">
        <v>8.4000000000000005E-2</v>
      </c>
      <c r="G788" s="11">
        <v>26</v>
      </c>
      <c r="H788" s="11">
        <v>45</v>
      </c>
      <c r="I788" s="14">
        <v>0.99824000000000002</v>
      </c>
      <c r="J788" s="13">
        <v>3.38</v>
      </c>
      <c r="K788" s="13">
        <v>0.64</v>
      </c>
      <c r="L788" s="11">
        <v>10.1</v>
      </c>
      <c r="M788" s="10">
        <v>6</v>
      </c>
    </row>
    <row r="789" spans="1:13" x14ac:dyDescent="0.3">
      <c r="A789" s="10">
        <v>788</v>
      </c>
      <c r="B789" s="11">
        <v>8.4</v>
      </c>
      <c r="C789" s="12">
        <v>0.36</v>
      </c>
      <c r="D789" s="13">
        <v>0.32</v>
      </c>
      <c r="E789" s="11">
        <v>2.2000000000000002</v>
      </c>
      <c r="F789" s="12">
        <v>8.1000000000000003E-2</v>
      </c>
      <c r="G789" s="11">
        <v>32</v>
      </c>
      <c r="H789" s="11">
        <v>79</v>
      </c>
      <c r="I789" s="14">
        <v>0.99639999999999995</v>
      </c>
      <c r="J789" s="13">
        <v>3.3</v>
      </c>
      <c r="K789" s="13">
        <v>0.72</v>
      </c>
      <c r="L789" s="11">
        <v>11</v>
      </c>
      <c r="M789" s="10">
        <v>6</v>
      </c>
    </row>
    <row r="790" spans="1:13" x14ac:dyDescent="0.3">
      <c r="A790" s="10">
        <v>789</v>
      </c>
      <c r="B790" s="11">
        <v>8.4</v>
      </c>
      <c r="C790" s="12">
        <v>0.62</v>
      </c>
      <c r="D790" s="13">
        <v>0.12</v>
      </c>
      <c r="E790" s="11">
        <v>1.8</v>
      </c>
      <c r="F790" s="12">
        <v>7.1999999999999995E-2</v>
      </c>
      <c r="G790" s="11">
        <v>38</v>
      </c>
      <c r="H790" s="11">
        <v>46</v>
      </c>
      <c r="I790" s="14">
        <v>0.99504000000000004</v>
      </c>
      <c r="J790" s="13">
        <v>3.38</v>
      </c>
      <c r="K790" s="13">
        <v>0.89</v>
      </c>
      <c r="L790" s="11">
        <v>11.8</v>
      </c>
      <c r="M790" s="10">
        <v>6</v>
      </c>
    </row>
    <row r="791" spans="1:13" x14ac:dyDescent="0.3">
      <c r="A791" s="10">
        <v>790</v>
      </c>
      <c r="B791" s="11">
        <v>9.6</v>
      </c>
      <c r="C791" s="12">
        <v>0.41</v>
      </c>
      <c r="D791" s="13">
        <v>0.37</v>
      </c>
      <c r="E791" s="11">
        <v>2.2999999999999998</v>
      </c>
      <c r="F791" s="12">
        <v>9.0999999999999998E-2</v>
      </c>
      <c r="G791" s="11">
        <v>10</v>
      </c>
      <c r="H791" s="11">
        <v>23</v>
      </c>
      <c r="I791" s="14">
        <v>0.99785999999999997</v>
      </c>
      <c r="J791" s="13">
        <v>3.24</v>
      </c>
      <c r="K791" s="13">
        <v>0.56000000000000005</v>
      </c>
      <c r="L791" s="11">
        <v>10.5</v>
      </c>
      <c r="M791" s="10">
        <v>5</v>
      </c>
    </row>
    <row r="792" spans="1:13" x14ac:dyDescent="0.3">
      <c r="A792" s="10">
        <v>791</v>
      </c>
      <c r="B792" s="11">
        <v>8.6</v>
      </c>
      <c r="C792" s="12">
        <v>0.47</v>
      </c>
      <c r="D792" s="13">
        <v>0.27</v>
      </c>
      <c r="E792" s="11">
        <v>2.2999999999999998</v>
      </c>
      <c r="F792" s="12">
        <v>5.5E-2</v>
      </c>
      <c r="G792" s="11">
        <v>14</v>
      </c>
      <c r="H792" s="11">
        <v>28</v>
      </c>
      <c r="I792" s="14">
        <v>0.99516000000000004</v>
      </c>
      <c r="J792" s="13">
        <v>3.18</v>
      </c>
      <c r="K792" s="13">
        <v>0.8</v>
      </c>
      <c r="L792" s="11">
        <v>11.2</v>
      </c>
      <c r="M792" s="10">
        <v>5</v>
      </c>
    </row>
    <row r="793" spans="1:13" x14ac:dyDescent="0.3">
      <c r="A793" s="10">
        <v>792</v>
      </c>
      <c r="B793" s="11">
        <v>8.6</v>
      </c>
      <c r="C793" s="12">
        <v>0.22</v>
      </c>
      <c r="D793" s="13">
        <v>0.36</v>
      </c>
      <c r="E793" s="11">
        <v>1.9</v>
      </c>
      <c r="F793" s="12">
        <v>6.4000000000000001E-2</v>
      </c>
      <c r="G793" s="11">
        <v>53</v>
      </c>
      <c r="H793" s="11">
        <v>77</v>
      </c>
      <c r="I793" s="14">
        <v>0.99604000000000004</v>
      </c>
      <c r="J793" s="13">
        <v>3.47</v>
      </c>
      <c r="K793" s="13">
        <v>0.87</v>
      </c>
      <c r="L793" s="11">
        <v>11</v>
      </c>
      <c r="M793" s="10">
        <v>7</v>
      </c>
    </row>
    <row r="794" spans="1:13" x14ac:dyDescent="0.3">
      <c r="A794" s="10">
        <v>793</v>
      </c>
      <c r="B794" s="11">
        <v>9.4</v>
      </c>
      <c r="C794" s="12">
        <v>0.24</v>
      </c>
      <c r="D794" s="13">
        <v>0.33</v>
      </c>
      <c r="E794" s="11">
        <v>2.2999999999999998</v>
      </c>
      <c r="F794" s="12">
        <v>6.0999999999999999E-2</v>
      </c>
      <c r="G794" s="11">
        <v>52</v>
      </c>
      <c r="H794" s="11">
        <v>73</v>
      </c>
      <c r="I794" s="14">
        <v>0.99785999999999997</v>
      </c>
      <c r="J794" s="13">
        <v>3.47</v>
      </c>
      <c r="K794" s="13">
        <v>0.9</v>
      </c>
      <c r="L794" s="11">
        <v>10.199999999999999</v>
      </c>
      <c r="M794" s="10">
        <v>6</v>
      </c>
    </row>
    <row r="795" spans="1:13" x14ac:dyDescent="0.3">
      <c r="A795" s="10">
        <v>794</v>
      </c>
      <c r="B795" s="11">
        <v>8.4</v>
      </c>
      <c r="C795" s="12">
        <v>0.67</v>
      </c>
      <c r="D795" s="13">
        <v>0.19</v>
      </c>
      <c r="E795" s="11">
        <v>2.2000000000000002</v>
      </c>
      <c r="F795" s="12">
        <v>9.2999999999999999E-2</v>
      </c>
      <c r="G795" s="11">
        <v>11</v>
      </c>
      <c r="H795" s="11">
        <v>75</v>
      </c>
      <c r="I795" s="14">
        <v>0.99736000000000002</v>
      </c>
      <c r="J795" s="13">
        <v>3.2</v>
      </c>
      <c r="K795" s="13">
        <v>0.59</v>
      </c>
      <c r="L795" s="11">
        <v>9.1999999999999993</v>
      </c>
      <c r="M795" s="10">
        <v>4</v>
      </c>
    </row>
    <row r="796" spans="1:13" x14ac:dyDescent="0.3">
      <c r="A796" s="10">
        <v>795</v>
      </c>
      <c r="B796" s="11">
        <v>8.6999999999999993</v>
      </c>
      <c r="C796" s="12">
        <v>0.33</v>
      </c>
      <c r="D796" s="13">
        <v>0.38</v>
      </c>
      <c r="E796" s="11">
        <v>3.3</v>
      </c>
      <c r="F796" s="12">
        <v>6.3E-2</v>
      </c>
      <c r="G796" s="11">
        <v>10</v>
      </c>
      <c r="H796" s="11">
        <v>19</v>
      </c>
      <c r="I796" s="14">
        <v>0.99468000000000001</v>
      </c>
      <c r="J796" s="13">
        <v>3.3</v>
      </c>
      <c r="K796" s="13">
        <v>0.73</v>
      </c>
      <c r="L796" s="11">
        <v>12</v>
      </c>
      <c r="M796" s="10">
        <v>7</v>
      </c>
    </row>
    <row r="797" spans="1:13" x14ac:dyDescent="0.3">
      <c r="A797" s="10">
        <v>796</v>
      </c>
      <c r="B797" s="11">
        <v>6.6</v>
      </c>
      <c r="C797" s="12">
        <v>0.61</v>
      </c>
      <c r="D797" s="13">
        <v>0.01</v>
      </c>
      <c r="E797" s="11">
        <v>1.9</v>
      </c>
      <c r="F797" s="12">
        <v>0.08</v>
      </c>
      <c r="G797" s="11">
        <v>8</v>
      </c>
      <c r="H797" s="11">
        <v>25</v>
      </c>
      <c r="I797" s="14">
        <v>0.99746000000000001</v>
      </c>
      <c r="J797" s="13">
        <v>3.69</v>
      </c>
      <c r="K797" s="13">
        <v>0.73</v>
      </c>
      <c r="L797" s="11">
        <v>10.5</v>
      </c>
      <c r="M797" s="10">
        <v>5</v>
      </c>
    </row>
    <row r="798" spans="1:13" x14ac:dyDescent="0.3">
      <c r="A798" s="10">
        <v>797</v>
      </c>
      <c r="B798" s="11">
        <v>7.4</v>
      </c>
      <c r="C798" s="12">
        <v>0.61</v>
      </c>
      <c r="D798" s="13">
        <v>0.01</v>
      </c>
      <c r="E798" s="11">
        <v>2</v>
      </c>
      <c r="F798" s="12">
        <v>7.3999999999999996E-2</v>
      </c>
      <c r="G798" s="11">
        <v>13</v>
      </c>
      <c r="H798" s="11">
        <v>38</v>
      </c>
      <c r="I798" s="14">
        <v>0.99748000000000003</v>
      </c>
      <c r="J798" s="13">
        <v>3.48</v>
      </c>
      <c r="K798" s="13">
        <v>0.65</v>
      </c>
      <c r="L798" s="11">
        <v>9.8000000000000007</v>
      </c>
      <c r="M798" s="10">
        <v>5</v>
      </c>
    </row>
    <row r="799" spans="1:13" x14ac:dyDescent="0.3">
      <c r="A799" s="10">
        <v>798</v>
      </c>
      <c r="B799" s="11">
        <v>7.6</v>
      </c>
      <c r="C799" s="12">
        <v>0.4</v>
      </c>
      <c r="D799" s="13">
        <v>0.28999999999999998</v>
      </c>
      <c r="E799" s="11">
        <v>1.9</v>
      </c>
      <c r="F799" s="12">
        <v>7.8E-2</v>
      </c>
      <c r="G799" s="11">
        <v>29</v>
      </c>
      <c r="H799" s="11">
        <v>66</v>
      </c>
      <c r="I799" s="14">
        <v>0.99709999999999999</v>
      </c>
      <c r="J799" s="13">
        <v>3.45</v>
      </c>
      <c r="K799" s="13">
        <v>0.59</v>
      </c>
      <c r="L799" s="11">
        <v>9.5</v>
      </c>
      <c r="M799" s="10">
        <v>6</v>
      </c>
    </row>
    <row r="800" spans="1:13" x14ac:dyDescent="0.3">
      <c r="A800" s="10">
        <v>799</v>
      </c>
      <c r="B800" s="11">
        <v>8.8000000000000007</v>
      </c>
      <c r="C800" s="12">
        <v>0.3</v>
      </c>
      <c r="D800" s="13">
        <v>0.38</v>
      </c>
      <c r="E800" s="11">
        <v>2.2999999999999998</v>
      </c>
      <c r="F800" s="12">
        <v>0.06</v>
      </c>
      <c r="G800" s="11">
        <v>19</v>
      </c>
      <c r="H800" s="11">
        <v>72</v>
      </c>
      <c r="I800" s="14">
        <v>0.99543000000000004</v>
      </c>
      <c r="J800" s="13">
        <v>3.39</v>
      </c>
      <c r="K800" s="13">
        <v>0.72</v>
      </c>
      <c r="L800" s="11">
        <v>11.8</v>
      </c>
      <c r="M800" s="10">
        <v>6</v>
      </c>
    </row>
    <row r="801" spans="1:13" x14ac:dyDescent="0.3">
      <c r="A801" s="10">
        <v>800</v>
      </c>
      <c r="B801" s="11">
        <v>12</v>
      </c>
      <c r="C801" s="12">
        <v>0.63</v>
      </c>
      <c r="D801" s="13">
        <v>0.5</v>
      </c>
      <c r="E801" s="11">
        <v>1.4</v>
      </c>
      <c r="F801" s="12">
        <v>7.0999999999999994E-2</v>
      </c>
      <c r="G801" s="11">
        <v>6</v>
      </c>
      <c r="H801" s="11">
        <v>26</v>
      </c>
      <c r="I801" s="14">
        <v>0.99790999999999996</v>
      </c>
      <c r="J801" s="13">
        <v>3.07</v>
      </c>
      <c r="K801" s="13">
        <v>0.6</v>
      </c>
      <c r="L801" s="11">
        <v>10.4</v>
      </c>
      <c r="M801" s="10">
        <v>4</v>
      </c>
    </row>
    <row r="802" spans="1:13" x14ac:dyDescent="0.3">
      <c r="A802" s="10">
        <v>801</v>
      </c>
      <c r="B802" s="11">
        <v>7.2</v>
      </c>
      <c r="C802" s="12">
        <v>0.38</v>
      </c>
      <c r="D802" s="13">
        <v>0.38</v>
      </c>
      <c r="E802" s="11">
        <v>2.8</v>
      </c>
      <c r="F802" s="12">
        <v>6.8000000000000005E-2</v>
      </c>
      <c r="G802" s="11">
        <v>23</v>
      </c>
      <c r="H802" s="11">
        <v>42</v>
      </c>
      <c r="I802" s="14">
        <v>0.99356</v>
      </c>
      <c r="J802" s="13">
        <v>3.34</v>
      </c>
      <c r="K802" s="13">
        <v>0.72</v>
      </c>
      <c r="L802" s="11">
        <v>12.9</v>
      </c>
      <c r="M802" s="10">
        <v>7</v>
      </c>
    </row>
    <row r="803" spans="1:13" x14ac:dyDescent="0.3">
      <c r="A803" s="10">
        <v>802</v>
      </c>
      <c r="B803" s="11">
        <v>6.2</v>
      </c>
      <c r="C803" s="12">
        <v>0.46</v>
      </c>
      <c r="D803" s="13">
        <v>0.17</v>
      </c>
      <c r="E803" s="11">
        <v>1.6</v>
      </c>
      <c r="F803" s="12">
        <v>7.2999999999999995E-2</v>
      </c>
      <c r="G803" s="11">
        <v>7</v>
      </c>
      <c r="H803" s="11">
        <v>11</v>
      </c>
      <c r="I803" s="14">
        <v>0.99424999999999997</v>
      </c>
      <c r="J803" s="13">
        <v>3.61</v>
      </c>
      <c r="K803" s="13">
        <v>0.54</v>
      </c>
      <c r="L803" s="11">
        <v>11.4</v>
      </c>
      <c r="M803" s="10">
        <v>5</v>
      </c>
    </row>
    <row r="804" spans="1:13" x14ac:dyDescent="0.3">
      <c r="A804" s="10">
        <v>803</v>
      </c>
      <c r="B804" s="11">
        <v>9.6</v>
      </c>
      <c r="C804" s="12">
        <v>0.33</v>
      </c>
      <c r="D804" s="13">
        <v>0.52</v>
      </c>
      <c r="E804" s="11">
        <v>2.2000000000000002</v>
      </c>
      <c r="F804" s="12">
        <v>7.3999999999999996E-2</v>
      </c>
      <c r="G804" s="11">
        <v>13</v>
      </c>
      <c r="H804" s="11">
        <v>25</v>
      </c>
      <c r="I804" s="14">
        <v>0.99509000000000003</v>
      </c>
      <c r="J804" s="13">
        <v>3.36</v>
      </c>
      <c r="K804" s="13">
        <v>0.76</v>
      </c>
      <c r="L804" s="11">
        <v>12.4</v>
      </c>
      <c r="M804" s="10">
        <v>7</v>
      </c>
    </row>
    <row r="805" spans="1:13" x14ac:dyDescent="0.3">
      <c r="A805" s="10">
        <v>804</v>
      </c>
      <c r="B805" s="11">
        <v>9.9</v>
      </c>
      <c r="C805" s="12">
        <v>0.27</v>
      </c>
      <c r="D805" s="13">
        <v>0.49</v>
      </c>
      <c r="E805" s="11">
        <v>5</v>
      </c>
      <c r="F805" s="12">
        <v>8.2000000000000003E-2</v>
      </c>
      <c r="G805" s="11">
        <v>9</v>
      </c>
      <c r="H805" s="11">
        <v>17</v>
      </c>
      <c r="I805" s="14">
        <v>0.99483999999999995</v>
      </c>
      <c r="J805" s="13">
        <v>3.19</v>
      </c>
      <c r="K805" s="13">
        <v>0.52</v>
      </c>
      <c r="L805" s="11">
        <v>12.5</v>
      </c>
      <c r="M805" s="10">
        <v>7</v>
      </c>
    </row>
    <row r="806" spans="1:13" x14ac:dyDescent="0.3">
      <c r="A806" s="10">
        <v>805</v>
      </c>
      <c r="B806" s="11">
        <v>10.1</v>
      </c>
      <c r="C806" s="12">
        <v>0.43</v>
      </c>
      <c r="D806" s="13">
        <v>0.4</v>
      </c>
      <c r="E806" s="11">
        <v>2.6</v>
      </c>
      <c r="F806" s="12">
        <v>9.1999999999999998E-2</v>
      </c>
      <c r="G806" s="11">
        <v>13</v>
      </c>
      <c r="H806" s="11">
        <v>52</v>
      </c>
      <c r="I806" s="14">
        <v>0.99834000000000001</v>
      </c>
      <c r="J806" s="13">
        <v>3.22</v>
      </c>
      <c r="K806" s="13">
        <v>0.64</v>
      </c>
      <c r="L806" s="11">
        <v>10</v>
      </c>
      <c r="M806" s="10">
        <v>7</v>
      </c>
    </row>
    <row r="807" spans="1:13" x14ac:dyDescent="0.3">
      <c r="A807" s="10">
        <v>806</v>
      </c>
      <c r="B807" s="11">
        <v>9.8000000000000007</v>
      </c>
      <c r="C807" s="12">
        <v>0.5</v>
      </c>
      <c r="D807" s="13">
        <v>0.34</v>
      </c>
      <c r="E807" s="11">
        <v>2.2999999999999998</v>
      </c>
      <c r="F807" s="12">
        <v>9.4E-2</v>
      </c>
      <c r="G807" s="11">
        <v>10</v>
      </c>
      <c r="H807" s="11">
        <v>45</v>
      </c>
      <c r="I807" s="14">
        <v>0.99863999999999997</v>
      </c>
      <c r="J807" s="13">
        <v>3.24</v>
      </c>
      <c r="K807" s="13">
        <v>0.6</v>
      </c>
      <c r="L807" s="11">
        <v>9.6999999999999993</v>
      </c>
      <c r="M807" s="10">
        <v>7</v>
      </c>
    </row>
    <row r="808" spans="1:13" x14ac:dyDescent="0.3">
      <c r="A808" s="10">
        <v>807</v>
      </c>
      <c r="B808" s="11">
        <v>8.3000000000000007</v>
      </c>
      <c r="C808" s="12">
        <v>0.3</v>
      </c>
      <c r="D808" s="13">
        <v>0.49</v>
      </c>
      <c r="E808" s="11">
        <v>3.8</v>
      </c>
      <c r="F808" s="12">
        <v>0.09</v>
      </c>
      <c r="G808" s="11">
        <v>11</v>
      </c>
      <c r="H808" s="11">
        <v>24</v>
      </c>
      <c r="I808" s="14">
        <v>0.99497999999999998</v>
      </c>
      <c r="J808" s="13">
        <v>3.27</v>
      </c>
      <c r="K808" s="13">
        <v>0.64</v>
      </c>
      <c r="L808" s="11">
        <v>12.1</v>
      </c>
      <c r="M808" s="10">
        <v>7</v>
      </c>
    </row>
    <row r="809" spans="1:13" x14ac:dyDescent="0.3">
      <c r="A809" s="10">
        <v>808</v>
      </c>
      <c r="B809" s="11">
        <v>10.199999999999999</v>
      </c>
      <c r="C809" s="12">
        <v>0.44</v>
      </c>
      <c r="D809" s="13">
        <v>0.42</v>
      </c>
      <c r="E809" s="11">
        <v>2</v>
      </c>
      <c r="F809" s="12">
        <v>7.0999999999999994E-2</v>
      </c>
      <c r="G809" s="11">
        <v>7</v>
      </c>
      <c r="H809" s="11">
        <v>20</v>
      </c>
      <c r="I809" s="14">
        <v>0.99565999999999999</v>
      </c>
      <c r="J809" s="13">
        <v>3.14</v>
      </c>
      <c r="K809" s="13">
        <v>0.79</v>
      </c>
      <c r="L809" s="11">
        <v>11.1</v>
      </c>
      <c r="M809" s="10">
        <v>7</v>
      </c>
    </row>
    <row r="810" spans="1:13" x14ac:dyDescent="0.3">
      <c r="A810" s="10">
        <v>809</v>
      </c>
      <c r="B810" s="11">
        <v>10.199999999999999</v>
      </c>
      <c r="C810" s="12">
        <v>0.44</v>
      </c>
      <c r="D810" s="13">
        <v>0.57999999999999996</v>
      </c>
      <c r="E810" s="11">
        <v>4.0999999999999996</v>
      </c>
      <c r="F810" s="12">
        <v>9.1999999999999998E-2</v>
      </c>
      <c r="G810" s="11">
        <v>11</v>
      </c>
      <c r="H810" s="11">
        <v>24</v>
      </c>
      <c r="I810" s="14">
        <v>0.99744999999999995</v>
      </c>
      <c r="J810" s="13">
        <v>3.29</v>
      </c>
      <c r="K810" s="13">
        <v>0.99</v>
      </c>
      <c r="L810" s="11">
        <v>12</v>
      </c>
      <c r="M810" s="10">
        <v>7</v>
      </c>
    </row>
    <row r="811" spans="1:13" x14ac:dyDescent="0.3">
      <c r="A811" s="10">
        <v>810</v>
      </c>
      <c r="B811" s="11">
        <v>8.3000000000000007</v>
      </c>
      <c r="C811" s="12">
        <v>0.28000000000000003</v>
      </c>
      <c r="D811" s="13">
        <v>0.48</v>
      </c>
      <c r="E811" s="11">
        <v>2.1</v>
      </c>
      <c r="F811" s="12">
        <v>9.2999999999999999E-2</v>
      </c>
      <c r="G811" s="11">
        <v>6</v>
      </c>
      <c r="H811" s="11">
        <v>12</v>
      </c>
      <c r="I811" s="14">
        <v>0.99407999999999996</v>
      </c>
      <c r="J811" s="13">
        <v>3.26</v>
      </c>
      <c r="K811" s="13">
        <v>0.62</v>
      </c>
      <c r="L811" s="11">
        <v>12.4</v>
      </c>
      <c r="M811" s="10">
        <v>7</v>
      </c>
    </row>
    <row r="812" spans="1:13" x14ac:dyDescent="0.3">
      <c r="A812" s="10">
        <v>811</v>
      </c>
      <c r="B812" s="11">
        <v>8.9</v>
      </c>
      <c r="C812" s="12">
        <v>0.12</v>
      </c>
      <c r="D812" s="13">
        <v>0.45</v>
      </c>
      <c r="E812" s="11">
        <v>1.8</v>
      </c>
      <c r="F812" s="12">
        <v>7.4999999999999997E-2</v>
      </c>
      <c r="G812" s="11">
        <v>10</v>
      </c>
      <c r="H812" s="11">
        <v>21</v>
      </c>
      <c r="I812" s="14">
        <v>0.99551999999999996</v>
      </c>
      <c r="J812" s="13">
        <v>3.41</v>
      </c>
      <c r="K812" s="13">
        <v>0.76</v>
      </c>
      <c r="L812" s="11">
        <v>11.9</v>
      </c>
      <c r="M812" s="10">
        <v>7</v>
      </c>
    </row>
    <row r="813" spans="1:13" x14ac:dyDescent="0.3">
      <c r="A813" s="10">
        <v>812</v>
      </c>
      <c r="B813" s="11">
        <v>8.1999999999999993</v>
      </c>
      <c r="C813" s="12">
        <v>0.31</v>
      </c>
      <c r="D813" s="13">
        <v>0.4</v>
      </c>
      <c r="E813" s="11">
        <v>2.2000000000000002</v>
      </c>
      <c r="F813" s="12">
        <v>5.8000000000000003E-2</v>
      </c>
      <c r="G813" s="11">
        <v>6</v>
      </c>
      <c r="H813" s="11">
        <v>10</v>
      </c>
      <c r="I813" s="14">
        <v>0.99536000000000002</v>
      </c>
      <c r="J813" s="13">
        <v>3.31</v>
      </c>
      <c r="K813" s="13">
        <v>0.68</v>
      </c>
      <c r="L813" s="11">
        <v>11.2</v>
      </c>
      <c r="M813" s="10">
        <v>7</v>
      </c>
    </row>
    <row r="814" spans="1:13" x14ac:dyDescent="0.3">
      <c r="A814" s="10">
        <v>813</v>
      </c>
      <c r="B814" s="11">
        <v>10.199999999999999</v>
      </c>
      <c r="C814" s="12">
        <v>0.34</v>
      </c>
      <c r="D814" s="13">
        <v>0.48</v>
      </c>
      <c r="E814" s="11">
        <v>2.1</v>
      </c>
      <c r="F814" s="12">
        <v>5.1999999999999998E-2</v>
      </c>
      <c r="G814" s="11">
        <v>5</v>
      </c>
      <c r="H814" s="11">
        <v>9</v>
      </c>
      <c r="I814" s="14">
        <v>0.99458000000000002</v>
      </c>
      <c r="J814" s="13">
        <v>3.2</v>
      </c>
      <c r="K814" s="13">
        <v>0.69</v>
      </c>
      <c r="L814" s="11">
        <v>12.1</v>
      </c>
      <c r="M814" s="10">
        <v>7</v>
      </c>
    </row>
    <row r="815" spans="1:13" x14ac:dyDescent="0.3">
      <c r="A815" s="10">
        <v>814</v>
      </c>
      <c r="B815" s="11">
        <v>7.6</v>
      </c>
      <c r="C815" s="12">
        <v>0.43</v>
      </c>
      <c r="D815" s="13">
        <v>0.4</v>
      </c>
      <c r="E815" s="11">
        <v>2.7</v>
      </c>
      <c r="F815" s="12">
        <v>8.2000000000000003E-2</v>
      </c>
      <c r="G815" s="11">
        <v>6</v>
      </c>
      <c r="H815" s="11">
        <v>11</v>
      </c>
      <c r="I815" s="14">
        <v>0.99538000000000004</v>
      </c>
      <c r="J815" s="13">
        <v>3.44</v>
      </c>
      <c r="K815" s="13">
        <v>0.54</v>
      </c>
      <c r="L815" s="11">
        <v>12.2</v>
      </c>
      <c r="M815" s="10">
        <v>6</v>
      </c>
    </row>
    <row r="816" spans="1:13" x14ac:dyDescent="0.3">
      <c r="A816" s="10">
        <v>815</v>
      </c>
      <c r="B816" s="11">
        <v>8.5</v>
      </c>
      <c r="C816" s="12">
        <v>0.21</v>
      </c>
      <c r="D816" s="13">
        <v>0.52</v>
      </c>
      <c r="E816" s="11">
        <v>1.9</v>
      </c>
      <c r="F816" s="12">
        <v>0.09</v>
      </c>
      <c r="G816" s="11">
        <v>9</v>
      </c>
      <c r="H816" s="11">
        <v>23</v>
      </c>
      <c r="I816" s="14">
        <v>0.99648000000000003</v>
      </c>
      <c r="J816" s="13">
        <v>3.36</v>
      </c>
      <c r="K816" s="13">
        <v>0.67</v>
      </c>
      <c r="L816" s="11">
        <v>10.4</v>
      </c>
      <c r="M816" s="10">
        <v>5</v>
      </c>
    </row>
    <row r="817" spans="1:13" x14ac:dyDescent="0.3">
      <c r="A817" s="10">
        <v>816</v>
      </c>
      <c r="B817" s="11">
        <v>9</v>
      </c>
      <c r="C817" s="12">
        <v>0.36</v>
      </c>
      <c r="D817" s="13">
        <v>0.52</v>
      </c>
      <c r="E817" s="11">
        <v>2.1</v>
      </c>
      <c r="F817" s="12">
        <v>0.111</v>
      </c>
      <c r="G817" s="11">
        <v>5</v>
      </c>
      <c r="H817" s="11">
        <v>10</v>
      </c>
      <c r="I817" s="14">
        <v>0.99568000000000001</v>
      </c>
      <c r="J817" s="13">
        <v>3.31</v>
      </c>
      <c r="K817" s="13">
        <v>0.62</v>
      </c>
      <c r="L817" s="11">
        <v>11.3</v>
      </c>
      <c r="M817" s="10">
        <v>6</v>
      </c>
    </row>
    <row r="818" spans="1:13" x14ac:dyDescent="0.3">
      <c r="A818" s="10">
        <v>817</v>
      </c>
      <c r="B818" s="11">
        <v>9.5</v>
      </c>
      <c r="C818" s="12">
        <v>0.37</v>
      </c>
      <c r="D818" s="13">
        <v>0.52</v>
      </c>
      <c r="E818" s="11">
        <v>2</v>
      </c>
      <c r="F818" s="12">
        <v>8.7999999999999995E-2</v>
      </c>
      <c r="G818" s="11">
        <v>12</v>
      </c>
      <c r="H818" s="11">
        <v>51</v>
      </c>
      <c r="I818" s="14">
        <v>0.99612999999999996</v>
      </c>
      <c r="J818" s="13">
        <v>3.29</v>
      </c>
      <c r="K818" s="13">
        <v>0.57999999999999996</v>
      </c>
      <c r="L818" s="11">
        <v>11.1</v>
      </c>
      <c r="M818" s="10">
        <v>6</v>
      </c>
    </row>
    <row r="819" spans="1:13" x14ac:dyDescent="0.3">
      <c r="A819" s="10">
        <v>818</v>
      </c>
      <c r="B819" s="11">
        <v>6.4</v>
      </c>
      <c r="C819" s="12">
        <v>0.56999999999999995</v>
      </c>
      <c r="D819" s="13">
        <v>0.12</v>
      </c>
      <c r="E819" s="11">
        <v>2.2999999999999998</v>
      </c>
      <c r="F819" s="12">
        <v>0.12</v>
      </c>
      <c r="G819" s="11">
        <v>25</v>
      </c>
      <c r="H819" s="11">
        <v>36</v>
      </c>
      <c r="I819" s="14">
        <v>0.99519000000000002</v>
      </c>
      <c r="J819" s="13">
        <v>3.47</v>
      </c>
      <c r="K819" s="13">
        <v>0.71</v>
      </c>
      <c r="L819" s="11">
        <v>11.3</v>
      </c>
      <c r="M819" s="10">
        <v>7</v>
      </c>
    </row>
    <row r="820" spans="1:13" x14ac:dyDescent="0.3">
      <c r="A820" s="10">
        <v>819</v>
      </c>
      <c r="B820" s="11">
        <v>8</v>
      </c>
      <c r="C820" s="12">
        <v>0.59</v>
      </c>
      <c r="D820" s="13">
        <v>0.05</v>
      </c>
      <c r="E820" s="11">
        <v>2</v>
      </c>
      <c r="F820" s="12">
        <v>8.8999999999999996E-2</v>
      </c>
      <c r="G820" s="11">
        <v>12</v>
      </c>
      <c r="H820" s="11">
        <v>32</v>
      </c>
      <c r="I820" s="14">
        <v>0.99734999999999996</v>
      </c>
      <c r="J820" s="13">
        <v>3.36</v>
      </c>
      <c r="K820" s="13">
        <v>0.61</v>
      </c>
      <c r="L820" s="11">
        <v>10</v>
      </c>
      <c r="M820" s="10">
        <v>5</v>
      </c>
    </row>
    <row r="821" spans="1:13" x14ac:dyDescent="0.3">
      <c r="A821" s="10">
        <v>820</v>
      </c>
      <c r="B821" s="11">
        <v>8.5</v>
      </c>
      <c r="C821" s="12">
        <v>0.47</v>
      </c>
      <c r="D821" s="13">
        <v>0.27</v>
      </c>
      <c r="E821" s="11">
        <v>1.9</v>
      </c>
      <c r="F821" s="12">
        <v>5.8000000000000003E-2</v>
      </c>
      <c r="G821" s="11">
        <v>18</v>
      </c>
      <c r="H821" s="11">
        <v>38</v>
      </c>
      <c r="I821" s="14">
        <v>0.99517999999999995</v>
      </c>
      <c r="J821" s="13">
        <v>3.16</v>
      </c>
      <c r="K821" s="13">
        <v>0.85</v>
      </c>
      <c r="L821" s="11">
        <v>11.1</v>
      </c>
      <c r="M821" s="10">
        <v>6</v>
      </c>
    </row>
    <row r="822" spans="1:13" x14ac:dyDescent="0.3">
      <c r="A822" s="10">
        <v>821</v>
      </c>
      <c r="B822" s="11">
        <v>7.1</v>
      </c>
      <c r="C822" s="12">
        <v>0.56000000000000005</v>
      </c>
      <c r="D822" s="13">
        <v>0.14000000000000001</v>
      </c>
      <c r="E822" s="11">
        <v>1.6</v>
      </c>
      <c r="F822" s="12">
        <v>7.8E-2</v>
      </c>
      <c r="G822" s="11">
        <v>7</v>
      </c>
      <c r="H822" s="11">
        <v>18</v>
      </c>
      <c r="I822" s="14">
        <v>0.99592000000000003</v>
      </c>
      <c r="J822" s="13">
        <v>3.27</v>
      </c>
      <c r="K822" s="13">
        <v>0.62</v>
      </c>
      <c r="L822" s="11">
        <v>9.3000000000000007</v>
      </c>
      <c r="M822" s="10">
        <v>5</v>
      </c>
    </row>
    <row r="823" spans="1:13" x14ac:dyDescent="0.3">
      <c r="A823" s="10">
        <v>822</v>
      </c>
      <c r="B823" s="11">
        <v>6.6</v>
      </c>
      <c r="C823" s="12">
        <v>0.56999999999999995</v>
      </c>
      <c r="D823" s="13">
        <v>0.02</v>
      </c>
      <c r="E823" s="11">
        <v>2.1</v>
      </c>
      <c r="F823" s="12">
        <v>0.115</v>
      </c>
      <c r="G823" s="11">
        <v>6</v>
      </c>
      <c r="H823" s="11">
        <v>16</v>
      </c>
      <c r="I823" s="14">
        <v>0.99653999999999998</v>
      </c>
      <c r="J823" s="13">
        <v>3.38</v>
      </c>
      <c r="K823" s="13">
        <v>0.69</v>
      </c>
      <c r="L823" s="11">
        <v>9.5</v>
      </c>
      <c r="M823" s="10">
        <v>5</v>
      </c>
    </row>
    <row r="824" spans="1:13" x14ac:dyDescent="0.3">
      <c r="A824" s="10">
        <v>823</v>
      </c>
      <c r="B824" s="11">
        <v>8.8000000000000007</v>
      </c>
      <c r="C824" s="12">
        <v>0.27</v>
      </c>
      <c r="D824" s="13">
        <v>0.39</v>
      </c>
      <c r="E824" s="11">
        <v>2</v>
      </c>
      <c r="F824" s="12">
        <v>0.1</v>
      </c>
      <c r="G824" s="11">
        <v>20</v>
      </c>
      <c r="H824" s="11">
        <v>27</v>
      </c>
      <c r="I824" s="14">
        <v>0.99546000000000001</v>
      </c>
      <c r="J824" s="13">
        <v>3.15</v>
      </c>
      <c r="K824" s="13">
        <v>0.69</v>
      </c>
      <c r="L824" s="11">
        <v>11.2</v>
      </c>
      <c r="M824" s="10">
        <v>6</v>
      </c>
    </row>
    <row r="825" spans="1:13" x14ac:dyDescent="0.3">
      <c r="A825" s="10">
        <v>824</v>
      </c>
      <c r="B825" s="11">
        <v>8.3000000000000007</v>
      </c>
      <c r="C825" s="12">
        <v>0.34</v>
      </c>
      <c r="D825" s="13">
        <v>0.4</v>
      </c>
      <c r="E825" s="11">
        <v>2.4</v>
      </c>
      <c r="F825" s="12">
        <v>6.5000000000000002E-2</v>
      </c>
      <c r="G825" s="11">
        <v>24</v>
      </c>
      <c r="H825" s="11">
        <v>48</v>
      </c>
      <c r="I825" s="14">
        <v>0.99553999999999998</v>
      </c>
      <c r="J825" s="13">
        <v>3.34</v>
      </c>
      <c r="K825" s="13">
        <v>0.86</v>
      </c>
      <c r="L825" s="11">
        <v>11</v>
      </c>
      <c r="M825" s="10">
        <v>6</v>
      </c>
    </row>
    <row r="826" spans="1:13" x14ac:dyDescent="0.3">
      <c r="A826" s="10">
        <v>825</v>
      </c>
      <c r="B826" s="11">
        <v>9</v>
      </c>
      <c r="C826" s="12">
        <v>0.38</v>
      </c>
      <c r="D826" s="13">
        <v>0.41</v>
      </c>
      <c r="E826" s="11">
        <v>2.4</v>
      </c>
      <c r="F826" s="12">
        <v>0.10299999999999999</v>
      </c>
      <c r="G826" s="11">
        <v>6</v>
      </c>
      <c r="H826" s="11">
        <v>10</v>
      </c>
      <c r="I826" s="14">
        <v>0.99604000000000004</v>
      </c>
      <c r="J826" s="13">
        <v>3.13</v>
      </c>
      <c r="K826" s="13">
        <v>0.57999999999999996</v>
      </c>
      <c r="L826" s="11">
        <v>11.9</v>
      </c>
      <c r="M826" s="10">
        <v>7</v>
      </c>
    </row>
    <row r="827" spans="1:13" x14ac:dyDescent="0.3">
      <c r="A827" s="10">
        <v>826</v>
      </c>
      <c r="B827" s="11">
        <v>8.5</v>
      </c>
      <c r="C827" s="12">
        <v>0.66</v>
      </c>
      <c r="D827" s="13">
        <v>0.2</v>
      </c>
      <c r="E827" s="11">
        <v>2.1</v>
      </c>
      <c r="F827" s="12">
        <v>9.7000000000000003E-2</v>
      </c>
      <c r="G827" s="11">
        <v>23</v>
      </c>
      <c r="H827" s="11">
        <v>113</v>
      </c>
      <c r="I827" s="14">
        <v>0.99733000000000005</v>
      </c>
      <c r="J827" s="13">
        <v>3.13</v>
      </c>
      <c r="K827" s="13">
        <v>0.48</v>
      </c>
      <c r="L827" s="11">
        <v>9.1999999999999993</v>
      </c>
      <c r="M827" s="10">
        <v>5</v>
      </c>
    </row>
    <row r="828" spans="1:13" x14ac:dyDescent="0.3">
      <c r="A828" s="10">
        <v>827</v>
      </c>
      <c r="B828" s="11">
        <v>9</v>
      </c>
      <c r="C828" s="12">
        <v>0.4</v>
      </c>
      <c r="D828" s="13">
        <v>0.43</v>
      </c>
      <c r="E828" s="11">
        <v>2.4</v>
      </c>
      <c r="F828" s="12">
        <v>6.8000000000000005E-2</v>
      </c>
      <c r="G828" s="11">
        <v>29</v>
      </c>
      <c r="H828" s="11">
        <v>46</v>
      </c>
      <c r="I828" s="14">
        <v>0.99429999999999996</v>
      </c>
      <c r="J828" s="13">
        <v>3.2</v>
      </c>
      <c r="K828" s="13">
        <v>0.6</v>
      </c>
      <c r="L828" s="11">
        <v>12.2</v>
      </c>
      <c r="M828" s="10">
        <v>6</v>
      </c>
    </row>
    <row r="829" spans="1:13" x14ac:dyDescent="0.3">
      <c r="A829" s="10">
        <v>828</v>
      </c>
      <c r="B829" s="11">
        <v>6.7</v>
      </c>
      <c r="C829" s="12">
        <v>0.56000000000000005</v>
      </c>
      <c r="D829" s="13">
        <v>0.09</v>
      </c>
      <c r="E829" s="11">
        <v>2.9</v>
      </c>
      <c r="F829" s="12">
        <v>7.9000000000000001E-2</v>
      </c>
      <c r="G829" s="11">
        <v>7</v>
      </c>
      <c r="H829" s="11">
        <v>22</v>
      </c>
      <c r="I829" s="14">
        <v>0.99668999999999996</v>
      </c>
      <c r="J829" s="13">
        <v>3.46</v>
      </c>
      <c r="K829" s="13">
        <v>0.61</v>
      </c>
      <c r="L829" s="11">
        <v>10.199999999999999</v>
      </c>
      <c r="M829" s="10">
        <v>5</v>
      </c>
    </row>
    <row r="830" spans="1:13" x14ac:dyDescent="0.3">
      <c r="A830" s="10">
        <v>829</v>
      </c>
      <c r="B830" s="11">
        <v>10.4</v>
      </c>
      <c r="C830" s="12">
        <v>0.26</v>
      </c>
      <c r="D830" s="13">
        <v>0.48</v>
      </c>
      <c r="E830" s="11">
        <v>1.9</v>
      </c>
      <c r="F830" s="12">
        <v>6.6000000000000003E-2</v>
      </c>
      <c r="G830" s="11">
        <v>6</v>
      </c>
      <c r="H830" s="11">
        <v>10</v>
      </c>
      <c r="I830" s="14">
        <v>0.99724000000000002</v>
      </c>
      <c r="J830" s="13">
        <v>3.33</v>
      </c>
      <c r="K830" s="13">
        <v>0.87</v>
      </c>
      <c r="L830" s="11">
        <v>10.9</v>
      </c>
      <c r="M830" s="10">
        <v>6</v>
      </c>
    </row>
    <row r="831" spans="1:13" x14ac:dyDescent="0.3">
      <c r="A831" s="10">
        <v>830</v>
      </c>
      <c r="B831" s="11">
        <v>10.1</v>
      </c>
      <c r="C831" s="12">
        <v>0.38</v>
      </c>
      <c r="D831" s="13">
        <v>0.5</v>
      </c>
      <c r="E831" s="11">
        <v>2.4</v>
      </c>
      <c r="F831" s="12">
        <v>0.104</v>
      </c>
      <c r="G831" s="11">
        <v>6</v>
      </c>
      <c r="H831" s="11">
        <v>13</v>
      </c>
      <c r="I831" s="14">
        <v>0.99643000000000004</v>
      </c>
      <c r="J831" s="13">
        <v>3.22</v>
      </c>
      <c r="K831" s="13">
        <v>0.65</v>
      </c>
      <c r="L831" s="11">
        <v>11.6</v>
      </c>
      <c r="M831" s="10">
        <v>7</v>
      </c>
    </row>
    <row r="832" spans="1:13" x14ac:dyDescent="0.3">
      <c r="A832" s="10">
        <v>831</v>
      </c>
      <c r="B832" s="11">
        <v>8.5</v>
      </c>
      <c r="C832" s="12">
        <v>0.34</v>
      </c>
      <c r="D832" s="13">
        <v>0.44</v>
      </c>
      <c r="E832" s="11">
        <v>1.7</v>
      </c>
      <c r="F832" s="12">
        <v>7.9000000000000001E-2</v>
      </c>
      <c r="G832" s="11">
        <v>6</v>
      </c>
      <c r="H832" s="11">
        <v>12</v>
      </c>
      <c r="I832" s="14">
        <v>0.99604999999999999</v>
      </c>
      <c r="J832" s="13">
        <v>3.52</v>
      </c>
      <c r="K832" s="13">
        <v>0.63</v>
      </c>
      <c r="L832" s="11">
        <v>10.7</v>
      </c>
      <c r="M832" s="10">
        <v>5</v>
      </c>
    </row>
    <row r="833" spans="1:13" x14ac:dyDescent="0.3">
      <c r="A833" s="10">
        <v>832</v>
      </c>
      <c r="B833" s="11">
        <v>8.8000000000000007</v>
      </c>
      <c r="C833" s="12">
        <v>0.33</v>
      </c>
      <c r="D833" s="13">
        <v>0.41</v>
      </c>
      <c r="E833" s="11">
        <v>5.9</v>
      </c>
      <c r="F833" s="12">
        <v>7.2999999999999995E-2</v>
      </c>
      <c r="G833" s="11">
        <v>7</v>
      </c>
      <c r="H833" s="11">
        <v>13</v>
      </c>
      <c r="I833" s="14">
        <v>0.99658000000000002</v>
      </c>
      <c r="J833" s="13">
        <v>3.3</v>
      </c>
      <c r="K833" s="13">
        <v>0.62</v>
      </c>
      <c r="L833" s="11">
        <v>12.1</v>
      </c>
      <c r="M833" s="10">
        <v>7</v>
      </c>
    </row>
    <row r="834" spans="1:13" x14ac:dyDescent="0.3">
      <c r="A834" s="10">
        <v>833</v>
      </c>
      <c r="B834" s="11">
        <v>7.2</v>
      </c>
      <c r="C834" s="12">
        <v>0.41</v>
      </c>
      <c r="D834" s="13">
        <v>0.3</v>
      </c>
      <c r="E834" s="11">
        <v>2.1</v>
      </c>
      <c r="F834" s="12">
        <v>8.3000000000000004E-2</v>
      </c>
      <c r="G834" s="11">
        <v>35</v>
      </c>
      <c r="H834" s="11">
        <v>72</v>
      </c>
      <c r="I834" s="14">
        <v>0.997</v>
      </c>
      <c r="J834" s="13">
        <v>3.44</v>
      </c>
      <c r="K834" s="13">
        <v>0.52</v>
      </c>
      <c r="L834" s="11">
        <v>9.4</v>
      </c>
      <c r="M834" s="10">
        <v>5</v>
      </c>
    </row>
    <row r="835" spans="1:13" x14ac:dyDescent="0.3">
      <c r="A835" s="10">
        <v>834</v>
      </c>
      <c r="B835" s="11">
        <v>8.4</v>
      </c>
      <c r="C835" s="12">
        <v>0.59</v>
      </c>
      <c r="D835" s="13">
        <v>0.28999999999999998</v>
      </c>
      <c r="E835" s="11">
        <v>2.6</v>
      </c>
      <c r="F835" s="12">
        <v>0.109</v>
      </c>
      <c r="G835" s="11">
        <v>31</v>
      </c>
      <c r="H835" s="11">
        <v>119</v>
      </c>
      <c r="I835" s="14">
        <v>0.99800999999999995</v>
      </c>
      <c r="J835" s="13">
        <v>3.15</v>
      </c>
      <c r="K835" s="13">
        <v>0.5</v>
      </c>
      <c r="L835" s="11">
        <v>9.1</v>
      </c>
      <c r="M835" s="10">
        <v>5</v>
      </c>
    </row>
    <row r="836" spans="1:13" x14ac:dyDescent="0.3">
      <c r="A836" s="10">
        <v>835</v>
      </c>
      <c r="B836" s="11">
        <v>7</v>
      </c>
      <c r="C836" s="12">
        <v>0.4</v>
      </c>
      <c r="D836" s="13">
        <v>0.32</v>
      </c>
      <c r="E836" s="11">
        <v>3.6</v>
      </c>
      <c r="F836" s="12">
        <v>6.0999999999999999E-2</v>
      </c>
      <c r="G836" s="11">
        <v>9</v>
      </c>
      <c r="H836" s="11">
        <v>29</v>
      </c>
      <c r="I836" s="14">
        <v>0.99416000000000004</v>
      </c>
      <c r="J836" s="13">
        <v>3.28</v>
      </c>
      <c r="K836" s="13">
        <v>0.49</v>
      </c>
      <c r="L836" s="11">
        <v>11.3</v>
      </c>
      <c r="M836" s="10">
        <v>7</v>
      </c>
    </row>
    <row r="837" spans="1:13" x14ac:dyDescent="0.3">
      <c r="A837" s="10">
        <v>836</v>
      </c>
      <c r="B837" s="11">
        <v>12.2</v>
      </c>
      <c r="C837" s="12">
        <v>0.45</v>
      </c>
      <c r="D837" s="13">
        <v>0.49</v>
      </c>
      <c r="E837" s="11">
        <v>1.4</v>
      </c>
      <c r="F837" s="12">
        <v>7.4999999999999997E-2</v>
      </c>
      <c r="G837" s="11">
        <v>3</v>
      </c>
      <c r="H837" s="11">
        <v>6</v>
      </c>
      <c r="I837" s="14">
        <v>0.99690000000000001</v>
      </c>
      <c r="J837" s="13">
        <v>3.13</v>
      </c>
      <c r="K837" s="13">
        <v>0.63</v>
      </c>
      <c r="L837" s="11">
        <v>10.4</v>
      </c>
      <c r="M837" s="10">
        <v>5</v>
      </c>
    </row>
    <row r="838" spans="1:13" x14ac:dyDescent="0.3">
      <c r="A838" s="10">
        <v>837</v>
      </c>
      <c r="B838" s="11">
        <v>9.1</v>
      </c>
      <c r="C838" s="12">
        <v>0.5</v>
      </c>
      <c r="D838" s="13">
        <v>0.3</v>
      </c>
      <c r="E838" s="11">
        <v>1.9</v>
      </c>
      <c r="F838" s="12">
        <v>6.5000000000000002E-2</v>
      </c>
      <c r="G838" s="11">
        <v>8</v>
      </c>
      <c r="H838" s="11">
        <v>17</v>
      </c>
      <c r="I838" s="14">
        <v>0.99773999999999996</v>
      </c>
      <c r="J838" s="13">
        <v>3.32</v>
      </c>
      <c r="K838" s="13">
        <v>0.71</v>
      </c>
      <c r="L838" s="11">
        <v>10.5</v>
      </c>
      <c r="M838" s="10">
        <v>6</v>
      </c>
    </row>
    <row r="839" spans="1:13" x14ac:dyDescent="0.3">
      <c r="A839" s="10">
        <v>838</v>
      </c>
      <c r="B839" s="11">
        <v>9.5</v>
      </c>
      <c r="C839" s="12">
        <v>0.86</v>
      </c>
      <c r="D839" s="13">
        <v>0.26</v>
      </c>
      <c r="E839" s="11">
        <v>1.9</v>
      </c>
      <c r="F839" s="12">
        <v>7.9000000000000001E-2</v>
      </c>
      <c r="G839" s="11">
        <v>13</v>
      </c>
      <c r="H839" s="11">
        <v>28</v>
      </c>
      <c r="I839" s="14">
        <v>0.99712000000000001</v>
      </c>
      <c r="J839" s="13">
        <v>3.25</v>
      </c>
      <c r="K839" s="13">
        <v>0.62</v>
      </c>
      <c r="L839" s="11">
        <v>10</v>
      </c>
      <c r="M839" s="10">
        <v>5</v>
      </c>
    </row>
    <row r="840" spans="1:13" x14ac:dyDescent="0.3">
      <c r="A840" s="10">
        <v>839</v>
      </c>
      <c r="B840" s="11">
        <v>7.3</v>
      </c>
      <c r="C840" s="12">
        <v>0.52</v>
      </c>
      <c r="D840" s="13">
        <v>0.32</v>
      </c>
      <c r="E840" s="11">
        <v>2.1</v>
      </c>
      <c r="F840" s="12">
        <v>7.0000000000000007E-2</v>
      </c>
      <c r="G840" s="11">
        <v>51</v>
      </c>
      <c r="H840" s="11">
        <v>70</v>
      </c>
      <c r="I840" s="14">
        <v>0.99417999999999995</v>
      </c>
      <c r="J840" s="13">
        <v>3.34</v>
      </c>
      <c r="K840" s="13">
        <v>0.82</v>
      </c>
      <c r="L840" s="11">
        <v>12.9</v>
      </c>
      <c r="M840" s="10">
        <v>6</v>
      </c>
    </row>
    <row r="841" spans="1:13" x14ac:dyDescent="0.3">
      <c r="A841" s="10">
        <v>840</v>
      </c>
      <c r="B841" s="11">
        <v>7.4</v>
      </c>
      <c r="C841" s="12">
        <v>0.57999999999999996</v>
      </c>
      <c r="D841" s="13">
        <v>0</v>
      </c>
      <c r="E841" s="11">
        <v>2</v>
      </c>
      <c r="F841" s="12">
        <v>6.4000000000000001E-2</v>
      </c>
      <c r="G841" s="11">
        <v>7</v>
      </c>
      <c r="H841" s="11">
        <v>11</v>
      </c>
      <c r="I841" s="14">
        <v>0.99561999999999995</v>
      </c>
      <c r="J841" s="13">
        <v>3.45</v>
      </c>
      <c r="K841" s="13">
        <v>0.57999999999999996</v>
      </c>
      <c r="L841" s="11">
        <v>11.3</v>
      </c>
      <c r="M841" s="10">
        <v>6</v>
      </c>
    </row>
    <row r="842" spans="1:13" x14ac:dyDescent="0.3">
      <c r="A842" s="10">
        <v>841</v>
      </c>
      <c r="B842" s="11">
        <v>9.8000000000000007</v>
      </c>
      <c r="C842" s="12">
        <v>0.34</v>
      </c>
      <c r="D842" s="13">
        <v>0.39</v>
      </c>
      <c r="E842" s="11">
        <v>1.4</v>
      </c>
      <c r="F842" s="12">
        <v>6.6000000000000003E-2</v>
      </c>
      <c r="G842" s="11">
        <v>3</v>
      </c>
      <c r="H842" s="11">
        <v>7</v>
      </c>
      <c r="I842" s="14">
        <v>0.99470000000000003</v>
      </c>
      <c r="J842" s="13">
        <v>3.19</v>
      </c>
      <c r="K842" s="13">
        <v>0.55000000000000004</v>
      </c>
      <c r="L842" s="11">
        <v>11.4</v>
      </c>
      <c r="M842" s="10">
        <v>7</v>
      </c>
    </row>
    <row r="843" spans="1:13" x14ac:dyDescent="0.3">
      <c r="A843" s="10">
        <v>842</v>
      </c>
      <c r="B843" s="11">
        <v>7.1</v>
      </c>
      <c r="C843" s="12">
        <v>0.36</v>
      </c>
      <c r="D843" s="13">
        <v>0.3</v>
      </c>
      <c r="E843" s="11">
        <v>1.6</v>
      </c>
      <c r="F843" s="12">
        <v>0.08</v>
      </c>
      <c r="G843" s="11">
        <v>35</v>
      </c>
      <c r="H843" s="11">
        <v>70</v>
      </c>
      <c r="I843" s="14">
        <v>0.99692999999999998</v>
      </c>
      <c r="J843" s="13">
        <v>3.44</v>
      </c>
      <c r="K843" s="13">
        <v>0.5</v>
      </c>
      <c r="L843" s="11">
        <v>9.4</v>
      </c>
      <c r="M843" s="10">
        <v>5</v>
      </c>
    </row>
    <row r="844" spans="1:13" x14ac:dyDescent="0.3">
      <c r="A844" s="10">
        <v>843</v>
      </c>
      <c r="B844" s="11">
        <v>7.7</v>
      </c>
      <c r="C844" s="12">
        <v>0.39</v>
      </c>
      <c r="D844" s="13">
        <v>0.12</v>
      </c>
      <c r="E844" s="11">
        <v>1.7</v>
      </c>
      <c r="F844" s="12">
        <v>9.7000000000000003E-2</v>
      </c>
      <c r="G844" s="11">
        <v>19</v>
      </c>
      <c r="H844" s="11">
        <v>27</v>
      </c>
      <c r="I844" s="14">
        <v>0.99595999999999996</v>
      </c>
      <c r="J844" s="13">
        <v>3.16</v>
      </c>
      <c r="K844" s="13">
        <v>0.49</v>
      </c>
      <c r="L844" s="11">
        <v>9.4</v>
      </c>
      <c r="M844" s="10">
        <v>5</v>
      </c>
    </row>
    <row r="845" spans="1:13" x14ac:dyDescent="0.3">
      <c r="A845" s="10">
        <v>844</v>
      </c>
      <c r="B845" s="11">
        <v>9.6999999999999993</v>
      </c>
      <c r="C845" s="12">
        <v>0.29499999999999998</v>
      </c>
      <c r="D845" s="13">
        <v>0.4</v>
      </c>
      <c r="E845" s="11">
        <v>1.5</v>
      </c>
      <c r="F845" s="12">
        <v>7.2999999999999995E-2</v>
      </c>
      <c r="G845" s="11">
        <v>14</v>
      </c>
      <c r="H845" s="11">
        <v>21</v>
      </c>
      <c r="I845" s="14">
        <v>0.99556</v>
      </c>
      <c r="J845" s="13">
        <v>3.14</v>
      </c>
      <c r="K845" s="13">
        <v>0.51</v>
      </c>
      <c r="L845" s="11">
        <v>10.9</v>
      </c>
      <c r="M845" s="10">
        <v>6</v>
      </c>
    </row>
    <row r="846" spans="1:13" x14ac:dyDescent="0.3">
      <c r="A846" s="10">
        <v>845</v>
      </c>
      <c r="B846" s="11">
        <v>7.1</v>
      </c>
      <c r="C846" s="12">
        <v>0.34</v>
      </c>
      <c r="D846" s="13">
        <v>0.28000000000000003</v>
      </c>
      <c r="E846" s="11">
        <v>2</v>
      </c>
      <c r="F846" s="12">
        <v>8.2000000000000003E-2</v>
      </c>
      <c r="G846" s="11">
        <v>31</v>
      </c>
      <c r="H846" s="11">
        <v>68</v>
      </c>
      <c r="I846" s="14">
        <v>0.99694000000000005</v>
      </c>
      <c r="J846" s="13">
        <v>3.45</v>
      </c>
      <c r="K846" s="13">
        <v>0.48</v>
      </c>
      <c r="L846" s="11">
        <v>9.4</v>
      </c>
      <c r="M846" s="10">
        <v>5</v>
      </c>
    </row>
    <row r="847" spans="1:13" x14ac:dyDescent="0.3">
      <c r="A847" s="10">
        <v>846</v>
      </c>
      <c r="B847" s="11">
        <v>6.5</v>
      </c>
      <c r="C847" s="12">
        <v>0.4</v>
      </c>
      <c r="D847" s="13">
        <v>0.1</v>
      </c>
      <c r="E847" s="11">
        <v>2</v>
      </c>
      <c r="F847" s="12">
        <v>7.5999999999999998E-2</v>
      </c>
      <c r="G847" s="11">
        <v>30</v>
      </c>
      <c r="H847" s="11">
        <v>47</v>
      </c>
      <c r="I847" s="14">
        <v>0.99553999999999998</v>
      </c>
      <c r="J847" s="13">
        <v>3.36</v>
      </c>
      <c r="K847" s="13">
        <v>0.48</v>
      </c>
      <c r="L847" s="11">
        <v>9.4</v>
      </c>
      <c r="M847" s="10">
        <v>6</v>
      </c>
    </row>
    <row r="848" spans="1:13" x14ac:dyDescent="0.3">
      <c r="A848" s="10">
        <v>847</v>
      </c>
      <c r="B848" s="11">
        <v>10</v>
      </c>
      <c r="C848" s="12">
        <v>0.35</v>
      </c>
      <c r="D848" s="13">
        <v>0.45</v>
      </c>
      <c r="E848" s="11">
        <v>2.5</v>
      </c>
      <c r="F848" s="12">
        <v>9.1999999999999998E-2</v>
      </c>
      <c r="G848" s="11">
        <v>20</v>
      </c>
      <c r="H848" s="11">
        <v>88</v>
      </c>
      <c r="I848" s="14">
        <v>0.99917999999999996</v>
      </c>
      <c r="J848" s="13">
        <v>3.15</v>
      </c>
      <c r="K848" s="13">
        <v>0.43</v>
      </c>
      <c r="L848" s="11">
        <v>9.4</v>
      </c>
      <c r="M848" s="10">
        <v>5</v>
      </c>
    </row>
    <row r="849" spans="1:13" x14ac:dyDescent="0.3">
      <c r="A849" s="10">
        <v>848</v>
      </c>
      <c r="B849" s="11">
        <v>7.7</v>
      </c>
      <c r="C849" s="12">
        <v>0.6</v>
      </c>
      <c r="D849" s="13">
        <v>0.06</v>
      </c>
      <c r="E849" s="11">
        <v>2</v>
      </c>
      <c r="F849" s="12">
        <v>7.9000000000000001E-2</v>
      </c>
      <c r="G849" s="11">
        <v>19</v>
      </c>
      <c r="H849" s="11">
        <v>41</v>
      </c>
      <c r="I849" s="14">
        <v>0.99697000000000002</v>
      </c>
      <c r="J849" s="13">
        <v>3.39</v>
      </c>
      <c r="K849" s="13">
        <v>0.62</v>
      </c>
      <c r="L849" s="11">
        <v>10.1</v>
      </c>
      <c r="M849" s="10">
        <v>6</v>
      </c>
    </row>
    <row r="850" spans="1:13" x14ac:dyDescent="0.3">
      <c r="A850" s="10">
        <v>849</v>
      </c>
      <c r="B850" s="11">
        <v>5.6</v>
      </c>
      <c r="C850" s="12">
        <v>0.66</v>
      </c>
      <c r="D850" s="13">
        <v>0</v>
      </c>
      <c r="E850" s="11">
        <v>2.2000000000000002</v>
      </c>
      <c r="F850" s="12">
        <v>8.6999999999999994E-2</v>
      </c>
      <c r="G850" s="11">
        <v>3</v>
      </c>
      <c r="H850" s="11">
        <v>11</v>
      </c>
      <c r="I850" s="14">
        <v>0.99378</v>
      </c>
      <c r="J850" s="13">
        <v>3.71</v>
      </c>
      <c r="K850" s="13">
        <v>0.63</v>
      </c>
      <c r="L850" s="11">
        <v>12.8</v>
      </c>
      <c r="M850" s="10">
        <v>7</v>
      </c>
    </row>
    <row r="851" spans="1:13" x14ac:dyDescent="0.3">
      <c r="A851" s="10">
        <v>850</v>
      </c>
      <c r="B851" s="11">
        <v>8.9</v>
      </c>
      <c r="C851" s="12">
        <v>0.84</v>
      </c>
      <c r="D851" s="13">
        <v>0.34</v>
      </c>
      <c r="E851" s="11">
        <v>1.4</v>
      </c>
      <c r="F851" s="12">
        <v>0.05</v>
      </c>
      <c r="G851" s="11">
        <v>4</v>
      </c>
      <c r="H851" s="11">
        <v>10</v>
      </c>
      <c r="I851" s="14">
        <v>0.99553999999999998</v>
      </c>
      <c r="J851" s="13">
        <v>3.12</v>
      </c>
      <c r="K851" s="13">
        <v>0.48</v>
      </c>
      <c r="L851" s="11">
        <v>9.1</v>
      </c>
      <c r="M851" s="10">
        <v>6</v>
      </c>
    </row>
    <row r="852" spans="1:13" x14ac:dyDescent="0.3">
      <c r="A852" s="10">
        <v>851</v>
      </c>
      <c r="B852" s="11">
        <v>6.4</v>
      </c>
      <c r="C852" s="12">
        <v>0.69</v>
      </c>
      <c r="D852" s="13">
        <v>0</v>
      </c>
      <c r="E852" s="11">
        <v>1.65</v>
      </c>
      <c r="F852" s="12">
        <v>5.5E-2</v>
      </c>
      <c r="G852" s="11">
        <v>7</v>
      </c>
      <c r="H852" s="11">
        <v>12</v>
      </c>
      <c r="I852" s="14">
        <v>0.99161999999999995</v>
      </c>
      <c r="J852" s="13">
        <v>3.47</v>
      </c>
      <c r="K852" s="13">
        <v>0.53</v>
      </c>
      <c r="L852" s="11">
        <v>12.9</v>
      </c>
      <c r="M852" s="10">
        <v>6</v>
      </c>
    </row>
    <row r="853" spans="1:13" x14ac:dyDescent="0.3">
      <c r="A853" s="10">
        <v>852</v>
      </c>
      <c r="B853" s="11">
        <v>7.5</v>
      </c>
      <c r="C853" s="12">
        <v>0.43</v>
      </c>
      <c r="D853" s="13">
        <v>0.3</v>
      </c>
      <c r="E853" s="11">
        <v>2.2000000000000002</v>
      </c>
      <c r="F853" s="12">
        <v>6.2E-2</v>
      </c>
      <c r="G853" s="11">
        <v>6</v>
      </c>
      <c r="H853" s="11">
        <v>12</v>
      </c>
      <c r="I853" s="14">
        <v>0.99495</v>
      </c>
      <c r="J853" s="13">
        <v>3.44</v>
      </c>
      <c r="K853" s="13">
        <v>0.72</v>
      </c>
      <c r="L853" s="11">
        <v>11.5</v>
      </c>
      <c r="M853" s="10">
        <v>7</v>
      </c>
    </row>
    <row r="854" spans="1:13" x14ac:dyDescent="0.3">
      <c r="A854" s="10">
        <v>853</v>
      </c>
      <c r="B854" s="11">
        <v>9.9</v>
      </c>
      <c r="C854" s="12">
        <v>0.35</v>
      </c>
      <c r="D854" s="13">
        <v>0.38</v>
      </c>
      <c r="E854" s="11">
        <v>1.5</v>
      </c>
      <c r="F854" s="12">
        <v>5.8000000000000003E-2</v>
      </c>
      <c r="G854" s="11">
        <v>31</v>
      </c>
      <c r="H854" s="11">
        <v>47</v>
      </c>
      <c r="I854" s="14">
        <v>0.99675999999999998</v>
      </c>
      <c r="J854" s="13">
        <v>3.26</v>
      </c>
      <c r="K854" s="13">
        <v>0.82</v>
      </c>
      <c r="L854" s="11">
        <v>10.6</v>
      </c>
      <c r="M854" s="10">
        <v>7</v>
      </c>
    </row>
    <row r="855" spans="1:13" x14ac:dyDescent="0.3">
      <c r="A855" s="10">
        <v>854</v>
      </c>
      <c r="B855" s="11">
        <v>9.1</v>
      </c>
      <c r="C855" s="12">
        <v>0.28999999999999998</v>
      </c>
      <c r="D855" s="13">
        <v>0.33</v>
      </c>
      <c r="E855" s="11">
        <v>2.0499999999999998</v>
      </c>
      <c r="F855" s="12">
        <v>6.3E-2</v>
      </c>
      <c r="G855" s="11">
        <v>13</v>
      </c>
      <c r="H855" s="11">
        <v>27</v>
      </c>
      <c r="I855" s="14">
        <v>0.99516000000000004</v>
      </c>
      <c r="J855" s="13">
        <v>3.26</v>
      </c>
      <c r="K855" s="13">
        <v>0.84</v>
      </c>
      <c r="L855" s="11">
        <v>11.7</v>
      </c>
      <c r="M855" s="10">
        <v>7</v>
      </c>
    </row>
    <row r="856" spans="1:13" x14ac:dyDescent="0.3">
      <c r="A856" s="10">
        <v>855</v>
      </c>
      <c r="B856" s="11">
        <v>6.8</v>
      </c>
      <c r="C856" s="12">
        <v>0.36</v>
      </c>
      <c r="D856" s="13">
        <v>0.32</v>
      </c>
      <c r="E856" s="11">
        <v>1.8</v>
      </c>
      <c r="F856" s="12">
        <v>6.7000000000000004E-2</v>
      </c>
      <c r="G856" s="11">
        <v>4</v>
      </c>
      <c r="H856" s="11">
        <v>8</v>
      </c>
      <c r="I856" s="14">
        <v>0.99280000000000002</v>
      </c>
      <c r="J856" s="13">
        <v>3.36</v>
      </c>
      <c r="K856" s="13">
        <v>0.55000000000000004</v>
      </c>
      <c r="L856" s="11">
        <v>12.8</v>
      </c>
      <c r="M856" s="10">
        <v>7</v>
      </c>
    </row>
    <row r="857" spans="1:13" x14ac:dyDescent="0.3">
      <c r="A857" s="10">
        <v>856</v>
      </c>
      <c r="B857" s="11">
        <v>8.1999999999999993</v>
      </c>
      <c r="C857" s="12">
        <v>0.43</v>
      </c>
      <c r="D857" s="13">
        <v>0.28999999999999998</v>
      </c>
      <c r="E857" s="11">
        <v>1.6</v>
      </c>
      <c r="F857" s="12">
        <v>8.1000000000000003E-2</v>
      </c>
      <c r="G857" s="11">
        <v>27</v>
      </c>
      <c r="H857" s="11">
        <v>45</v>
      </c>
      <c r="I857" s="14">
        <v>0.99602999999999997</v>
      </c>
      <c r="J857" s="13">
        <v>3.25</v>
      </c>
      <c r="K857" s="13">
        <v>0.54</v>
      </c>
      <c r="L857" s="11">
        <v>10.3</v>
      </c>
      <c r="M857" s="10">
        <v>5</v>
      </c>
    </row>
    <row r="858" spans="1:13" x14ac:dyDescent="0.3">
      <c r="A858" s="10">
        <v>857</v>
      </c>
      <c r="B858" s="11">
        <v>9.1</v>
      </c>
      <c r="C858" s="12">
        <v>0.3</v>
      </c>
      <c r="D858" s="13">
        <v>0.34</v>
      </c>
      <c r="E858" s="11">
        <v>2</v>
      </c>
      <c r="F858" s="12">
        <v>6.4000000000000001E-2</v>
      </c>
      <c r="G858" s="11">
        <v>12</v>
      </c>
      <c r="H858" s="11">
        <v>25</v>
      </c>
      <c r="I858" s="14">
        <v>0.99516000000000004</v>
      </c>
      <c r="J858" s="13">
        <v>3.26</v>
      </c>
      <c r="K858" s="13">
        <v>0.84</v>
      </c>
      <c r="L858" s="11">
        <v>11.7</v>
      </c>
      <c r="M858" s="10">
        <v>7</v>
      </c>
    </row>
    <row r="859" spans="1:13" x14ac:dyDescent="0.3">
      <c r="A859" s="10">
        <v>858</v>
      </c>
      <c r="B859" s="11">
        <v>8.9</v>
      </c>
      <c r="C859" s="12">
        <v>0.35</v>
      </c>
      <c r="D859" s="13">
        <v>0.4</v>
      </c>
      <c r="E859" s="11">
        <v>3.6</v>
      </c>
      <c r="F859" s="12">
        <v>0.11</v>
      </c>
      <c r="G859" s="11">
        <v>12</v>
      </c>
      <c r="H859" s="11">
        <v>24</v>
      </c>
      <c r="I859" s="14">
        <v>0.99548999999999999</v>
      </c>
      <c r="J859" s="13">
        <v>3.23</v>
      </c>
      <c r="K859" s="13">
        <v>0.7</v>
      </c>
      <c r="L859" s="11">
        <v>12</v>
      </c>
      <c r="M859" s="10">
        <v>7</v>
      </c>
    </row>
    <row r="860" spans="1:13" x14ac:dyDescent="0.3">
      <c r="A860" s="10">
        <v>859</v>
      </c>
      <c r="B860" s="11">
        <v>9.6</v>
      </c>
      <c r="C860" s="12">
        <v>0.5</v>
      </c>
      <c r="D860" s="13">
        <v>0.36</v>
      </c>
      <c r="E860" s="11">
        <v>2.8</v>
      </c>
      <c r="F860" s="12">
        <v>0.11600000000000001</v>
      </c>
      <c r="G860" s="11">
        <v>26</v>
      </c>
      <c r="H860" s="11">
        <v>55</v>
      </c>
      <c r="I860" s="14">
        <v>0.99722</v>
      </c>
      <c r="J860" s="13">
        <v>3.18</v>
      </c>
      <c r="K860" s="13">
        <v>0.68</v>
      </c>
      <c r="L860" s="11">
        <v>10.9</v>
      </c>
      <c r="M860" s="10">
        <v>5</v>
      </c>
    </row>
    <row r="861" spans="1:13" x14ac:dyDescent="0.3">
      <c r="A861" s="10">
        <v>860</v>
      </c>
      <c r="B861" s="11">
        <v>8.9</v>
      </c>
      <c r="C861" s="12">
        <v>0.28000000000000003</v>
      </c>
      <c r="D861" s="13">
        <v>0.45</v>
      </c>
      <c r="E861" s="11">
        <v>1.7</v>
      </c>
      <c r="F861" s="12">
        <v>6.7000000000000004E-2</v>
      </c>
      <c r="G861" s="11">
        <v>7</v>
      </c>
      <c r="H861" s="11">
        <v>12</v>
      </c>
      <c r="I861" s="14">
        <v>0.99353999999999998</v>
      </c>
      <c r="J861" s="13">
        <v>3.25</v>
      </c>
      <c r="K861" s="13">
        <v>0.55000000000000004</v>
      </c>
      <c r="L861" s="11">
        <v>12.3</v>
      </c>
      <c r="M861" s="10">
        <v>7</v>
      </c>
    </row>
    <row r="862" spans="1:13" x14ac:dyDescent="0.3">
      <c r="A862" s="10">
        <v>861</v>
      </c>
      <c r="B862" s="11">
        <v>8.9</v>
      </c>
      <c r="C862" s="12">
        <v>0.32</v>
      </c>
      <c r="D862" s="13">
        <v>0.31</v>
      </c>
      <c r="E862" s="11">
        <v>2</v>
      </c>
      <c r="F862" s="12">
        <v>8.7999999999999995E-2</v>
      </c>
      <c r="G862" s="11">
        <v>12</v>
      </c>
      <c r="H862" s="11">
        <v>19</v>
      </c>
      <c r="I862" s="14">
        <v>0.99570000000000003</v>
      </c>
      <c r="J862" s="13">
        <v>3.17</v>
      </c>
      <c r="K862" s="13">
        <v>0.55000000000000004</v>
      </c>
      <c r="L862" s="11">
        <v>10.4</v>
      </c>
      <c r="M862" s="10">
        <v>6</v>
      </c>
    </row>
    <row r="863" spans="1:13" x14ac:dyDescent="0.3">
      <c r="A863" s="10">
        <v>862</v>
      </c>
      <c r="B863" s="11">
        <v>7.7</v>
      </c>
      <c r="C863" s="12">
        <v>1.0049999999999999</v>
      </c>
      <c r="D863" s="13">
        <v>0.15</v>
      </c>
      <c r="E863" s="11">
        <v>2.1</v>
      </c>
      <c r="F863" s="12">
        <v>0.10199999999999999</v>
      </c>
      <c r="G863" s="11">
        <v>11</v>
      </c>
      <c r="H863" s="11">
        <v>32</v>
      </c>
      <c r="I863" s="14">
        <v>0.99604000000000004</v>
      </c>
      <c r="J863" s="13">
        <v>3.23</v>
      </c>
      <c r="K863" s="13">
        <v>0.48</v>
      </c>
      <c r="L863" s="11">
        <v>10</v>
      </c>
      <c r="M863" s="10">
        <v>5</v>
      </c>
    </row>
    <row r="864" spans="1:13" x14ac:dyDescent="0.3">
      <c r="A864" s="10">
        <v>863</v>
      </c>
      <c r="B864" s="11">
        <v>7.5</v>
      </c>
      <c r="C864" s="12">
        <v>0.71</v>
      </c>
      <c r="D864" s="13">
        <v>0</v>
      </c>
      <c r="E864" s="11">
        <v>1.6</v>
      </c>
      <c r="F864" s="12">
        <v>9.1999999999999998E-2</v>
      </c>
      <c r="G864" s="11">
        <v>22</v>
      </c>
      <c r="H864" s="11">
        <v>31</v>
      </c>
      <c r="I864" s="14">
        <v>0.99634999999999996</v>
      </c>
      <c r="J864" s="13">
        <v>3.38</v>
      </c>
      <c r="K864" s="13">
        <v>0.57999999999999996</v>
      </c>
      <c r="L864" s="11">
        <v>10</v>
      </c>
      <c r="M864" s="10">
        <v>6</v>
      </c>
    </row>
    <row r="865" spans="1:13" x14ac:dyDescent="0.3">
      <c r="A865" s="10">
        <v>864</v>
      </c>
      <c r="B865" s="11">
        <v>8</v>
      </c>
      <c r="C865" s="12">
        <v>0.57999999999999996</v>
      </c>
      <c r="D865" s="13">
        <v>0.16</v>
      </c>
      <c r="E865" s="11">
        <v>2</v>
      </c>
      <c r="F865" s="12">
        <v>0.12</v>
      </c>
      <c r="G865" s="11">
        <v>3</v>
      </c>
      <c r="H865" s="11">
        <v>7</v>
      </c>
      <c r="I865" s="14">
        <v>0.99453999999999998</v>
      </c>
      <c r="J865" s="13">
        <v>3.22</v>
      </c>
      <c r="K865" s="13">
        <v>0.57999999999999996</v>
      </c>
      <c r="L865" s="11">
        <v>11.2</v>
      </c>
      <c r="M865" s="10">
        <v>6</v>
      </c>
    </row>
    <row r="866" spans="1:13" x14ac:dyDescent="0.3">
      <c r="A866" s="10">
        <v>865</v>
      </c>
      <c r="B866" s="11">
        <v>10.5</v>
      </c>
      <c r="C866" s="12">
        <v>0.39</v>
      </c>
      <c r="D866" s="13">
        <v>0.46</v>
      </c>
      <c r="E866" s="11">
        <v>2.2000000000000002</v>
      </c>
      <c r="F866" s="12">
        <v>7.4999999999999997E-2</v>
      </c>
      <c r="G866" s="11">
        <v>14</v>
      </c>
      <c r="H866" s="11">
        <v>27</v>
      </c>
      <c r="I866" s="14">
        <v>0.99597999999999998</v>
      </c>
      <c r="J866" s="13">
        <v>3.06</v>
      </c>
      <c r="K866" s="13">
        <v>0.84</v>
      </c>
      <c r="L866" s="11">
        <v>11.4</v>
      </c>
      <c r="M866" s="10">
        <v>6</v>
      </c>
    </row>
    <row r="867" spans="1:13" x14ac:dyDescent="0.3">
      <c r="A867" s="10">
        <v>866</v>
      </c>
      <c r="B867" s="11">
        <v>8.9</v>
      </c>
      <c r="C867" s="12">
        <v>0.38</v>
      </c>
      <c r="D867" s="13">
        <v>0.4</v>
      </c>
      <c r="E867" s="11">
        <v>2.2000000000000002</v>
      </c>
      <c r="F867" s="12">
        <v>6.8000000000000005E-2</v>
      </c>
      <c r="G867" s="11">
        <v>12</v>
      </c>
      <c r="H867" s="11">
        <v>28</v>
      </c>
      <c r="I867" s="14">
        <v>0.99485999999999997</v>
      </c>
      <c r="J867" s="13">
        <v>3.27</v>
      </c>
      <c r="K867" s="13">
        <v>0.75</v>
      </c>
      <c r="L867" s="11">
        <v>12.6</v>
      </c>
      <c r="M867" s="10">
        <v>7</v>
      </c>
    </row>
    <row r="868" spans="1:13" x14ac:dyDescent="0.3">
      <c r="A868" s="10">
        <v>867</v>
      </c>
      <c r="B868" s="11">
        <v>8</v>
      </c>
      <c r="C868" s="12">
        <v>0.18</v>
      </c>
      <c r="D868" s="13">
        <v>0.37</v>
      </c>
      <c r="E868" s="11">
        <v>0.9</v>
      </c>
      <c r="F868" s="12">
        <v>4.9000000000000002E-2</v>
      </c>
      <c r="G868" s="11">
        <v>36</v>
      </c>
      <c r="H868" s="11">
        <v>109</v>
      </c>
      <c r="I868" s="14">
        <v>0.99007000000000001</v>
      </c>
      <c r="J868" s="13">
        <v>2.89</v>
      </c>
      <c r="K868" s="13">
        <v>0.44</v>
      </c>
      <c r="L868" s="11">
        <v>12.7</v>
      </c>
      <c r="M868" s="10">
        <v>6</v>
      </c>
    </row>
    <row r="869" spans="1:13" x14ac:dyDescent="0.3">
      <c r="A869" s="10">
        <v>868</v>
      </c>
      <c r="B869" s="11">
        <v>7</v>
      </c>
      <c r="C869" s="12">
        <v>0.5</v>
      </c>
      <c r="D869" s="13">
        <v>0.14000000000000001</v>
      </c>
      <c r="E869" s="11">
        <v>1.8</v>
      </c>
      <c r="F869" s="12">
        <v>7.8E-2</v>
      </c>
      <c r="G869" s="11">
        <v>10</v>
      </c>
      <c r="H869" s="11">
        <v>23</v>
      </c>
      <c r="I869" s="14">
        <v>0.99636000000000002</v>
      </c>
      <c r="J869" s="13">
        <v>3.53</v>
      </c>
      <c r="K869" s="13">
        <v>0.61</v>
      </c>
      <c r="L869" s="11">
        <v>10.4</v>
      </c>
      <c r="M869" s="10">
        <v>5</v>
      </c>
    </row>
    <row r="870" spans="1:13" x14ac:dyDescent="0.3">
      <c r="A870" s="10">
        <v>869</v>
      </c>
      <c r="B870" s="11">
        <v>11.3</v>
      </c>
      <c r="C870" s="12">
        <v>0.36</v>
      </c>
      <c r="D870" s="13">
        <v>0.66</v>
      </c>
      <c r="E870" s="11">
        <v>2.4</v>
      </c>
      <c r="F870" s="12">
        <v>0.123</v>
      </c>
      <c r="G870" s="11">
        <v>3</v>
      </c>
      <c r="H870" s="11">
        <v>8</v>
      </c>
      <c r="I870" s="14">
        <v>0.99641999999999997</v>
      </c>
      <c r="J870" s="13">
        <v>3.2</v>
      </c>
      <c r="K870" s="13">
        <v>0.53</v>
      </c>
      <c r="L870" s="11">
        <v>11.9</v>
      </c>
      <c r="M870" s="10">
        <v>6</v>
      </c>
    </row>
    <row r="871" spans="1:13" x14ac:dyDescent="0.3">
      <c r="A871" s="10">
        <v>870</v>
      </c>
      <c r="B871" s="11">
        <v>7</v>
      </c>
      <c r="C871" s="12">
        <v>0.51</v>
      </c>
      <c r="D871" s="13">
        <v>0.09</v>
      </c>
      <c r="E871" s="11">
        <v>2.1</v>
      </c>
      <c r="F871" s="12">
        <v>6.2E-2</v>
      </c>
      <c r="G871" s="11">
        <v>4</v>
      </c>
      <c r="H871" s="11">
        <v>9</v>
      </c>
      <c r="I871" s="14">
        <v>0.99583999999999995</v>
      </c>
      <c r="J871" s="13">
        <v>3.35</v>
      </c>
      <c r="K871" s="13">
        <v>0.54</v>
      </c>
      <c r="L871" s="11">
        <v>10.5</v>
      </c>
      <c r="M871" s="10">
        <v>5</v>
      </c>
    </row>
    <row r="872" spans="1:13" x14ac:dyDescent="0.3">
      <c r="A872" s="10">
        <v>871</v>
      </c>
      <c r="B872" s="11">
        <v>8.1999999999999993</v>
      </c>
      <c r="C872" s="12">
        <v>0.32</v>
      </c>
      <c r="D872" s="13">
        <v>0.42</v>
      </c>
      <c r="E872" s="11">
        <v>2.2999999999999998</v>
      </c>
      <c r="F872" s="12">
        <v>9.8000000000000004E-2</v>
      </c>
      <c r="G872" s="11">
        <v>3</v>
      </c>
      <c r="H872" s="11">
        <v>9</v>
      </c>
      <c r="I872" s="14">
        <v>0.99505999999999994</v>
      </c>
      <c r="J872" s="13">
        <v>3.27</v>
      </c>
      <c r="K872" s="13">
        <v>0.55000000000000004</v>
      </c>
      <c r="L872" s="11">
        <v>12.3</v>
      </c>
      <c r="M872" s="10">
        <v>6</v>
      </c>
    </row>
    <row r="873" spans="1:13" x14ac:dyDescent="0.3">
      <c r="A873" s="10">
        <v>872</v>
      </c>
      <c r="B873" s="11">
        <v>7.7</v>
      </c>
      <c r="C873" s="12">
        <v>0.57999999999999996</v>
      </c>
      <c r="D873" s="13">
        <v>0.01</v>
      </c>
      <c r="E873" s="11">
        <v>1.8</v>
      </c>
      <c r="F873" s="12">
        <v>8.7999999999999995E-2</v>
      </c>
      <c r="G873" s="11">
        <v>12</v>
      </c>
      <c r="H873" s="11">
        <v>18</v>
      </c>
      <c r="I873" s="14">
        <v>0.99568000000000001</v>
      </c>
      <c r="J873" s="13">
        <v>3.32</v>
      </c>
      <c r="K873" s="13">
        <v>0.56000000000000005</v>
      </c>
      <c r="L873" s="11">
        <v>10.5</v>
      </c>
      <c r="M873" s="10">
        <v>7</v>
      </c>
    </row>
    <row r="874" spans="1:13" x14ac:dyDescent="0.3">
      <c r="A874" s="10">
        <v>873</v>
      </c>
      <c r="B874" s="11">
        <v>8.6</v>
      </c>
      <c r="C874" s="12">
        <v>0.83</v>
      </c>
      <c r="D874" s="13">
        <v>0</v>
      </c>
      <c r="E874" s="11">
        <v>2.8</v>
      </c>
      <c r="F874" s="12">
        <v>9.5000000000000001E-2</v>
      </c>
      <c r="G874" s="11">
        <v>17</v>
      </c>
      <c r="H874" s="11">
        <v>43</v>
      </c>
      <c r="I874" s="14">
        <v>0.99822</v>
      </c>
      <c r="J874" s="13">
        <v>3.33</v>
      </c>
      <c r="K874" s="13">
        <v>0.6</v>
      </c>
      <c r="L874" s="11">
        <v>10.4</v>
      </c>
      <c r="M874" s="10">
        <v>6</v>
      </c>
    </row>
    <row r="875" spans="1:13" x14ac:dyDescent="0.3">
      <c r="A875" s="10">
        <v>874</v>
      </c>
      <c r="B875" s="11">
        <v>7.9</v>
      </c>
      <c r="C875" s="12">
        <v>0.31</v>
      </c>
      <c r="D875" s="13">
        <v>0.32</v>
      </c>
      <c r="E875" s="11">
        <v>1.9</v>
      </c>
      <c r="F875" s="12">
        <v>6.6000000000000003E-2</v>
      </c>
      <c r="G875" s="11">
        <v>14</v>
      </c>
      <c r="H875" s="11">
        <v>36</v>
      </c>
      <c r="I875" s="14">
        <v>0.99363999999999997</v>
      </c>
      <c r="J875" s="13">
        <v>3.41</v>
      </c>
      <c r="K875" s="13">
        <v>0.56000000000000005</v>
      </c>
      <c r="L875" s="11">
        <v>12.6</v>
      </c>
      <c r="M875" s="10">
        <v>6</v>
      </c>
    </row>
    <row r="876" spans="1:13" x14ac:dyDescent="0.3">
      <c r="A876" s="10">
        <v>875</v>
      </c>
      <c r="B876" s="11">
        <v>6.4</v>
      </c>
      <c r="C876" s="12">
        <v>0.79500000000000004</v>
      </c>
      <c r="D876" s="13">
        <v>0</v>
      </c>
      <c r="E876" s="11">
        <v>2.2000000000000002</v>
      </c>
      <c r="F876" s="12">
        <v>6.5000000000000002E-2</v>
      </c>
      <c r="G876" s="11">
        <v>28</v>
      </c>
      <c r="H876" s="11">
        <v>52</v>
      </c>
      <c r="I876" s="14">
        <v>0.99378</v>
      </c>
      <c r="J876" s="13">
        <v>3.49</v>
      </c>
      <c r="K876" s="13">
        <v>0.52</v>
      </c>
      <c r="L876" s="11">
        <v>11.6</v>
      </c>
      <c r="M876" s="10">
        <v>5</v>
      </c>
    </row>
    <row r="877" spans="1:13" x14ac:dyDescent="0.3">
      <c r="A877" s="10">
        <v>876</v>
      </c>
      <c r="B877" s="11">
        <v>7.2</v>
      </c>
      <c r="C877" s="12">
        <v>0.34</v>
      </c>
      <c r="D877" s="13">
        <v>0.21</v>
      </c>
      <c r="E877" s="11">
        <v>2.5</v>
      </c>
      <c r="F877" s="12">
        <v>7.4999999999999997E-2</v>
      </c>
      <c r="G877" s="11">
        <v>41</v>
      </c>
      <c r="H877" s="11">
        <v>68</v>
      </c>
      <c r="I877" s="14">
        <v>0.99585999999999997</v>
      </c>
      <c r="J877" s="13">
        <v>3.37</v>
      </c>
      <c r="K877" s="13">
        <v>0.54</v>
      </c>
      <c r="L877" s="11">
        <v>10.1</v>
      </c>
      <c r="M877" s="10">
        <v>6</v>
      </c>
    </row>
    <row r="878" spans="1:13" x14ac:dyDescent="0.3">
      <c r="A878" s="10">
        <v>877</v>
      </c>
      <c r="B878" s="11">
        <v>7.1</v>
      </c>
      <c r="C878" s="12">
        <v>0.59</v>
      </c>
      <c r="D878" s="13">
        <v>0</v>
      </c>
      <c r="E878" s="11">
        <v>2.1</v>
      </c>
      <c r="F878" s="12">
        <v>9.0999999999999998E-2</v>
      </c>
      <c r="G878" s="11">
        <v>9</v>
      </c>
      <c r="H878" s="11">
        <v>14</v>
      </c>
      <c r="I878" s="14">
        <v>0.99487999999999999</v>
      </c>
      <c r="J878" s="13">
        <v>3.42</v>
      </c>
      <c r="K878" s="13">
        <v>0.55000000000000004</v>
      </c>
      <c r="L878" s="11">
        <v>11.5</v>
      </c>
      <c r="M878" s="10">
        <v>7</v>
      </c>
    </row>
    <row r="879" spans="1:13" x14ac:dyDescent="0.3">
      <c r="A879" s="10">
        <v>878</v>
      </c>
      <c r="B879" s="11">
        <v>7.3</v>
      </c>
      <c r="C879" s="12">
        <v>0.55000000000000004</v>
      </c>
      <c r="D879" s="13">
        <v>0.01</v>
      </c>
      <c r="E879" s="11">
        <v>1.8</v>
      </c>
      <c r="F879" s="12">
        <v>9.2999999999999999E-2</v>
      </c>
      <c r="G879" s="11">
        <v>9</v>
      </c>
      <c r="H879" s="11">
        <v>15</v>
      </c>
      <c r="I879" s="14">
        <v>0.99514000000000002</v>
      </c>
      <c r="J879" s="13">
        <v>3.35</v>
      </c>
      <c r="K879" s="13">
        <v>0.57999999999999996</v>
      </c>
      <c r="L879" s="11">
        <v>11</v>
      </c>
      <c r="M879" s="10">
        <v>7</v>
      </c>
    </row>
    <row r="880" spans="1:13" x14ac:dyDescent="0.3">
      <c r="A880" s="10">
        <v>879</v>
      </c>
      <c r="B880" s="11">
        <v>8.1</v>
      </c>
      <c r="C880" s="12">
        <v>0.82</v>
      </c>
      <c r="D880" s="13">
        <v>0</v>
      </c>
      <c r="E880" s="11">
        <v>4.0999999999999996</v>
      </c>
      <c r="F880" s="12">
        <v>9.5000000000000001E-2</v>
      </c>
      <c r="G880" s="11">
        <v>5</v>
      </c>
      <c r="H880" s="11">
        <v>14</v>
      </c>
      <c r="I880" s="14">
        <v>0.99853999999999998</v>
      </c>
      <c r="J880" s="13">
        <v>3.36</v>
      </c>
      <c r="K880" s="13">
        <v>0.53</v>
      </c>
      <c r="L880" s="11">
        <v>9.6</v>
      </c>
      <c r="M880" s="10">
        <v>5</v>
      </c>
    </row>
    <row r="881" spans="1:13" x14ac:dyDescent="0.3">
      <c r="A881" s="10">
        <v>880</v>
      </c>
      <c r="B881" s="11">
        <v>7.5</v>
      </c>
      <c r="C881" s="12">
        <v>0.56999999999999995</v>
      </c>
      <c r="D881" s="13">
        <v>0.08</v>
      </c>
      <c r="E881" s="11">
        <v>2.6</v>
      </c>
      <c r="F881" s="12">
        <v>8.8999999999999996E-2</v>
      </c>
      <c r="G881" s="11">
        <v>14</v>
      </c>
      <c r="H881" s="11">
        <v>27</v>
      </c>
      <c r="I881" s="14">
        <v>0.99592000000000003</v>
      </c>
      <c r="J881" s="13">
        <v>3.3</v>
      </c>
      <c r="K881" s="13">
        <v>0.59</v>
      </c>
      <c r="L881" s="11">
        <v>10.4</v>
      </c>
      <c r="M881" s="10">
        <v>6</v>
      </c>
    </row>
    <row r="882" spans="1:13" x14ac:dyDescent="0.3">
      <c r="A882" s="10">
        <v>881</v>
      </c>
      <c r="B882" s="11">
        <v>8.9</v>
      </c>
      <c r="C882" s="12">
        <v>0.745</v>
      </c>
      <c r="D882" s="13">
        <v>0.18</v>
      </c>
      <c r="E882" s="11">
        <v>2.5</v>
      </c>
      <c r="F882" s="12">
        <v>7.6999999999999999E-2</v>
      </c>
      <c r="G882" s="11">
        <v>15</v>
      </c>
      <c r="H882" s="11">
        <v>48</v>
      </c>
      <c r="I882" s="14">
        <v>0.99739</v>
      </c>
      <c r="J882" s="13">
        <v>3.2</v>
      </c>
      <c r="K882" s="13">
        <v>0.47</v>
      </c>
      <c r="L882" s="11">
        <v>9.6999999999999993</v>
      </c>
      <c r="M882" s="10">
        <v>6</v>
      </c>
    </row>
    <row r="883" spans="1:13" x14ac:dyDescent="0.3">
      <c r="A883" s="10">
        <v>882</v>
      </c>
      <c r="B883" s="11">
        <v>10.1</v>
      </c>
      <c r="C883" s="12">
        <v>0.37</v>
      </c>
      <c r="D883" s="13">
        <v>0.34</v>
      </c>
      <c r="E883" s="11">
        <v>2.4</v>
      </c>
      <c r="F883" s="12">
        <v>8.5000000000000006E-2</v>
      </c>
      <c r="G883" s="11">
        <v>5</v>
      </c>
      <c r="H883" s="11">
        <v>17</v>
      </c>
      <c r="I883" s="14">
        <v>0.99682999999999999</v>
      </c>
      <c r="J883" s="13">
        <v>3.17</v>
      </c>
      <c r="K883" s="13">
        <v>0.65</v>
      </c>
      <c r="L883" s="11">
        <v>10.6</v>
      </c>
      <c r="M883" s="10">
        <v>7</v>
      </c>
    </row>
    <row r="884" spans="1:13" x14ac:dyDescent="0.3">
      <c r="A884" s="10">
        <v>883</v>
      </c>
      <c r="B884" s="11">
        <v>7.6</v>
      </c>
      <c r="C884" s="12">
        <v>0.31</v>
      </c>
      <c r="D884" s="13">
        <v>0.34</v>
      </c>
      <c r="E884" s="11">
        <v>2.5</v>
      </c>
      <c r="F884" s="12">
        <v>8.2000000000000003E-2</v>
      </c>
      <c r="G884" s="11">
        <v>26</v>
      </c>
      <c r="H884" s="11">
        <v>35</v>
      </c>
      <c r="I884" s="14">
        <v>0.99356</v>
      </c>
      <c r="J884" s="13">
        <v>3.22</v>
      </c>
      <c r="K884" s="13">
        <v>0.59</v>
      </c>
      <c r="L884" s="11">
        <v>12.5</v>
      </c>
      <c r="M884" s="10">
        <v>7</v>
      </c>
    </row>
    <row r="885" spans="1:13" x14ac:dyDescent="0.3">
      <c r="A885" s="10">
        <v>884</v>
      </c>
      <c r="B885" s="11">
        <v>7.3</v>
      </c>
      <c r="C885" s="12">
        <v>0.91</v>
      </c>
      <c r="D885" s="13">
        <v>0.1</v>
      </c>
      <c r="E885" s="11">
        <v>1.8</v>
      </c>
      <c r="F885" s="12">
        <v>7.3999999999999996E-2</v>
      </c>
      <c r="G885" s="11">
        <v>20</v>
      </c>
      <c r="H885" s="11">
        <v>56</v>
      </c>
      <c r="I885" s="14">
        <v>0.99672000000000005</v>
      </c>
      <c r="J885" s="13">
        <v>3.35</v>
      </c>
      <c r="K885" s="13">
        <v>0.56000000000000005</v>
      </c>
      <c r="L885" s="11">
        <v>9.1999999999999993</v>
      </c>
      <c r="M885" s="10">
        <v>5</v>
      </c>
    </row>
    <row r="886" spans="1:13" x14ac:dyDescent="0.3">
      <c r="A886" s="10">
        <v>885</v>
      </c>
      <c r="B886" s="11">
        <v>8.6999999999999993</v>
      </c>
      <c r="C886" s="12">
        <v>0.41</v>
      </c>
      <c r="D886" s="13">
        <v>0.41</v>
      </c>
      <c r="E886" s="11">
        <v>6.2</v>
      </c>
      <c r="F886" s="12">
        <v>7.8E-2</v>
      </c>
      <c r="G886" s="11">
        <v>25</v>
      </c>
      <c r="H886" s="11">
        <v>42</v>
      </c>
      <c r="I886" s="14">
        <v>0.99529999999999996</v>
      </c>
      <c r="J886" s="13">
        <v>3.24</v>
      </c>
      <c r="K886" s="13">
        <v>0.77</v>
      </c>
      <c r="L886" s="11">
        <v>12.6</v>
      </c>
      <c r="M886" s="10">
        <v>7</v>
      </c>
    </row>
    <row r="887" spans="1:13" x14ac:dyDescent="0.3">
      <c r="A887" s="10">
        <v>886</v>
      </c>
      <c r="B887" s="11">
        <v>8.9</v>
      </c>
      <c r="C887" s="12">
        <v>0.5</v>
      </c>
      <c r="D887" s="13">
        <v>0.21</v>
      </c>
      <c r="E887" s="11">
        <v>2.2000000000000002</v>
      </c>
      <c r="F887" s="12">
        <v>8.7999999999999995E-2</v>
      </c>
      <c r="G887" s="11">
        <v>21</v>
      </c>
      <c r="H887" s="11">
        <v>39</v>
      </c>
      <c r="I887" s="14">
        <v>0.99692000000000003</v>
      </c>
      <c r="J887" s="13">
        <v>3.33</v>
      </c>
      <c r="K887" s="13">
        <v>0.83</v>
      </c>
      <c r="L887" s="11">
        <v>11.1</v>
      </c>
      <c r="M887" s="10">
        <v>6</v>
      </c>
    </row>
    <row r="888" spans="1:13" x14ac:dyDescent="0.3">
      <c r="A888" s="10">
        <v>887</v>
      </c>
      <c r="B888" s="11">
        <v>7.4</v>
      </c>
      <c r="C888" s="12">
        <v>0.96499999999999997</v>
      </c>
      <c r="D888" s="13">
        <v>0</v>
      </c>
      <c r="E888" s="11">
        <v>2.2000000000000002</v>
      </c>
      <c r="F888" s="12">
        <v>8.7999999999999995E-2</v>
      </c>
      <c r="G888" s="11">
        <v>16</v>
      </c>
      <c r="H888" s="11">
        <v>32</v>
      </c>
      <c r="I888" s="14">
        <v>0.99756</v>
      </c>
      <c r="J888" s="13">
        <v>3.58</v>
      </c>
      <c r="K888" s="13">
        <v>0.67</v>
      </c>
      <c r="L888" s="11">
        <v>10.199999999999999</v>
      </c>
      <c r="M888" s="10">
        <v>5</v>
      </c>
    </row>
    <row r="889" spans="1:13" x14ac:dyDescent="0.3">
      <c r="A889" s="10">
        <v>888</v>
      </c>
      <c r="B889" s="11">
        <v>6.9</v>
      </c>
      <c r="C889" s="12">
        <v>0.49</v>
      </c>
      <c r="D889" s="13">
        <v>0.19</v>
      </c>
      <c r="E889" s="11">
        <v>1.7</v>
      </c>
      <c r="F889" s="12">
        <v>7.9000000000000001E-2</v>
      </c>
      <c r="G889" s="11">
        <v>13</v>
      </c>
      <c r="H889" s="11">
        <v>26</v>
      </c>
      <c r="I889" s="14">
        <v>0.99546999999999997</v>
      </c>
      <c r="J889" s="13">
        <v>3.38</v>
      </c>
      <c r="K889" s="13">
        <v>0.64</v>
      </c>
      <c r="L889" s="11">
        <v>9.8000000000000007</v>
      </c>
      <c r="M889" s="10">
        <v>6</v>
      </c>
    </row>
    <row r="890" spans="1:13" x14ac:dyDescent="0.3">
      <c r="A890" s="10">
        <v>889</v>
      </c>
      <c r="B890" s="11">
        <v>9.5</v>
      </c>
      <c r="C890" s="12">
        <v>0.39</v>
      </c>
      <c r="D890" s="13">
        <v>0.41</v>
      </c>
      <c r="E890" s="11">
        <v>8.9</v>
      </c>
      <c r="F890" s="12">
        <v>6.9000000000000006E-2</v>
      </c>
      <c r="G890" s="11">
        <v>18</v>
      </c>
      <c r="H890" s="11">
        <v>39</v>
      </c>
      <c r="I890" s="14">
        <v>0.99858999999999998</v>
      </c>
      <c r="J890" s="13">
        <v>3.29</v>
      </c>
      <c r="K890" s="13">
        <v>0.81</v>
      </c>
      <c r="L890" s="11">
        <v>10.9</v>
      </c>
      <c r="M890" s="10">
        <v>7</v>
      </c>
    </row>
    <row r="891" spans="1:13" x14ac:dyDescent="0.3">
      <c r="A891" s="10">
        <v>890</v>
      </c>
      <c r="B891" s="11">
        <v>6.4</v>
      </c>
      <c r="C891" s="12">
        <v>0.39</v>
      </c>
      <c r="D891" s="13">
        <v>0.33</v>
      </c>
      <c r="E891" s="11">
        <v>3.3</v>
      </c>
      <c r="F891" s="12">
        <v>4.5999999999999999E-2</v>
      </c>
      <c r="G891" s="11">
        <v>12</v>
      </c>
      <c r="H891" s="11">
        <v>53</v>
      </c>
      <c r="I891" s="14">
        <v>0.99294000000000004</v>
      </c>
      <c r="J891" s="13">
        <v>3.36</v>
      </c>
      <c r="K891" s="13">
        <v>0.62</v>
      </c>
      <c r="L891" s="11">
        <v>12.2</v>
      </c>
      <c r="M891" s="10">
        <v>6</v>
      </c>
    </row>
    <row r="892" spans="1:13" x14ac:dyDescent="0.3">
      <c r="A892" s="10">
        <v>891</v>
      </c>
      <c r="B892" s="11">
        <v>6.9</v>
      </c>
      <c r="C892" s="12">
        <v>0.44</v>
      </c>
      <c r="D892" s="13">
        <v>0</v>
      </c>
      <c r="E892" s="11">
        <v>1.4</v>
      </c>
      <c r="F892" s="12">
        <v>7.0000000000000007E-2</v>
      </c>
      <c r="G892" s="11">
        <v>32</v>
      </c>
      <c r="H892" s="11">
        <v>38</v>
      </c>
      <c r="I892" s="14">
        <v>0.99438000000000004</v>
      </c>
      <c r="J892" s="13">
        <v>3.32</v>
      </c>
      <c r="K892" s="13">
        <v>0.57999999999999996</v>
      </c>
      <c r="L892" s="11">
        <v>11.4</v>
      </c>
      <c r="M892" s="10">
        <v>6</v>
      </c>
    </row>
    <row r="893" spans="1:13" x14ac:dyDescent="0.3">
      <c r="A893" s="10">
        <v>892</v>
      </c>
      <c r="B893" s="11">
        <v>7.6</v>
      </c>
      <c r="C893" s="12">
        <v>0.78</v>
      </c>
      <c r="D893" s="13">
        <v>0</v>
      </c>
      <c r="E893" s="11">
        <v>1.7</v>
      </c>
      <c r="F893" s="12">
        <v>7.5999999999999998E-2</v>
      </c>
      <c r="G893" s="11">
        <v>33</v>
      </c>
      <c r="H893" s="11">
        <v>45</v>
      </c>
      <c r="I893" s="14">
        <v>0.99612000000000001</v>
      </c>
      <c r="J893" s="13">
        <v>3.31</v>
      </c>
      <c r="K893" s="13">
        <v>0.62</v>
      </c>
      <c r="L893" s="11">
        <v>10.7</v>
      </c>
      <c r="M893" s="10">
        <v>6</v>
      </c>
    </row>
    <row r="894" spans="1:13" x14ac:dyDescent="0.3">
      <c r="A894" s="10">
        <v>893</v>
      </c>
      <c r="B894" s="11">
        <v>7.1</v>
      </c>
      <c r="C894" s="12">
        <v>0.43</v>
      </c>
      <c r="D894" s="13">
        <v>0.17</v>
      </c>
      <c r="E894" s="11">
        <v>1.8</v>
      </c>
      <c r="F894" s="12">
        <v>8.2000000000000003E-2</v>
      </c>
      <c r="G894" s="11">
        <v>27</v>
      </c>
      <c r="H894" s="11">
        <v>51</v>
      </c>
      <c r="I894" s="14">
        <v>0.99634</v>
      </c>
      <c r="J894" s="13">
        <v>3.49</v>
      </c>
      <c r="K894" s="13">
        <v>0.64</v>
      </c>
      <c r="L894" s="11">
        <v>10.4</v>
      </c>
      <c r="M894" s="10">
        <v>5</v>
      </c>
    </row>
    <row r="895" spans="1:13" x14ac:dyDescent="0.3">
      <c r="A895" s="10">
        <v>894</v>
      </c>
      <c r="B895" s="11">
        <v>9.3000000000000007</v>
      </c>
      <c r="C895" s="12">
        <v>0.49</v>
      </c>
      <c r="D895" s="13">
        <v>0.36</v>
      </c>
      <c r="E895" s="11">
        <v>1.7</v>
      </c>
      <c r="F895" s="12">
        <v>8.1000000000000003E-2</v>
      </c>
      <c r="G895" s="11">
        <v>3</v>
      </c>
      <c r="H895" s="11">
        <v>14</v>
      </c>
      <c r="I895" s="14">
        <v>0.99702000000000002</v>
      </c>
      <c r="J895" s="13">
        <v>3.27</v>
      </c>
      <c r="K895" s="13">
        <v>0.78</v>
      </c>
      <c r="L895" s="11">
        <v>10.9</v>
      </c>
      <c r="M895" s="10">
        <v>6</v>
      </c>
    </row>
    <row r="896" spans="1:13" x14ac:dyDescent="0.3">
      <c r="A896" s="10">
        <v>895</v>
      </c>
      <c r="B896" s="11">
        <v>9.3000000000000007</v>
      </c>
      <c r="C896" s="12">
        <v>0.5</v>
      </c>
      <c r="D896" s="13">
        <v>0.36</v>
      </c>
      <c r="E896" s="11">
        <v>1.8</v>
      </c>
      <c r="F896" s="12">
        <v>8.4000000000000005E-2</v>
      </c>
      <c r="G896" s="11">
        <v>6</v>
      </c>
      <c r="H896" s="11">
        <v>17</v>
      </c>
      <c r="I896" s="14">
        <v>0.99704000000000004</v>
      </c>
      <c r="J896" s="13">
        <v>3.27</v>
      </c>
      <c r="K896" s="13">
        <v>0.77</v>
      </c>
      <c r="L896" s="11">
        <v>10.8</v>
      </c>
      <c r="M896" s="10">
        <v>6</v>
      </c>
    </row>
    <row r="897" spans="1:13" x14ac:dyDescent="0.3">
      <c r="A897" s="10">
        <v>896</v>
      </c>
      <c r="B897" s="11">
        <v>8.5</v>
      </c>
      <c r="C897" s="12">
        <v>0.46</v>
      </c>
      <c r="D897" s="13">
        <v>0.59</v>
      </c>
      <c r="E897" s="11">
        <v>1.4</v>
      </c>
      <c r="F897" s="12">
        <v>0.41399999999999998</v>
      </c>
      <c r="G897" s="11">
        <v>16</v>
      </c>
      <c r="H897" s="11">
        <v>45</v>
      </c>
      <c r="I897" s="14">
        <v>0.99702000000000002</v>
      </c>
      <c r="J897" s="13">
        <v>3.03</v>
      </c>
      <c r="K897" s="13">
        <v>1.34</v>
      </c>
      <c r="L897" s="11">
        <v>9.1999999999999993</v>
      </c>
      <c r="M897" s="10">
        <v>5</v>
      </c>
    </row>
    <row r="898" spans="1:13" x14ac:dyDescent="0.3">
      <c r="A898" s="10">
        <v>897</v>
      </c>
      <c r="B898" s="11">
        <v>5.6</v>
      </c>
      <c r="C898" s="12">
        <v>0.60499999999999998</v>
      </c>
      <c r="D898" s="13">
        <v>0.05</v>
      </c>
      <c r="E898" s="11">
        <v>2.4</v>
      </c>
      <c r="F898" s="12">
        <v>7.2999999999999995E-2</v>
      </c>
      <c r="G898" s="11">
        <v>19</v>
      </c>
      <c r="H898" s="11">
        <v>25</v>
      </c>
      <c r="I898" s="14">
        <v>0.99258000000000002</v>
      </c>
      <c r="J898" s="13">
        <v>3.56</v>
      </c>
      <c r="K898" s="13">
        <v>0.55000000000000004</v>
      </c>
      <c r="L898" s="11">
        <v>12.9</v>
      </c>
      <c r="M898" s="10">
        <v>5</v>
      </c>
    </row>
    <row r="899" spans="1:13" x14ac:dyDescent="0.3">
      <c r="A899" s="10">
        <v>898</v>
      </c>
      <c r="B899" s="11">
        <v>8.3000000000000007</v>
      </c>
      <c r="C899" s="12">
        <v>0.33</v>
      </c>
      <c r="D899" s="13">
        <v>0.42</v>
      </c>
      <c r="E899" s="11">
        <v>2.2999999999999998</v>
      </c>
      <c r="F899" s="12">
        <v>7.0000000000000007E-2</v>
      </c>
      <c r="G899" s="11">
        <v>9</v>
      </c>
      <c r="H899" s="11">
        <v>20</v>
      </c>
      <c r="I899" s="14">
        <v>0.99426000000000003</v>
      </c>
      <c r="J899" s="13">
        <v>3.38</v>
      </c>
      <c r="K899" s="13">
        <v>0.77</v>
      </c>
      <c r="L899" s="11">
        <v>12.7</v>
      </c>
      <c r="M899" s="10">
        <v>7</v>
      </c>
    </row>
    <row r="900" spans="1:13" x14ac:dyDescent="0.3">
      <c r="A900" s="10">
        <v>899</v>
      </c>
      <c r="B900" s="11">
        <v>8.1999999999999993</v>
      </c>
      <c r="C900" s="12">
        <v>0.64</v>
      </c>
      <c r="D900" s="13">
        <v>0.27</v>
      </c>
      <c r="E900" s="11">
        <v>2</v>
      </c>
      <c r="F900" s="12">
        <v>9.5000000000000001E-2</v>
      </c>
      <c r="G900" s="11">
        <v>5</v>
      </c>
      <c r="H900" s="11">
        <v>77</v>
      </c>
      <c r="I900" s="14">
        <v>0.99746999999999997</v>
      </c>
      <c r="J900" s="13">
        <v>3.13</v>
      </c>
      <c r="K900" s="13">
        <v>0.62</v>
      </c>
      <c r="L900" s="11">
        <v>9.1</v>
      </c>
      <c r="M900" s="10">
        <v>6</v>
      </c>
    </row>
    <row r="901" spans="1:13" x14ac:dyDescent="0.3">
      <c r="A901" s="10">
        <v>900</v>
      </c>
      <c r="B901" s="11">
        <v>8.9</v>
      </c>
      <c r="C901" s="12">
        <v>0.48</v>
      </c>
      <c r="D901" s="13">
        <v>0.53</v>
      </c>
      <c r="E901" s="11">
        <v>4</v>
      </c>
      <c r="F901" s="12">
        <v>0.10100000000000001</v>
      </c>
      <c r="G901" s="11">
        <v>3</v>
      </c>
      <c r="H901" s="11">
        <v>10</v>
      </c>
      <c r="I901" s="14">
        <v>0.99585999999999997</v>
      </c>
      <c r="J901" s="13">
        <v>3.21</v>
      </c>
      <c r="K901" s="13">
        <v>0.59</v>
      </c>
      <c r="L901" s="11">
        <v>12.1</v>
      </c>
      <c r="M901" s="10">
        <v>7</v>
      </c>
    </row>
    <row r="902" spans="1:13" x14ac:dyDescent="0.3">
      <c r="A902" s="10">
        <v>901</v>
      </c>
      <c r="B902" s="11">
        <v>7.6</v>
      </c>
      <c r="C902" s="12">
        <v>0.42</v>
      </c>
      <c r="D902" s="13">
        <v>0.25</v>
      </c>
      <c r="E902" s="11">
        <v>3.9</v>
      </c>
      <c r="F902" s="12">
        <v>0.104</v>
      </c>
      <c r="G902" s="11">
        <v>28</v>
      </c>
      <c r="H902" s="11">
        <v>90</v>
      </c>
      <c r="I902" s="14">
        <v>0.99783999999999995</v>
      </c>
      <c r="J902" s="13">
        <v>3.15</v>
      </c>
      <c r="K902" s="13">
        <v>0.56999999999999995</v>
      </c>
      <c r="L902" s="11">
        <v>9.1</v>
      </c>
      <c r="M902" s="10">
        <v>5</v>
      </c>
    </row>
    <row r="903" spans="1:13" x14ac:dyDescent="0.3">
      <c r="A903" s="10">
        <v>902</v>
      </c>
      <c r="B903" s="11">
        <v>9.9</v>
      </c>
      <c r="C903" s="12">
        <v>0.53</v>
      </c>
      <c r="D903" s="13">
        <v>0.56999999999999995</v>
      </c>
      <c r="E903" s="11">
        <v>2.4</v>
      </c>
      <c r="F903" s="12">
        <v>9.2999999999999999E-2</v>
      </c>
      <c r="G903" s="11">
        <v>30</v>
      </c>
      <c r="H903" s="11">
        <v>52</v>
      </c>
      <c r="I903" s="14">
        <v>0.99709999999999999</v>
      </c>
      <c r="J903" s="13">
        <v>3.19</v>
      </c>
      <c r="K903" s="13">
        <v>0.76</v>
      </c>
      <c r="L903" s="11">
        <v>11.6</v>
      </c>
      <c r="M903" s="10">
        <v>7</v>
      </c>
    </row>
    <row r="904" spans="1:13" x14ac:dyDescent="0.3">
      <c r="A904" s="10">
        <v>903</v>
      </c>
      <c r="B904" s="11">
        <v>11.6</v>
      </c>
      <c r="C904" s="12">
        <v>0.23</v>
      </c>
      <c r="D904" s="13">
        <v>0.56999999999999995</v>
      </c>
      <c r="E904" s="11">
        <v>1.8</v>
      </c>
      <c r="F904" s="12">
        <v>7.3999999999999996E-2</v>
      </c>
      <c r="G904" s="11">
        <v>3</v>
      </c>
      <c r="H904" s="11">
        <v>8</v>
      </c>
      <c r="I904" s="14">
        <v>0.99809999999999999</v>
      </c>
      <c r="J904" s="13">
        <v>3.14</v>
      </c>
      <c r="K904" s="13">
        <v>0.7</v>
      </c>
      <c r="L904" s="11">
        <v>9.9</v>
      </c>
      <c r="M904" s="10">
        <v>6</v>
      </c>
    </row>
    <row r="905" spans="1:13" x14ac:dyDescent="0.3">
      <c r="A905" s="10">
        <v>904</v>
      </c>
      <c r="B905" s="11">
        <v>9.1</v>
      </c>
      <c r="C905" s="12">
        <v>0.4</v>
      </c>
      <c r="D905" s="13">
        <v>0.5</v>
      </c>
      <c r="E905" s="11">
        <v>1.8</v>
      </c>
      <c r="F905" s="12">
        <v>7.0999999999999994E-2</v>
      </c>
      <c r="G905" s="11">
        <v>7</v>
      </c>
      <c r="H905" s="11">
        <v>16</v>
      </c>
      <c r="I905" s="14">
        <v>0.99461999999999995</v>
      </c>
      <c r="J905" s="13">
        <v>3.21</v>
      </c>
      <c r="K905" s="13">
        <v>0.69</v>
      </c>
      <c r="L905" s="11">
        <v>12.5</v>
      </c>
      <c r="M905" s="10">
        <v>8</v>
      </c>
    </row>
    <row r="906" spans="1:13" x14ac:dyDescent="0.3">
      <c r="A906" s="10">
        <v>905</v>
      </c>
      <c r="B906" s="11">
        <v>8</v>
      </c>
      <c r="C906" s="12">
        <v>0.38</v>
      </c>
      <c r="D906" s="13">
        <v>0.44</v>
      </c>
      <c r="E906" s="11">
        <v>1.9</v>
      </c>
      <c r="F906" s="12">
        <v>9.8000000000000004E-2</v>
      </c>
      <c r="G906" s="11">
        <v>6</v>
      </c>
      <c r="H906" s="11">
        <v>15</v>
      </c>
      <c r="I906" s="14">
        <v>0.99560000000000004</v>
      </c>
      <c r="J906" s="13">
        <v>3.3</v>
      </c>
      <c r="K906" s="13">
        <v>0.64</v>
      </c>
      <c r="L906" s="11">
        <v>11.4</v>
      </c>
      <c r="M906" s="10">
        <v>6</v>
      </c>
    </row>
    <row r="907" spans="1:13" x14ac:dyDescent="0.3">
      <c r="A907" s="10">
        <v>906</v>
      </c>
      <c r="B907" s="11">
        <v>10.199999999999999</v>
      </c>
      <c r="C907" s="12">
        <v>0.28999999999999998</v>
      </c>
      <c r="D907" s="13">
        <v>0.65</v>
      </c>
      <c r="E907" s="11">
        <v>2.4</v>
      </c>
      <c r="F907" s="12">
        <v>7.4999999999999997E-2</v>
      </c>
      <c r="G907" s="11">
        <v>6</v>
      </c>
      <c r="H907" s="11">
        <v>17</v>
      </c>
      <c r="I907" s="14">
        <v>0.99565000000000003</v>
      </c>
      <c r="J907" s="13">
        <v>3.22</v>
      </c>
      <c r="K907" s="13">
        <v>0.63</v>
      </c>
      <c r="L907" s="11">
        <v>11.8</v>
      </c>
      <c r="M907" s="10">
        <v>6</v>
      </c>
    </row>
    <row r="908" spans="1:13" x14ac:dyDescent="0.3">
      <c r="A908" s="10">
        <v>907</v>
      </c>
      <c r="B908" s="11">
        <v>8.1999999999999993</v>
      </c>
      <c r="C908" s="12">
        <v>0.74</v>
      </c>
      <c r="D908" s="13">
        <v>0.09</v>
      </c>
      <c r="E908" s="11">
        <v>2</v>
      </c>
      <c r="F908" s="12">
        <v>6.7000000000000004E-2</v>
      </c>
      <c r="G908" s="11">
        <v>5</v>
      </c>
      <c r="H908" s="11">
        <v>10</v>
      </c>
      <c r="I908" s="14">
        <v>0.99417999999999995</v>
      </c>
      <c r="J908" s="13">
        <v>3.28</v>
      </c>
      <c r="K908" s="13">
        <v>0.56999999999999995</v>
      </c>
      <c r="L908" s="11">
        <v>11.8</v>
      </c>
      <c r="M908" s="10">
        <v>6</v>
      </c>
    </row>
    <row r="909" spans="1:13" x14ac:dyDescent="0.3">
      <c r="A909" s="10">
        <v>908</v>
      </c>
      <c r="B909" s="11">
        <v>7.7</v>
      </c>
      <c r="C909" s="12">
        <v>0.61</v>
      </c>
      <c r="D909" s="13">
        <v>0.18</v>
      </c>
      <c r="E909" s="11">
        <v>2.4</v>
      </c>
      <c r="F909" s="12">
        <v>8.3000000000000004E-2</v>
      </c>
      <c r="G909" s="11">
        <v>6</v>
      </c>
      <c r="H909" s="11">
        <v>20</v>
      </c>
      <c r="I909" s="14">
        <v>0.99629999999999996</v>
      </c>
      <c r="J909" s="13">
        <v>3.29</v>
      </c>
      <c r="K909" s="13">
        <v>0.6</v>
      </c>
      <c r="L909" s="11">
        <v>10.199999999999999</v>
      </c>
      <c r="M909" s="10">
        <v>6</v>
      </c>
    </row>
    <row r="910" spans="1:13" x14ac:dyDescent="0.3">
      <c r="A910" s="10">
        <v>909</v>
      </c>
      <c r="B910" s="11">
        <v>6.6</v>
      </c>
      <c r="C910" s="12">
        <v>0.52</v>
      </c>
      <c r="D910" s="13">
        <v>0.08</v>
      </c>
      <c r="E910" s="11">
        <v>2.4</v>
      </c>
      <c r="F910" s="12">
        <v>7.0000000000000007E-2</v>
      </c>
      <c r="G910" s="11">
        <v>13</v>
      </c>
      <c r="H910" s="11">
        <v>26</v>
      </c>
      <c r="I910" s="14">
        <v>0.99358000000000002</v>
      </c>
      <c r="J910" s="13">
        <v>3.4</v>
      </c>
      <c r="K910" s="13">
        <v>0.72</v>
      </c>
      <c r="L910" s="11">
        <v>12.5</v>
      </c>
      <c r="M910" s="10">
        <v>7</v>
      </c>
    </row>
    <row r="911" spans="1:13" x14ac:dyDescent="0.3">
      <c r="A911" s="10">
        <v>910</v>
      </c>
      <c r="B911" s="11">
        <v>11.1</v>
      </c>
      <c r="C911" s="12">
        <v>0.31</v>
      </c>
      <c r="D911" s="13">
        <v>0.53</v>
      </c>
      <c r="E911" s="11">
        <v>2.2000000000000002</v>
      </c>
      <c r="F911" s="12">
        <v>0.06</v>
      </c>
      <c r="G911" s="11">
        <v>3</v>
      </c>
      <c r="H911" s="11">
        <v>10</v>
      </c>
      <c r="I911" s="14">
        <v>0.99572000000000005</v>
      </c>
      <c r="J911" s="13">
        <v>3.02</v>
      </c>
      <c r="K911" s="13">
        <v>0.83</v>
      </c>
      <c r="L911" s="11">
        <v>10.9</v>
      </c>
      <c r="M911" s="10">
        <v>7</v>
      </c>
    </row>
    <row r="912" spans="1:13" x14ac:dyDescent="0.3">
      <c r="A912" s="10">
        <v>911</v>
      </c>
      <c r="B912" s="11">
        <v>8</v>
      </c>
      <c r="C912" s="12">
        <v>0.62</v>
      </c>
      <c r="D912" s="13">
        <v>0.35</v>
      </c>
      <c r="E912" s="11">
        <v>2.8</v>
      </c>
      <c r="F912" s="12">
        <v>8.5999999999999993E-2</v>
      </c>
      <c r="G912" s="11">
        <v>28</v>
      </c>
      <c r="H912" s="11">
        <v>52</v>
      </c>
      <c r="I912" s="14">
        <v>0.997</v>
      </c>
      <c r="J912" s="13">
        <v>3.31</v>
      </c>
      <c r="K912" s="13">
        <v>0.62</v>
      </c>
      <c r="L912" s="11">
        <v>10.8</v>
      </c>
      <c r="M912" s="10">
        <v>5</v>
      </c>
    </row>
    <row r="913" spans="1:13" x14ac:dyDescent="0.3">
      <c r="A913" s="10">
        <v>912</v>
      </c>
      <c r="B913" s="11">
        <v>9.3000000000000007</v>
      </c>
      <c r="C913" s="12">
        <v>0.33</v>
      </c>
      <c r="D913" s="13">
        <v>0.45</v>
      </c>
      <c r="E913" s="11">
        <v>1.5</v>
      </c>
      <c r="F913" s="12">
        <v>5.7000000000000002E-2</v>
      </c>
      <c r="G913" s="11">
        <v>19</v>
      </c>
      <c r="H913" s="11">
        <v>37</v>
      </c>
      <c r="I913" s="14">
        <v>0.99497999999999998</v>
      </c>
      <c r="J913" s="13">
        <v>3.18</v>
      </c>
      <c r="K913" s="13">
        <v>0.89</v>
      </c>
      <c r="L913" s="11">
        <v>11.1</v>
      </c>
      <c r="M913" s="10">
        <v>7</v>
      </c>
    </row>
    <row r="914" spans="1:13" x14ac:dyDescent="0.3">
      <c r="A914" s="10">
        <v>913</v>
      </c>
      <c r="B914" s="11">
        <v>7.5</v>
      </c>
      <c r="C914" s="12">
        <v>0.77</v>
      </c>
      <c r="D914" s="13">
        <v>0.2</v>
      </c>
      <c r="E914" s="11">
        <v>8.1</v>
      </c>
      <c r="F914" s="12">
        <v>9.8000000000000004E-2</v>
      </c>
      <c r="G914" s="11">
        <v>30</v>
      </c>
      <c r="H914" s="11">
        <v>92</v>
      </c>
      <c r="I914" s="14">
        <v>0.99892000000000003</v>
      </c>
      <c r="J914" s="13">
        <v>3.2</v>
      </c>
      <c r="K914" s="13">
        <v>0.57999999999999996</v>
      </c>
      <c r="L914" s="11">
        <v>9.1999999999999993</v>
      </c>
      <c r="M914" s="10">
        <v>5</v>
      </c>
    </row>
    <row r="915" spans="1:13" x14ac:dyDescent="0.3">
      <c r="A915" s="10">
        <v>914</v>
      </c>
      <c r="B915" s="11">
        <v>7.2</v>
      </c>
      <c r="C915" s="12">
        <v>0.35</v>
      </c>
      <c r="D915" s="13">
        <v>0.26</v>
      </c>
      <c r="E915" s="11">
        <v>1.8</v>
      </c>
      <c r="F915" s="12">
        <v>8.3000000000000004E-2</v>
      </c>
      <c r="G915" s="11">
        <v>33</v>
      </c>
      <c r="H915" s="11">
        <v>75</v>
      </c>
      <c r="I915" s="14">
        <v>0.99680000000000002</v>
      </c>
      <c r="J915" s="13">
        <v>3.4</v>
      </c>
      <c r="K915" s="13">
        <v>0.57999999999999996</v>
      </c>
      <c r="L915" s="11">
        <v>9.5</v>
      </c>
      <c r="M915" s="10">
        <v>6</v>
      </c>
    </row>
    <row r="916" spans="1:13" x14ac:dyDescent="0.3">
      <c r="A916" s="10">
        <v>915</v>
      </c>
      <c r="B916" s="11">
        <v>8</v>
      </c>
      <c r="C916" s="12">
        <v>0.62</v>
      </c>
      <c r="D916" s="13">
        <v>0.33</v>
      </c>
      <c r="E916" s="11">
        <v>2.7</v>
      </c>
      <c r="F916" s="12">
        <v>8.7999999999999995E-2</v>
      </c>
      <c r="G916" s="11">
        <v>16</v>
      </c>
      <c r="H916" s="11">
        <v>37</v>
      </c>
      <c r="I916" s="14">
        <v>0.99719999999999998</v>
      </c>
      <c r="J916" s="13">
        <v>3.31</v>
      </c>
      <c r="K916" s="13">
        <v>0.57999999999999996</v>
      </c>
      <c r="L916" s="11">
        <v>10.7</v>
      </c>
      <c r="M916" s="10">
        <v>6</v>
      </c>
    </row>
    <row r="917" spans="1:13" x14ac:dyDescent="0.3">
      <c r="A917" s="10">
        <v>916</v>
      </c>
      <c r="B917" s="11">
        <v>9.1</v>
      </c>
      <c r="C917" s="12">
        <v>0.25</v>
      </c>
      <c r="D917" s="13">
        <v>0.34</v>
      </c>
      <c r="E917" s="11">
        <v>2</v>
      </c>
      <c r="F917" s="12">
        <v>7.0999999999999994E-2</v>
      </c>
      <c r="G917" s="11">
        <v>45</v>
      </c>
      <c r="H917" s="11">
        <v>67</v>
      </c>
      <c r="I917" s="14">
        <v>0.99768999999999997</v>
      </c>
      <c r="J917" s="13">
        <v>3.44</v>
      </c>
      <c r="K917" s="13">
        <v>0.86</v>
      </c>
      <c r="L917" s="11">
        <v>10.199999999999999</v>
      </c>
      <c r="M917" s="10">
        <v>7</v>
      </c>
    </row>
    <row r="918" spans="1:13" x14ac:dyDescent="0.3">
      <c r="A918" s="10">
        <v>917</v>
      </c>
      <c r="B918" s="11">
        <v>9.9</v>
      </c>
      <c r="C918" s="12">
        <v>0.32</v>
      </c>
      <c r="D918" s="13">
        <v>0.56000000000000005</v>
      </c>
      <c r="E918" s="11">
        <v>2</v>
      </c>
      <c r="F918" s="12">
        <v>7.2999999999999995E-2</v>
      </c>
      <c r="G918" s="11">
        <v>3</v>
      </c>
      <c r="H918" s="11">
        <v>8</v>
      </c>
      <c r="I918" s="14">
        <v>0.99534</v>
      </c>
      <c r="J918" s="13">
        <v>3.15</v>
      </c>
      <c r="K918" s="13">
        <v>0.73</v>
      </c>
      <c r="L918" s="11">
        <v>11.4</v>
      </c>
      <c r="M918" s="10">
        <v>6</v>
      </c>
    </row>
    <row r="919" spans="1:13" x14ac:dyDescent="0.3">
      <c r="A919" s="10">
        <v>918</v>
      </c>
      <c r="B919" s="11">
        <v>8.6</v>
      </c>
      <c r="C919" s="12">
        <v>0.37</v>
      </c>
      <c r="D919" s="13">
        <v>0.65</v>
      </c>
      <c r="E919" s="11">
        <v>6.4</v>
      </c>
      <c r="F919" s="12">
        <v>0.08</v>
      </c>
      <c r="G919" s="11">
        <v>3</v>
      </c>
      <c r="H919" s="11">
        <v>8</v>
      </c>
      <c r="I919" s="14">
        <v>0.99817</v>
      </c>
      <c r="J919" s="13">
        <v>3.27</v>
      </c>
      <c r="K919" s="13">
        <v>0.57999999999999996</v>
      </c>
      <c r="L919" s="11">
        <v>11</v>
      </c>
      <c r="M919" s="10">
        <v>5</v>
      </c>
    </row>
    <row r="920" spans="1:13" x14ac:dyDescent="0.3">
      <c r="A920" s="10">
        <v>919</v>
      </c>
      <c r="B920" s="11">
        <v>7.9</v>
      </c>
      <c r="C920" s="12">
        <v>0.3</v>
      </c>
      <c r="D920" s="13">
        <v>0.68</v>
      </c>
      <c r="E920" s="11">
        <v>8.3000000000000007</v>
      </c>
      <c r="F920" s="12">
        <v>0.05</v>
      </c>
      <c r="G920" s="11">
        <v>37.5</v>
      </c>
      <c r="H920" s="11">
        <v>278</v>
      </c>
      <c r="I920" s="14">
        <v>0.99316000000000004</v>
      </c>
      <c r="J920" s="13">
        <v>3.01</v>
      </c>
      <c r="K920" s="13">
        <v>0.51</v>
      </c>
      <c r="L920" s="11">
        <v>12.3</v>
      </c>
      <c r="M920" s="10">
        <v>7</v>
      </c>
    </row>
    <row r="921" spans="1:13" x14ac:dyDescent="0.3">
      <c r="A921" s="10">
        <v>920</v>
      </c>
      <c r="B921" s="11">
        <v>10.3</v>
      </c>
      <c r="C921" s="12">
        <v>0.27</v>
      </c>
      <c r="D921" s="13">
        <v>0.56000000000000005</v>
      </c>
      <c r="E921" s="11">
        <v>1.4</v>
      </c>
      <c r="F921" s="12">
        <v>4.7E-2</v>
      </c>
      <c r="G921" s="11">
        <v>3</v>
      </c>
      <c r="H921" s="11">
        <v>8</v>
      </c>
      <c r="I921" s="14">
        <v>0.99470999999999998</v>
      </c>
      <c r="J921" s="13">
        <v>3.16</v>
      </c>
      <c r="K921" s="13">
        <v>0.51</v>
      </c>
      <c r="L921" s="11">
        <v>11.8</v>
      </c>
      <c r="M921" s="10">
        <v>6</v>
      </c>
    </row>
    <row r="922" spans="1:13" x14ac:dyDescent="0.3">
      <c r="A922" s="10">
        <v>921</v>
      </c>
      <c r="B922" s="11">
        <v>7.9</v>
      </c>
      <c r="C922" s="12">
        <v>0.3</v>
      </c>
      <c r="D922" s="13">
        <v>0.68</v>
      </c>
      <c r="E922" s="11">
        <v>8.3000000000000007</v>
      </c>
      <c r="F922" s="12">
        <v>0.05</v>
      </c>
      <c r="G922" s="11">
        <v>37.5</v>
      </c>
      <c r="H922" s="11">
        <v>289</v>
      </c>
      <c r="I922" s="14">
        <v>0.99316000000000004</v>
      </c>
      <c r="J922" s="13">
        <v>3.01</v>
      </c>
      <c r="K922" s="13">
        <v>0.51</v>
      </c>
      <c r="L922" s="11">
        <v>12.3</v>
      </c>
      <c r="M922" s="10">
        <v>7</v>
      </c>
    </row>
    <row r="923" spans="1:13" x14ac:dyDescent="0.3">
      <c r="A923" s="10">
        <v>922</v>
      </c>
      <c r="B923" s="11">
        <v>7.2</v>
      </c>
      <c r="C923" s="12">
        <v>0.38</v>
      </c>
      <c r="D923" s="13">
        <v>0.3</v>
      </c>
      <c r="E923" s="11">
        <v>1.8</v>
      </c>
      <c r="F923" s="12">
        <v>7.2999999999999995E-2</v>
      </c>
      <c r="G923" s="11">
        <v>31</v>
      </c>
      <c r="H923" s="11">
        <v>70</v>
      </c>
      <c r="I923" s="14">
        <v>0.99685000000000001</v>
      </c>
      <c r="J923" s="13">
        <v>3.42</v>
      </c>
      <c r="K923" s="13">
        <v>0.59</v>
      </c>
      <c r="L923" s="11">
        <v>9.5</v>
      </c>
      <c r="M923" s="10">
        <v>6</v>
      </c>
    </row>
    <row r="924" spans="1:13" x14ac:dyDescent="0.3">
      <c r="A924" s="10">
        <v>923</v>
      </c>
      <c r="B924" s="11">
        <v>8.6999999999999993</v>
      </c>
      <c r="C924" s="12">
        <v>0.42</v>
      </c>
      <c r="D924" s="13">
        <v>0.45</v>
      </c>
      <c r="E924" s="11">
        <v>2.4</v>
      </c>
      <c r="F924" s="12">
        <v>7.1999999999999995E-2</v>
      </c>
      <c r="G924" s="11">
        <v>32</v>
      </c>
      <c r="H924" s="11">
        <v>59</v>
      </c>
      <c r="I924" s="14">
        <v>0.99617</v>
      </c>
      <c r="J924" s="13">
        <v>3.33</v>
      </c>
      <c r="K924" s="13">
        <v>0.77</v>
      </c>
      <c r="L924" s="11">
        <v>12</v>
      </c>
      <c r="M924" s="10">
        <v>6</v>
      </c>
    </row>
    <row r="925" spans="1:13" x14ac:dyDescent="0.3">
      <c r="A925" s="10">
        <v>924</v>
      </c>
      <c r="B925" s="11">
        <v>6.8</v>
      </c>
      <c r="C925" s="12">
        <v>0.48</v>
      </c>
      <c r="D925" s="13">
        <v>0.08</v>
      </c>
      <c r="E925" s="11">
        <v>1.8</v>
      </c>
      <c r="F925" s="12">
        <v>7.3999999999999996E-2</v>
      </c>
      <c r="G925" s="11">
        <v>40</v>
      </c>
      <c r="H925" s="11">
        <v>64</v>
      </c>
      <c r="I925" s="14">
        <v>0.99529000000000001</v>
      </c>
      <c r="J925" s="13">
        <v>3.12</v>
      </c>
      <c r="K925" s="13">
        <v>0.49</v>
      </c>
      <c r="L925" s="11">
        <v>9.6</v>
      </c>
      <c r="M925" s="10">
        <v>5</v>
      </c>
    </row>
    <row r="926" spans="1:13" x14ac:dyDescent="0.3">
      <c r="A926" s="10">
        <v>925</v>
      </c>
      <c r="B926" s="11">
        <v>8.5</v>
      </c>
      <c r="C926" s="12">
        <v>0.34</v>
      </c>
      <c r="D926" s="13">
        <v>0.4</v>
      </c>
      <c r="E926" s="11">
        <v>4.7</v>
      </c>
      <c r="F926" s="12">
        <v>5.5E-2</v>
      </c>
      <c r="G926" s="11">
        <v>3</v>
      </c>
      <c r="H926" s="11">
        <v>9</v>
      </c>
      <c r="I926" s="14">
        <v>0.99738000000000004</v>
      </c>
      <c r="J926" s="13">
        <v>3.38</v>
      </c>
      <c r="K926" s="13">
        <v>0.66</v>
      </c>
      <c r="L926" s="11">
        <v>11.6</v>
      </c>
      <c r="M926" s="10">
        <v>7</v>
      </c>
    </row>
    <row r="927" spans="1:13" x14ac:dyDescent="0.3">
      <c r="A927" s="10">
        <v>926</v>
      </c>
      <c r="B927" s="11">
        <v>7.9</v>
      </c>
      <c r="C927" s="12">
        <v>0.19</v>
      </c>
      <c r="D927" s="13">
        <v>0.42</v>
      </c>
      <c r="E927" s="11">
        <v>1.6</v>
      </c>
      <c r="F927" s="12">
        <v>5.7000000000000002E-2</v>
      </c>
      <c r="G927" s="11">
        <v>18</v>
      </c>
      <c r="H927" s="11">
        <v>30</v>
      </c>
      <c r="I927" s="14">
        <v>0.99399999999999999</v>
      </c>
      <c r="J927" s="13">
        <v>3.29</v>
      </c>
      <c r="K927" s="13">
        <v>0.69</v>
      </c>
      <c r="L927" s="11">
        <v>11.2</v>
      </c>
      <c r="M927" s="10">
        <v>6</v>
      </c>
    </row>
    <row r="928" spans="1:13" x14ac:dyDescent="0.3">
      <c r="A928" s="10">
        <v>927</v>
      </c>
      <c r="B928" s="11">
        <v>11.6</v>
      </c>
      <c r="C928" s="12">
        <v>0.41</v>
      </c>
      <c r="D928" s="13">
        <v>0.54</v>
      </c>
      <c r="E928" s="11">
        <v>1.5</v>
      </c>
      <c r="F928" s="12">
        <v>9.5000000000000001E-2</v>
      </c>
      <c r="G928" s="11">
        <v>22</v>
      </c>
      <c r="H928" s="11">
        <v>41</v>
      </c>
      <c r="I928" s="14">
        <v>0.99734999999999996</v>
      </c>
      <c r="J928" s="13">
        <v>3.02</v>
      </c>
      <c r="K928" s="13">
        <v>0.76</v>
      </c>
      <c r="L928" s="11">
        <v>9.9</v>
      </c>
      <c r="M928" s="10">
        <v>7</v>
      </c>
    </row>
    <row r="929" spans="1:13" x14ac:dyDescent="0.3">
      <c r="A929" s="10">
        <v>928</v>
      </c>
      <c r="B929" s="11">
        <v>10</v>
      </c>
      <c r="C929" s="12">
        <v>0.26</v>
      </c>
      <c r="D929" s="13">
        <v>0.54</v>
      </c>
      <c r="E929" s="11">
        <v>1.9</v>
      </c>
      <c r="F929" s="12">
        <v>8.3000000000000004E-2</v>
      </c>
      <c r="G929" s="11">
        <v>42</v>
      </c>
      <c r="H929" s="11">
        <v>74</v>
      </c>
      <c r="I929" s="14">
        <v>0.99451000000000001</v>
      </c>
      <c r="J929" s="13">
        <v>2.98</v>
      </c>
      <c r="K929" s="13">
        <v>0.63</v>
      </c>
      <c r="L929" s="11">
        <v>11.8</v>
      </c>
      <c r="M929" s="10">
        <v>8</v>
      </c>
    </row>
    <row r="930" spans="1:13" x14ac:dyDescent="0.3">
      <c r="A930" s="10">
        <v>929</v>
      </c>
      <c r="B930" s="11">
        <v>7.9</v>
      </c>
      <c r="C930" s="12">
        <v>0.34</v>
      </c>
      <c r="D930" s="13">
        <v>0.42</v>
      </c>
      <c r="E930" s="11">
        <v>2</v>
      </c>
      <c r="F930" s="12">
        <v>8.5999999999999993E-2</v>
      </c>
      <c r="G930" s="11">
        <v>8</v>
      </c>
      <c r="H930" s="11">
        <v>19</v>
      </c>
      <c r="I930" s="14">
        <v>0.99546000000000001</v>
      </c>
      <c r="J930" s="13">
        <v>3.35</v>
      </c>
      <c r="K930" s="13">
        <v>0.6</v>
      </c>
      <c r="L930" s="11">
        <v>11.4</v>
      </c>
      <c r="M930" s="10">
        <v>6</v>
      </c>
    </row>
    <row r="931" spans="1:13" x14ac:dyDescent="0.3">
      <c r="A931" s="10">
        <v>930</v>
      </c>
      <c r="B931" s="11">
        <v>7</v>
      </c>
      <c r="C931" s="12">
        <v>0.54</v>
      </c>
      <c r="D931" s="13">
        <v>0.09</v>
      </c>
      <c r="E931" s="11">
        <v>2</v>
      </c>
      <c r="F931" s="12">
        <v>8.1000000000000003E-2</v>
      </c>
      <c r="G931" s="11">
        <v>10</v>
      </c>
      <c r="H931" s="11">
        <v>16</v>
      </c>
      <c r="I931" s="14">
        <v>0.99478999999999995</v>
      </c>
      <c r="J931" s="13">
        <v>3.43</v>
      </c>
      <c r="K931" s="13">
        <v>0.59</v>
      </c>
      <c r="L931" s="11">
        <v>11.5</v>
      </c>
      <c r="M931" s="10">
        <v>6</v>
      </c>
    </row>
    <row r="932" spans="1:13" x14ac:dyDescent="0.3">
      <c r="A932" s="10">
        <v>931</v>
      </c>
      <c r="B932" s="11">
        <v>9.1999999999999993</v>
      </c>
      <c r="C932" s="12">
        <v>0.31</v>
      </c>
      <c r="D932" s="13">
        <v>0.36</v>
      </c>
      <c r="E932" s="11">
        <v>2.2000000000000002</v>
      </c>
      <c r="F932" s="12">
        <v>7.9000000000000001E-2</v>
      </c>
      <c r="G932" s="11">
        <v>11</v>
      </c>
      <c r="H932" s="11">
        <v>31</v>
      </c>
      <c r="I932" s="14">
        <v>0.99614999999999998</v>
      </c>
      <c r="J932" s="13">
        <v>3.33</v>
      </c>
      <c r="K932" s="13">
        <v>0.86</v>
      </c>
      <c r="L932" s="11">
        <v>12</v>
      </c>
      <c r="M932" s="10">
        <v>7</v>
      </c>
    </row>
    <row r="933" spans="1:13" x14ac:dyDescent="0.3">
      <c r="A933" s="10">
        <v>932</v>
      </c>
      <c r="B933" s="11">
        <v>6.6</v>
      </c>
      <c r="C933" s="12">
        <v>0.72499999999999998</v>
      </c>
      <c r="D933" s="13">
        <v>0.09</v>
      </c>
      <c r="E933" s="11">
        <v>5.5</v>
      </c>
      <c r="F933" s="12">
        <v>0.11700000000000001</v>
      </c>
      <c r="G933" s="11">
        <v>9</v>
      </c>
      <c r="H933" s="11">
        <v>17</v>
      </c>
      <c r="I933" s="14">
        <v>0.99655000000000005</v>
      </c>
      <c r="J933" s="13">
        <v>3.35</v>
      </c>
      <c r="K933" s="13">
        <v>0.49</v>
      </c>
      <c r="L933" s="11">
        <v>10.8</v>
      </c>
      <c r="M933" s="10">
        <v>6</v>
      </c>
    </row>
    <row r="934" spans="1:13" x14ac:dyDescent="0.3">
      <c r="A934" s="10">
        <v>933</v>
      </c>
      <c r="B934" s="11">
        <v>9.4</v>
      </c>
      <c r="C934" s="12">
        <v>0.4</v>
      </c>
      <c r="D934" s="13">
        <v>0.47</v>
      </c>
      <c r="E934" s="11">
        <v>2.5</v>
      </c>
      <c r="F934" s="12">
        <v>8.6999999999999994E-2</v>
      </c>
      <c r="G934" s="11">
        <v>6</v>
      </c>
      <c r="H934" s="11">
        <v>20</v>
      </c>
      <c r="I934" s="14">
        <v>0.99772000000000005</v>
      </c>
      <c r="J934" s="13">
        <v>3.15</v>
      </c>
      <c r="K934" s="13">
        <v>0.5</v>
      </c>
      <c r="L934" s="11">
        <v>10.5</v>
      </c>
      <c r="M934" s="10">
        <v>5</v>
      </c>
    </row>
    <row r="935" spans="1:13" x14ac:dyDescent="0.3">
      <c r="A935" s="10">
        <v>934</v>
      </c>
      <c r="B935" s="11">
        <v>8.6</v>
      </c>
      <c r="C935" s="12">
        <v>0.52</v>
      </c>
      <c r="D935" s="13">
        <v>0.38</v>
      </c>
      <c r="E935" s="11">
        <v>1.5</v>
      </c>
      <c r="F935" s="12">
        <v>9.6000000000000002E-2</v>
      </c>
      <c r="G935" s="11">
        <v>5</v>
      </c>
      <c r="H935" s="11">
        <v>18</v>
      </c>
      <c r="I935" s="14">
        <v>0.99665999999999999</v>
      </c>
      <c r="J935" s="13">
        <v>3.2</v>
      </c>
      <c r="K935" s="13">
        <v>0.52</v>
      </c>
      <c r="L935" s="11">
        <v>9.4</v>
      </c>
      <c r="M935" s="10">
        <v>5</v>
      </c>
    </row>
    <row r="936" spans="1:13" x14ac:dyDescent="0.3">
      <c r="A936" s="10">
        <v>935</v>
      </c>
      <c r="B936" s="11">
        <v>8</v>
      </c>
      <c r="C936" s="12">
        <v>0.31</v>
      </c>
      <c r="D936" s="13">
        <v>0.45</v>
      </c>
      <c r="E936" s="11">
        <v>2.1</v>
      </c>
      <c r="F936" s="12">
        <v>0.216</v>
      </c>
      <c r="G936" s="11">
        <v>5</v>
      </c>
      <c r="H936" s="11">
        <v>16</v>
      </c>
      <c r="I936" s="14">
        <v>0.99358000000000002</v>
      </c>
      <c r="J936" s="13">
        <v>3.15</v>
      </c>
      <c r="K936" s="13">
        <v>0.81</v>
      </c>
      <c r="L936" s="11">
        <v>12.5</v>
      </c>
      <c r="M936" s="10">
        <v>7</v>
      </c>
    </row>
    <row r="937" spans="1:13" x14ac:dyDescent="0.3">
      <c r="A937" s="10">
        <v>936</v>
      </c>
      <c r="B937" s="11">
        <v>8.4</v>
      </c>
      <c r="C937" s="12">
        <v>0.34</v>
      </c>
      <c r="D937" s="13">
        <v>0.42</v>
      </c>
      <c r="E937" s="11">
        <v>2.1</v>
      </c>
      <c r="F937" s="12">
        <v>7.1999999999999995E-2</v>
      </c>
      <c r="G937" s="11">
        <v>23</v>
      </c>
      <c r="H937" s="11">
        <v>36</v>
      </c>
      <c r="I937" s="14">
        <v>0.99392000000000003</v>
      </c>
      <c r="J937" s="13">
        <v>3.11</v>
      </c>
      <c r="K937" s="13">
        <v>0.78</v>
      </c>
      <c r="L937" s="11">
        <v>12.4</v>
      </c>
      <c r="M937" s="10">
        <v>6</v>
      </c>
    </row>
    <row r="938" spans="1:13" x14ac:dyDescent="0.3">
      <c r="A938" s="10">
        <v>937</v>
      </c>
      <c r="B938" s="11">
        <v>7.4</v>
      </c>
      <c r="C938" s="12">
        <v>0.49</v>
      </c>
      <c r="D938" s="13">
        <v>0.27</v>
      </c>
      <c r="E938" s="11">
        <v>2.1</v>
      </c>
      <c r="F938" s="12">
        <v>7.0999999999999994E-2</v>
      </c>
      <c r="G938" s="11">
        <v>14</v>
      </c>
      <c r="H938" s="11">
        <v>25</v>
      </c>
      <c r="I938" s="14">
        <v>0.99387999999999999</v>
      </c>
      <c r="J938" s="13">
        <v>3.35</v>
      </c>
      <c r="K938" s="13">
        <v>0.63</v>
      </c>
      <c r="L938" s="11">
        <v>12</v>
      </c>
      <c r="M938" s="10">
        <v>6</v>
      </c>
    </row>
    <row r="939" spans="1:13" x14ac:dyDescent="0.3">
      <c r="A939" s="10">
        <v>938</v>
      </c>
      <c r="B939" s="11">
        <v>6.1</v>
      </c>
      <c r="C939" s="12">
        <v>0.48</v>
      </c>
      <c r="D939" s="13">
        <v>0.09</v>
      </c>
      <c r="E939" s="11">
        <v>1.7</v>
      </c>
      <c r="F939" s="12">
        <v>7.8E-2</v>
      </c>
      <c r="G939" s="11">
        <v>18</v>
      </c>
      <c r="H939" s="11">
        <v>30</v>
      </c>
      <c r="I939" s="14">
        <v>0.99402000000000001</v>
      </c>
      <c r="J939" s="13">
        <v>3.45</v>
      </c>
      <c r="K939" s="13">
        <v>0.54</v>
      </c>
      <c r="L939" s="11">
        <v>11.2</v>
      </c>
      <c r="M939" s="10">
        <v>6</v>
      </c>
    </row>
    <row r="940" spans="1:13" x14ac:dyDescent="0.3">
      <c r="A940" s="10">
        <v>939</v>
      </c>
      <c r="B940" s="11">
        <v>8</v>
      </c>
      <c r="C940" s="12">
        <v>0.48</v>
      </c>
      <c r="D940" s="13">
        <v>0.34</v>
      </c>
      <c r="E940" s="11">
        <v>2.2000000000000002</v>
      </c>
      <c r="F940" s="12">
        <v>7.2999999999999995E-2</v>
      </c>
      <c r="G940" s="11">
        <v>16</v>
      </c>
      <c r="H940" s="11">
        <v>25</v>
      </c>
      <c r="I940" s="14">
        <v>0.99360000000000004</v>
      </c>
      <c r="J940" s="13">
        <v>3.28</v>
      </c>
      <c r="K940" s="13">
        <v>0.66</v>
      </c>
      <c r="L940" s="11">
        <v>12.4</v>
      </c>
      <c r="M940" s="10">
        <v>6</v>
      </c>
    </row>
    <row r="941" spans="1:13" x14ac:dyDescent="0.3">
      <c r="A941" s="10">
        <v>940</v>
      </c>
      <c r="B941" s="11">
        <v>6.3</v>
      </c>
      <c r="C941" s="12">
        <v>0.56999999999999995</v>
      </c>
      <c r="D941" s="13">
        <v>0.28000000000000003</v>
      </c>
      <c r="E941" s="11">
        <v>2.1</v>
      </c>
      <c r="F941" s="12">
        <v>4.8000000000000001E-2</v>
      </c>
      <c r="G941" s="11">
        <v>13</v>
      </c>
      <c r="H941" s="11">
        <v>49</v>
      </c>
      <c r="I941" s="14">
        <v>0.99373999999999996</v>
      </c>
      <c r="J941" s="13">
        <v>3.41</v>
      </c>
      <c r="K941" s="13">
        <v>0.6</v>
      </c>
      <c r="L941" s="11">
        <v>12.8</v>
      </c>
      <c r="M941" s="10">
        <v>5</v>
      </c>
    </row>
    <row r="942" spans="1:13" x14ac:dyDescent="0.3">
      <c r="A942" s="10">
        <v>941</v>
      </c>
      <c r="B942" s="11">
        <v>8.1999999999999993</v>
      </c>
      <c r="C942" s="12">
        <v>0.23</v>
      </c>
      <c r="D942" s="13">
        <v>0.42</v>
      </c>
      <c r="E942" s="11">
        <v>1.9</v>
      </c>
      <c r="F942" s="12">
        <v>6.9000000000000006E-2</v>
      </c>
      <c r="G942" s="11">
        <v>9</v>
      </c>
      <c r="H942" s="11">
        <v>17</v>
      </c>
      <c r="I942" s="14">
        <v>0.99375999999999998</v>
      </c>
      <c r="J942" s="13">
        <v>3.21</v>
      </c>
      <c r="K942" s="13">
        <v>0.54</v>
      </c>
      <c r="L942" s="11">
        <v>12.3</v>
      </c>
      <c r="M942" s="10">
        <v>6</v>
      </c>
    </row>
    <row r="943" spans="1:13" x14ac:dyDescent="0.3">
      <c r="A943" s="10">
        <v>942</v>
      </c>
      <c r="B943" s="11">
        <v>9.1</v>
      </c>
      <c r="C943" s="12">
        <v>0.3</v>
      </c>
      <c r="D943" s="13">
        <v>0.41</v>
      </c>
      <c r="E943" s="11">
        <v>2</v>
      </c>
      <c r="F943" s="12">
        <v>6.8000000000000005E-2</v>
      </c>
      <c r="G943" s="11">
        <v>10</v>
      </c>
      <c r="H943" s="11">
        <v>24</v>
      </c>
      <c r="I943" s="14">
        <v>0.99522999999999995</v>
      </c>
      <c r="J943" s="13">
        <v>3.27</v>
      </c>
      <c r="K943" s="13">
        <v>0.85</v>
      </c>
      <c r="L943" s="11">
        <v>11.7</v>
      </c>
      <c r="M943" s="10">
        <v>7</v>
      </c>
    </row>
    <row r="944" spans="1:13" x14ac:dyDescent="0.3">
      <c r="A944" s="10">
        <v>943</v>
      </c>
      <c r="B944" s="11">
        <v>8.1</v>
      </c>
      <c r="C944" s="12">
        <v>0.78</v>
      </c>
      <c r="D944" s="13">
        <v>0.1</v>
      </c>
      <c r="E944" s="11">
        <v>3.3</v>
      </c>
      <c r="F944" s="12">
        <v>0.09</v>
      </c>
      <c r="G944" s="11">
        <v>4</v>
      </c>
      <c r="H944" s="11">
        <v>13</v>
      </c>
      <c r="I944" s="14">
        <v>0.99855000000000005</v>
      </c>
      <c r="J944" s="13">
        <v>3.36</v>
      </c>
      <c r="K944" s="13">
        <v>0.49</v>
      </c>
      <c r="L944" s="11">
        <v>9.5</v>
      </c>
      <c r="M944" s="10">
        <v>5</v>
      </c>
    </row>
    <row r="945" spans="1:13" x14ac:dyDescent="0.3">
      <c r="A945" s="10">
        <v>944</v>
      </c>
      <c r="B945" s="11">
        <v>10.8</v>
      </c>
      <c r="C945" s="12">
        <v>0.47</v>
      </c>
      <c r="D945" s="13">
        <v>0.43</v>
      </c>
      <c r="E945" s="11">
        <v>2.1</v>
      </c>
      <c r="F945" s="12">
        <v>0.17100000000000001</v>
      </c>
      <c r="G945" s="11">
        <v>27</v>
      </c>
      <c r="H945" s="11">
        <v>66</v>
      </c>
      <c r="I945" s="14">
        <v>0.99819999999999998</v>
      </c>
      <c r="J945" s="13">
        <v>3.17</v>
      </c>
      <c r="K945" s="13">
        <v>0.76</v>
      </c>
      <c r="L945" s="11">
        <v>10.8</v>
      </c>
      <c r="M945" s="10">
        <v>6</v>
      </c>
    </row>
    <row r="946" spans="1:13" x14ac:dyDescent="0.3">
      <c r="A946" s="10">
        <v>945</v>
      </c>
      <c r="B946" s="11">
        <v>8.3000000000000007</v>
      </c>
      <c r="C946" s="12">
        <v>0.53</v>
      </c>
      <c r="D946" s="13">
        <v>0</v>
      </c>
      <c r="E946" s="11">
        <v>1.4</v>
      </c>
      <c r="F946" s="12">
        <v>7.0000000000000007E-2</v>
      </c>
      <c r="G946" s="11">
        <v>6</v>
      </c>
      <c r="H946" s="11">
        <v>14</v>
      </c>
      <c r="I946" s="14">
        <v>0.99592999999999998</v>
      </c>
      <c r="J946" s="13">
        <v>3.25</v>
      </c>
      <c r="K946" s="13">
        <v>0.64</v>
      </c>
      <c r="L946" s="11">
        <v>10</v>
      </c>
      <c r="M946" s="10">
        <v>6</v>
      </c>
    </row>
    <row r="947" spans="1:13" x14ac:dyDescent="0.3">
      <c r="A947" s="10">
        <v>946</v>
      </c>
      <c r="B947" s="11">
        <v>5.4</v>
      </c>
      <c r="C947" s="12">
        <v>0.42</v>
      </c>
      <c r="D947" s="13">
        <v>0.27</v>
      </c>
      <c r="E947" s="11">
        <v>2</v>
      </c>
      <c r="F947" s="12">
        <v>9.1999999999999998E-2</v>
      </c>
      <c r="G947" s="11">
        <v>23</v>
      </c>
      <c r="H947" s="11">
        <v>55</v>
      </c>
      <c r="I947" s="14">
        <v>0.99470999999999998</v>
      </c>
      <c r="J947" s="13">
        <v>3.78</v>
      </c>
      <c r="K947" s="13">
        <v>0.64</v>
      </c>
      <c r="L947" s="11">
        <v>12.3</v>
      </c>
      <c r="M947" s="10">
        <v>7</v>
      </c>
    </row>
    <row r="948" spans="1:13" x14ac:dyDescent="0.3">
      <c r="A948" s="10">
        <v>947</v>
      </c>
      <c r="B948" s="11">
        <v>7.9</v>
      </c>
      <c r="C948" s="12">
        <v>0.33</v>
      </c>
      <c r="D948" s="13">
        <v>0.41</v>
      </c>
      <c r="E948" s="11">
        <v>1.5</v>
      </c>
      <c r="F948" s="12">
        <v>5.6000000000000001E-2</v>
      </c>
      <c r="G948" s="11">
        <v>6</v>
      </c>
      <c r="H948" s="11">
        <v>35</v>
      </c>
      <c r="I948" s="14">
        <v>0.99395999999999995</v>
      </c>
      <c r="J948" s="13">
        <v>3.29</v>
      </c>
      <c r="K948" s="13">
        <v>0.71</v>
      </c>
      <c r="L948" s="11">
        <v>11</v>
      </c>
      <c r="M948" s="10">
        <v>6</v>
      </c>
    </row>
    <row r="949" spans="1:13" x14ac:dyDescent="0.3">
      <c r="A949" s="10">
        <v>948</v>
      </c>
      <c r="B949" s="11">
        <v>8.9</v>
      </c>
      <c r="C949" s="12">
        <v>0.24</v>
      </c>
      <c r="D949" s="13">
        <v>0.39</v>
      </c>
      <c r="E949" s="11">
        <v>1.6</v>
      </c>
      <c r="F949" s="12">
        <v>7.3999999999999996E-2</v>
      </c>
      <c r="G949" s="11">
        <v>3</v>
      </c>
      <c r="H949" s="11">
        <v>10</v>
      </c>
      <c r="I949" s="14">
        <v>0.99697999999999998</v>
      </c>
      <c r="J949" s="13">
        <v>3.12</v>
      </c>
      <c r="K949" s="13">
        <v>0.59</v>
      </c>
      <c r="L949" s="11">
        <v>9.5</v>
      </c>
      <c r="M949" s="10">
        <v>6</v>
      </c>
    </row>
    <row r="950" spans="1:13" x14ac:dyDescent="0.3">
      <c r="A950" s="10">
        <v>949</v>
      </c>
      <c r="B950" s="11">
        <v>5</v>
      </c>
      <c r="C950" s="12">
        <v>0.4</v>
      </c>
      <c r="D950" s="13">
        <v>0.5</v>
      </c>
      <c r="E950" s="11">
        <v>4.3</v>
      </c>
      <c r="F950" s="12">
        <v>4.5999999999999999E-2</v>
      </c>
      <c r="G950" s="11">
        <v>29</v>
      </c>
      <c r="H950" s="11">
        <v>80</v>
      </c>
      <c r="I950" s="14">
        <v>0.99019999999999997</v>
      </c>
      <c r="J950" s="13">
        <v>3.49</v>
      </c>
      <c r="K950" s="13">
        <v>0.66</v>
      </c>
      <c r="L950" s="11">
        <v>13.6</v>
      </c>
      <c r="M950" s="10">
        <v>6</v>
      </c>
    </row>
    <row r="951" spans="1:13" x14ac:dyDescent="0.3">
      <c r="A951" s="10">
        <v>950</v>
      </c>
      <c r="B951" s="11">
        <v>7</v>
      </c>
      <c r="C951" s="12">
        <v>0.69</v>
      </c>
      <c r="D951" s="13">
        <v>7.0000000000000007E-2</v>
      </c>
      <c r="E951" s="11">
        <v>2.5</v>
      </c>
      <c r="F951" s="12">
        <v>9.0999999999999998E-2</v>
      </c>
      <c r="G951" s="11">
        <v>15</v>
      </c>
      <c r="H951" s="11">
        <v>21</v>
      </c>
      <c r="I951" s="14">
        <v>0.99572000000000005</v>
      </c>
      <c r="J951" s="13">
        <v>3.38</v>
      </c>
      <c r="K951" s="13">
        <v>0.6</v>
      </c>
      <c r="L951" s="11">
        <v>11.3</v>
      </c>
      <c r="M951" s="10">
        <v>6</v>
      </c>
    </row>
    <row r="952" spans="1:13" x14ac:dyDescent="0.3">
      <c r="A952" s="10">
        <v>951</v>
      </c>
      <c r="B952" s="11">
        <v>7.1</v>
      </c>
      <c r="C952" s="12">
        <v>0.39</v>
      </c>
      <c r="D952" s="13">
        <v>0.12</v>
      </c>
      <c r="E952" s="11">
        <v>2.1</v>
      </c>
      <c r="F952" s="12">
        <v>6.5000000000000002E-2</v>
      </c>
      <c r="G952" s="11">
        <v>14</v>
      </c>
      <c r="H952" s="11">
        <v>24</v>
      </c>
      <c r="I952" s="14">
        <v>0.99251999999999996</v>
      </c>
      <c r="J952" s="13">
        <v>3.3</v>
      </c>
      <c r="K952" s="13">
        <v>0.53</v>
      </c>
      <c r="L952" s="11">
        <v>13.3</v>
      </c>
      <c r="M952" s="10">
        <v>6</v>
      </c>
    </row>
    <row r="953" spans="1:13" x14ac:dyDescent="0.3">
      <c r="A953" s="10">
        <v>952</v>
      </c>
      <c r="B953" s="11">
        <v>5.6</v>
      </c>
      <c r="C953" s="12">
        <v>0.66</v>
      </c>
      <c r="D953" s="13">
        <v>0</v>
      </c>
      <c r="E953" s="11">
        <v>2.5</v>
      </c>
      <c r="F953" s="12">
        <v>6.6000000000000003E-2</v>
      </c>
      <c r="G953" s="11">
        <v>7</v>
      </c>
      <c r="H953" s="11">
        <v>15</v>
      </c>
      <c r="I953" s="14">
        <v>0.99256</v>
      </c>
      <c r="J953" s="13">
        <v>3.52</v>
      </c>
      <c r="K953" s="13">
        <v>0.57999999999999996</v>
      </c>
      <c r="L953" s="11">
        <v>12.9</v>
      </c>
      <c r="M953" s="10">
        <v>5</v>
      </c>
    </row>
    <row r="954" spans="1:13" x14ac:dyDescent="0.3">
      <c r="A954" s="10">
        <v>953</v>
      </c>
      <c r="B954" s="11">
        <v>7.9</v>
      </c>
      <c r="C954" s="12">
        <v>0.54</v>
      </c>
      <c r="D954" s="13">
        <v>0.34</v>
      </c>
      <c r="E954" s="11">
        <v>2.5</v>
      </c>
      <c r="F954" s="12">
        <v>7.5999999999999998E-2</v>
      </c>
      <c r="G954" s="11">
        <v>8</v>
      </c>
      <c r="H954" s="11">
        <v>17</v>
      </c>
      <c r="I954" s="14">
        <v>0.99234999999999995</v>
      </c>
      <c r="J954" s="13">
        <v>3.2</v>
      </c>
      <c r="K954" s="13">
        <v>0.72</v>
      </c>
      <c r="L954" s="11">
        <v>13.1</v>
      </c>
      <c r="M954" s="10">
        <v>8</v>
      </c>
    </row>
    <row r="955" spans="1:13" x14ac:dyDescent="0.3">
      <c r="A955" s="10">
        <v>954</v>
      </c>
      <c r="B955" s="11">
        <v>6.6</v>
      </c>
      <c r="C955" s="12">
        <v>0.5</v>
      </c>
      <c r="D955" s="13">
        <v>0</v>
      </c>
      <c r="E955" s="11">
        <v>1.8</v>
      </c>
      <c r="F955" s="12">
        <v>6.2E-2</v>
      </c>
      <c r="G955" s="11">
        <v>21</v>
      </c>
      <c r="H955" s="11">
        <v>28</v>
      </c>
      <c r="I955" s="14">
        <v>0.99351999999999996</v>
      </c>
      <c r="J955" s="13">
        <v>3.44</v>
      </c>
      <c r="K955" s="13">
        <v>0.55000000000000004</v>
      </c>
      <c r="L955" s="11">
        <v>12.3</v>
      </c>
      <c r="M955" s="10">
        <v>6</v>
      </c>
    </row>
    <row r="956" spans="1:13" x14ac:dyDescent="0.3">
      <c r="A956" s="10">
        <v>955</v>
      </c>
      <c r="B956" s="11">
        <v>6.3</v>
      </c>
      <c r="C956" s="12">
        <v>0.47</v>
      </c>
      <c r="D956" s="13">
        <v>0</v>
      </c>
      <c r="E956" s="11">
        <v>1.4</v>
      </c>
      <c r="F956" s="12">
        <v>5.5E-2</v>
      </c>
      <c r="G956" s="11">
        <v>27</v>
      </c>
      <c r="H956" s="11">
        <v>33</v>
      </c>
      <c r="I956" s="14">
        <v>0.99219999999999997</v>
      </c>
      <c r="J956" s="13">
        <v>3.45</v>
      </c>
      <c r="K956" s="13">
        <v>0.48</v>
      </c>
      <c r="L956" s="11">
        <v>12.3</v>
      </c>
      <c r="M956" s="10">
        <v>6</v>
      </c>
    </row>
    <row r="957" spans="1:13" x14ac:dyDescent="0.3">
      <c r="A957" s="10">
        <v>956</v>
      </c>
      <c r="B957" s="11">
        <v>10.7</v>
      </c>
      <c r="C957" s="12">
        <v>0.4</v>
      </c>
      <c r="D957" s="13">
        <v>0.37</v>
      </c>
      <c r="E957" s="11">
        <v>1.9</v>
      </c>
      <c r="F957" s="12">
        <v>8.1000000000000003E-2</v>
      </c>
      <c r="G957" s="11">
        <v>17</v>
      </c>
      <c r="H957" s="11">
        <v>29</v>
      </c>
      <c r="I957" s="14">
        <v>0.99673999999999996</v>
      </c>
      <c r="J957" s="13">
        <v>3.12</v>
      </c>
      <c r="K957" s="13">
        <v>0.65</v>
      </c>
      <c r="L957" s="11">
        <v>11.2</v>
      </c>
      <c r="M957" s="10">
        <v>6</v>
      </c>
    </row>
    <row r="958" spans="1:13" x14ac:dyDescent="0.3">
      <c r="A958" s="10">
        <v>957</v>
      </c>
      <c r="B958" s="11">
        <v>6.5</v>
      </c>
      <c r="C958" s="12">
        <v>0.57999999999999996</v>
      </c>
      <c r="D958" s="13">
        <v>0</v>
      </c>
      <c r="E958" s="11">
        <v>2.2000000000000002</v>
      </c>
      <c r="F958" s="12">
        <v>9.6000000000000002E-2</v>
      </c>
      <c r="G958" s="11">
        <v>3</v>
      </c>
      <c r="H958" s="11">
        <v>13</v>
      </c>
      <c r="I958" s="14">
        <v>0.99556999999999995</v>
      </c>
      <c r="J958" s="13">
        <v>3.62</v>
      </c>
      <c r="K958" s="13">
        <v>0.62</v>
      </c>
      <c r="L958" s="11">
        <v>11.5</v>
      </c>
      <c r="M958" s="10">
        <v>4</v>
      </c>
    </row>
    <row r="959" spans="1:13" x14ac:dyDescent="0.3">
      <c r="A959" s="10">
        <v>958</v>
      </c>
      <c r="B959" s="11">
        <v>8.8000000000000007</v>
      </c>
      <c r="C959" s="12">
        <v>0.24</v>
      </c>
      <c r="D959" s="13">
        <v>0.35</v>
      </c>
      <c r="E959" s="11">
        <v>1.7</v>
      </c>
      <c r="F959" s="12">
        <v>5.5E-2</v>
      </c>
      <c r="G959" s="11">
        <v>13</v>
      </c>
      <c r="H959" s="11">
        <v>27</v>
      </c>
      <c r="I959" s="14">
        <v>0.99394000000000005</v>
      </c>
      <c r="J959" s="13">
        <v>3.14</v>
      </c>
      <c r="K959" s="13">
        <v>0.59</v>
      </c>
      <c r="L959" s="11">
        <v>11.3</v>
      </c>
      <c r="M959" s="10">
        <v>7</v>
      </c>
    </row>
    <row r="960" spans="1:13" x14ac:dyDescent="0.3">
      <c r="A960" s="10">
        <v>959</v>
      </c>
      <c r="B960" s="11">
        <v>5.8</v>
      </c>
      <c r="C960" s="12">
        <v>0.28999999999999998</v>
      </c>
      <c r="D960" s="13">
        <v>0.26</v>
      </c>
      <c r="E960" s="11">
        <v>1.7</v>
      </c>
      <c r="F960" s="12">
        <v>6.3E-2</v>
      </c>
      <c r="G960" s="11">
        <v>3</v>
      </c>
      <c r="H960" s="11">
        <v>11</v>
      </c>
      <c r="I960" s="14">
        <v>0.99150000000000005</v>
      </c>
      <c r="J960" s="13">
        <v>3.39</v>
      </c>
      <c r="K960" s="13">
        <v>0.54</v>
      </c>
      <c r="L960" s="11">
        <v>13.5</v>
      </c>
      <c r="M960" s="10">
        <v>6</v>
      </c>
    </row>
    <row r="961" spans="1:13" x14ac:dyDescent="0.3">
      <c r="A961" s="10">
        <v>960</v>
      </c>
      <c r="B961" s="11">
        <v>6.3</v>
      </c>
      <c r="C961" s="12">
        <v>0.76</v>
      </c>
      <c r="D961" s="13">
        <v>0</v>
      </c>
      <c r="E961" s="11">
        <v>2.9</v>
      </c>
      <c r="F961" s="12">
        <v>7.1999999999999995E-2</v>
      </c>
      <c r="G961" s="11">
        <v>26</v>
      </c>
      <c r="H961" s="11">
        <v>52</v>
      </c>
      <c r="I961" s="14">
        <v>0.99378999999999995</v>
      </c>
      <c r="J961" s="13">
        <v>3.51</v>
      </c>
      <c r="K961" s="13">
        <v>0.6</v>
      </c>
      <c r="L961" s="11">
        <v>11.5</v>
      </c>
      <c r="M961" s="10">
        <v>6</v>
      </c>
    </row>
    <row r="962" spans="1:13" x14ac:dyDescent="0.3">
      <c r="A962" s="10">
        <v>961</v>
      </c>
      <c r="B962" s="11">
        <v>10</v>
      </c>
      <c r="C962" s="12">
        <v>0.43</v>
      </c>
      <c r="D962" s="13">
        <v>0.33</v>
      </c>
      <c r="E962" s="11">
        <v>2.7</v>
      </c>
      <c r="F962" s="12">
        <v>9.5000000000000001E-2</v>
      </c>
      <c r="G962" s="11">
        <v>28</v>
      </c>
      <c r="H962" s="11">
        <v>89</v>
      </c>
      <c r="I962" s="14">
        <v>0.99839999999999995</v>
      </c>
      <c r="J962" s="13">
        <v>3.22</v>
      </c>
      <c r="K962" s="13">
        <v>0.68</v>
      </c>
      <c r="L962" s="11">
        <v>10</v>
      </c>
      <c r="M962" s="10">
        <v>5</v>
      </c>
    </row>
    <row r="963" spans="1:13" x14ac:dyDescent="0.3">
      <c r="A963" s="10">
        <v>962</v>
      </c>
      <c r="B963" s="11">
        <v>10.5</v>
      </c>
      <c r="C963" s="12">
        <v>0.43</v>
      </c>
      <c r="D963" s="13">
        <v>0.35</v>
      </c>
      <c r="E963" s="11">
        <v>3.3</v>
      </c>
      <c r="F963" s="12">
        <v>9.1999999999999998E-2</v>
      </c>
      <c r="G963" s="11">
        <v>24</v>
      </c>
      <c r="H963" s="11">
        <v>70</v>
      </c>
      <c r="I963" s="14">
        <v>0.99797999999999998</v>
      </c>
      <c r="J963" s="13">
        <v>3.21</v>
      </c>
      <c r="K963" s="13">
        <v>0.69</v>
      </c>
      <c r="L963" s="11">
        <v>10.5</v>
      </c>
      <c r="M963" s="10">
        <v>6</v>
      </c>
    </row>
    <row r="964" spans="1:13" x14ac:dyDescent="0.3">
      <c r="A964" s="10">
        <v>963</v>
      </c>
      <c r="B964" s="11">
        <v>9.1</v>
      </c>
      <c r="C964" s="12">
        <v>0.6</v>
      </c>
      <c r="D964" s="13">
        <v>0</v>
      </c>
      <c r="E964" s="11">
        <v>1.9</v>
      </c>
      <c r="F964" s="12">
        <v>5.8000000000000003E-2</v>
      </c>
      <c r="G964" s="11">
        <v>5</v>
      </c>
      <c r="H964" s="11">
        <v>10</v>
      </c>
      <c r="I964" s="14">
        <v>0.99770000000000003</v>
      </c>
      <c r="J964" s="13">
        <v>3.18</v>
      </c>
      <c r="K964" s="13">
        <v>0.63</v>
      </c>
      <c r="L964" s="11">
        <v>10.4</v>
      </c>
      <c r="M964" s="10">
        <v>6</v>
      </c>
    </row>
    <row r="965" spans="1:13" x14ac:dyDescent="0.3">
      <c r="A965" s="10">
        <v>964</v>
      </c>
      <c r="B965" s="11">
        <v>5.9</v>
      </c>
      <c r="C965" s="12">
        <v>0.19</v>
      </c>
      <c r="D965" s="13">
        <v>0.21</v>
      </c>
      <c r="E965" s="11">
        <v>1.7</v>
      </c>
      <c r="F965" s="12">
        <v>4.4999999999999998E-2</v>
      </c>
      <c r="G965" s="11">
        <v>57</v>
      </c>
      <c r="H965" s="11">
        <v>135</v>
      </c>
      <c r="I965" s="14">
        <v>0.99341000000000002</v>
      </c>
      <c r="J965" s="13">
        <v>3.32</v>
      </c>
      <c r="K965" s="13">
        <v>0.44</v>
      </c>
      <c r="L965" s="11">
        <v>9.5</v>
      </c>
      <c r="M965" s="10">
        <v>5</v>
      </c>
    </row>
    <row r="966" spans="1:13" x14ac:dyDescent="0.3">
      <c r="A966" s="10">
        <v>965</v>
      </c>
      <c r="B966" s="11">
        <v>7.4</v>
      </c>
      <c r="C966" s="12">
        <v>0.36</v>
      </c>
      <c r="D966" s="13">
        <v>0.34</v>
      </c>
      <c r="E966" s="11">
        <v>1.8</v>
      </c>
      <c r="F966" s="12">
        <v>7.4999999999999997E-2</v>
      </c>
      <c r="G966" s="11">
        <v>18</v>
      </c>
      <c r="H966" s="11">
        <v>38</v>
      </c>
      <c r="I966" s="14">
        <v>0.99329999999999996</v>
      </c>
      <c r="J966" s="13">
        <v>3.38</v>
      </c>
      <c r="K966" s="13">
        <v>0.88</v>
      </c>
      <c r="L966" s="11">
        <v>13.6</v>
      </c>
      <c r="M966" s="10">
        <v>7</v>
      </c>
    </row>
    <row r="967" spans="1:13" x14ac:dyDescent="0.3">
      <c r="A967" s="10">
        <v>966</v>
      </c>
      <c r="B967" s="11">
        <v>7.2</v>
      </c>
      <c r="C967" s="12">
        <v>0.48</v>
      </c>
      <c r="D967" s="13">
        <v>7.0000000000000007E-2</v>
      </c>
      <c r="E967" s="11">
        <v>5.5</v>
      </c>
      <c r="F967" s="12">
        <v>8.8999999999999996E-2</v>
      </c>
      <c r="G967" s="11">
        <v>10</v>
      </c>
      <c r="H967" s="11">
        <v>18</v>
      </c>
      <c r="I967" s="14">
        <v>0.99683999999999995</v>
      </c>
      <c r="J967" s="13">
        <v>3.37</v>
      </c>
      <c r="K967" s="13">
        <v>0.68</v>
      </c>
      <c r="L967" s="11">
        <v>11.2</v>
      </c>
      <c r="M967" s="10">
        <v>7</v>
      </c>
    </row>
    <row r="968" spans="1:13" x14ac:dyDescent="0.3">
      <c r="A968" s="10">
        <v>967</v>
      </c>
      <c r="B968" s="11">
        <v>8.5</v>
      </c>
      <c r="C968" s="12">
        <v>0.28000000000000003</v>
      </c>
      <c r="D968" s="13">
        <v>0.35</v>
      </c>
      <c r="E968" s="11">
        <v>1.7</v>
      </c>
      <c r="F968" s="12">
        <v>6.0999999999999999E-2</v>
      </c>
      <c r="G968" s="11">
        <v>6</v>
      </c>
      <c r="H968" s="11">
        <v>15</v>
      </c>
      <c r="I968" s="14">
        <v>0.99524000000000001</v>
      </c>
      <c r="J968" s="13">
        <v>3.3</v>
      </c>
      <c r="K968" s="13">
        <v>0.74</v>
      </c>
      <c r="L968" s="11">
        <v>11.8</v>
      </c>
      <c r="M968" s="10">
        <v>7</v>
      </c>
    </row>
    <row r="969" spans="1:13" x14ac:dyDescent="0.3">
      <c r="A969" s="10">
        <v>968</v>
      </c>
      <c r="B969" s="11">
        <v>8</v>
      </c>
      <c r="C969" s="12">
        <v>0.25</v>
      </c>
      <c r="D969" s="13">
        <v>0.43</v>
      </c>
      <c r="E969" s="11">
        <v>1.7</v>
      </c>
      <c r="F969" s="12">
        <v>6.7000000000000004E-2</v>
      </c>
      <c r="G969" s="11">
        <v>22</v>
      </c>
      <c r="H969" s="11">
        <v>50</v>
      </c>
      <c r="I969" s="14">
        <v>0.99460000000000004</v>
      </c>
      <c r="J969" s="13">
        <v>3.38</v>
      </c>
      <c r="K969" s="13">
        <v>0.6</v>
      </c>
      <c r="L969" s="11">
        <v>11.9</v>
      </c>
      <c r="M969" s="10">
        <v>6</v>
      </c>
    </row>
    <row r="970" spans="1:13" x14ac:dyDescent="0.3">
      <c r="A970" s="10">
        <v>969</v>
      </c>
      <c r="B970" s="11">
        <v>10.4</v>
      </c>
      <c r="C970" s="12">
        <v>0.52</v>
      </c>
      <c r="D970" s="13">
        <v>0.45</v>
      </c>
      <c r="E970" s="11">
        <v>2</v>
      </c>
      <c r="F970" s="12">
        <v>0.08</v>
      </c>
      <c r="G970" s="11">
        <v>6</v>
      </c>
      <c r="H970" s="11">
        <v>13</v>
      </c>
      <c r="I970" s="14">
        <v>0.99773999999999996</v>
      </c>
      <c r="J970" s="13">
        <v>3.22</v>
      </c>
      <c r="K970" s="13">
        <v>0.76</v>
      </c>
      <c r="L970" s="11">
        <v>11.4</v>
      </c>
      <c r="M970" s="10">
        <v>6</v>
      </c>
    </row>
    <row r="971" spans="1:13" x14ac:dyDescent="0.3">
      <c r="A971" s="10">
        <v>970</v>
      </c>
      <c r="B971" s="11">
        <v>7.5</v>
      </c>
      <c r="C971" s="12">
        <v>0.41</v>
      </c>
      <c r="D971" s="13">
        <v>0.15</v>
      </c>
      <c r="E971" s="11">
        <v>3.7</v>
      </c>
      <c r="F971" s="12">
        <v>0.104</v>
      </c>
      <c r="G971" s="11">
        <v>29</v>
      </c>
      <c r="H971" s="11">
        <v>94</v>
      </c>
      <c r="I971" s="14">
        <v>0.99785999999999997</v>
      </c>
      <c r="J971" s="13">
        <v>3.14</v>
      </c>
      <c r="K971" s="13">
        <v>0.57999999999999996</v>
      </c>
      <c r="L971" s="11">
        <v>9.1</v>
      </c>
      <c r="M971" s="10">
        <v>5</v>
      </c>
    </row>
    <row r="972" spans="1:13" x14ac:dyDescent="0.3">
      <c r="A972" s="10">
        <v>971</v>
      </c>
      <c r="B972" s="11">
        <v>8.1999999999999993</v>
      </c>
      <c r="C972" s="12">
        <v>0.51</v>
      </c>
      <c r="D972" s="13">
        <v>0.24</v>
      </c>
      <c r="E972" s="11">
        <v>2</v>
      </c>
      <c r="F972" s="12">
        <v>7.9000000000000001E-2</v>
      </c>
      <c r="G972" s="11">
        <v>16</v>
      </c>
      <c r="H972" s="11">
        <v>86</v>
      </c>
      <c r="I972" s="14">
        <v>0.99763999999999997</v>
      </c>
      <c r="J972" s="13">
        <v>3.34</v>
      </c>
      <c r="K972" s="13">
        <v>0.64</v>
      </c>
      <c r="L972" s="11">
        <v>9.5</v>
      </c>
      <c r="M972" s="10">
        <v>6</v>
      </c>
    </row>
    <row r="973" spans="1:13" x14ac:dyDescent="0.3">
      <c r="A973" s="10">
        <v>972</v>
      </c>
      <c r="B973" s="11">
        <v>7.3</v>
      </c>
      <c r="C973" s="12">
        <v>0.4</v>
      </c>
      <c r="D973" s="13">
        <v>0.3</v>
      </c>
      <c r="E973" s="11">
        <v>1.7</v>
      </c>
      <c r="F973" s="12">
        <v>0.08</v>
      </c>
      <c r="G973" s="11">
        <v>33</v>
      </c>
      <c r="H973" s="11">
        <v>79</v>
      </c>
      <c r="I973" s="14">
        <v>0.99690000000000001</v>
      </c>
      <c r="J973" s="13">
        <v>3.41</v>
      </c>
      <c r="K973" s="13">
        <v>0.65</v>
      </c>
      <c r="L973" s="11">
        <v>9.5</v>
      </c>
      <c r="M973" s="10">
        <v>6</v>
      </c>
    </row>
    <row r="974" spans="1:13" x14ac:dyDescent="0.3">
      <c r="A974" s="10">
        <v>973</v>
      </c>
      <c r="B974" s="11">
        <v>8.1999999999999993</v>
      </c>
      <c r="C974" s="12">
        <v>0.38</v>
      </c>
      <c r="D974" s="13">
        <v>0.32</v>
      </c>
      <c r="E974" s="11">
        <v>2.5</v>
      </c>
      <c r="F974" s="12">
        <v>0.08</v>
      </c>
      <c r="G974" s="11">
        <v>24</v>
      </c>
      <c r="H974" s="11">
        <v>71</v>
      </c>
      <c r="I974" s="14">
        <v>0.99624000000000001</v>
      </c>
      <c r="J974" s="13">
        <v>3.27</v>
      </c>
      <c r="K974" s="13">
        <v>0.85</v>
      </c>
      <c r="L974" s="11">
        <v>11</v>
      </c>
      <c r="M974" s="10">
        <v>6</v>
      </c>
    </row>
    <row r="975" spans="1:13" x14ac:dyDescent="0.3">
      <c r="A975" s="10">
        <v>974</v>
      </c>
      <c r="B975" s="11">
        <v>6.9</v>
      </c>
      <c r="C975" s="12">
        <v>0.45</v>
      </c>
      <c r="D975" s="13">
        <v>0.11</v>
      </c>
      <c r="E975" s="11">
        <v>2.4</v>
      </c>
      <c r="F975" s="12">
        <v>4.2999999999999997E-2</v>
      </c>
      <c r="G975" s="11">
        <v>6</v>
      </c>
      <c r="H975" s="11">
        <v>12</v>
      </c>
      <c r="I975" s="14">
        <v>0.99353999999999998</v>
      </c>
      <c r="J975" s="13">
        <v>3.3</v>
      </c>
      <c r="K975" s="13">
        <v>0.65</v>
      </c>
      <c r="L975" s="11">
        <v>11.4</v>
      </c>
      <c r="M975" s="10">
        <v>6</v>
      </c>
    </row>
    <row r="976" spans="1:13" x14ac:dyDescent="0.3">
      <c r="A976" s="10">
        <v>975</v>
      </c>
      <c r="B976" s="11">
        <v>7</v>
      </c>
      <c r="C976" s="12">
        <v>0.22</v>
      </c>
      <c r="D976" s="13">
        <v>0.3</v>
      </c>
      <c r="E976" s="11">
        <v>1.8</v>
      </c>
      <c r="F976" s="12">
        <v>6.5000000000000002E-2</v>
      </c>
      <c r="G976" s="11">
        <v>16</v>
      </c>
      <c r="H976" s="11">
        <v>20</v>
      </c>
      <c r="I976" s="14">
        <v>0.99672000000000005</v>
      </c>
      <c r="J976" s="13">
        <v>3.61</v>
      </c>
      <c r="K976" s="13">
        <v>0.82</v>
      </c>
      <c r="L976" s="11">
        <v>10</v>
      </c>
      <c r="M976" s="10">
        <v>6</v>
      </c>
    </row>
    <row r="977" spans="1:13" x14ac:dyDescent="0.3">
      <c r="A977" s="10">
        <v>976</v>
      </c>
      <c r="B977" s="11">
        <v>7.3</v>
      </c>
      <c r="C977" s="12">
        <v>0.32</v>
      </c>
      <c r="D977" s="13">
        <v>0.23</v>
      </c>
      <c r="E977" s="11">
        <v>2.2999999999999998</v>
      </c>
      <c r="F977" s="12">
        <v>6.6000000000000003E-2</v>
      </c>
      <c r="G977" s="11">
        <v>35</v>
      </c>
      <c r="H977" s="11">
        <v>70</v>
      </c>
      <c r="I977" s="14">
        <v>0.99587999999999999</v>
      </c>
      <c r="J977" s="13">
        <v>3.43</v>
      </c>
      <c r="K977" s="13">
        <v>0.62</v>
      </c>
      <c r="L977" s="11">
        <v>10.1</v>
      </c>
      <c r="M977" s="10">
        <v>5</v>
      </c>
    </row>
    <row r="978" spans="1:13" x14ac:dyDescent="0.3">
      <c r="A978" s="10">
        <v>977</v>
      </c>
      <c r="B978" s="11">
        <v>8.1999999999999993</v>
      </c>
      <c r="C978" s="12">
        <v>0.2</v>
      </c>
      <c r="D978" s="13">
        <v>0.43</v>
      </c>
      <c r="E978" s="11">
        <v>2.5</v>
      </c>
      <c r="F978" s="12">
        <v>7.5999999999999998E-2</v>
      </c>
      <c r="G978" s="11">
        <v>31</v>
      </c>
      <c r="H978" s="11">
        <v>51</v>
      </c>
      <c r="I978" s="14">
        <v>0.99672000000000005</v>
      </c>
      <c r="J978" s="13">
        <v>3.53</v>
      </c>
      <c r="K978" s="13">
        <v>0.81</v>
      </c>
      <c r="L978" s="11">
        <v>10.4</v>
      </c>
      <c r="M978" s="10">
        <v>6</v>
      </c>
    </row>
    <row r="979" spans="1:13" x14ac:dyDescent="0.3">
      <c r="A979" s="10">
        <v>978</v>
      </c>
      <c r="B979" s="11">
        <v>7.8</v>
      </c>
      <c r="C979" s="12">
        <v>0.5</v>
      </c>
      <c r="D979" s="13">
        <v>0.12</v>
      </c>
      <c r="E979" s="11">
        <v>1.8</v>
      </c>
      <c r="F979" s="12">
        <v>0.17799999999999999</v>
      </c>
      <c r="G979" s="11">
        <v>6</v>
      </c>
      <c r="H979" s="11">
        <v>21</v>
      </c>
      <c r="I979" s="14">
        <v>0.996</v>
      </c>
      <c r="J979" s="13">
        <v>3.28</v>
      </c>
      <c r="K979" s="13">
        <v>0.87</v>
      </c>
      <c r="L979" s="11">
        <v>9.8000000000000007</v>
      </c>
      <c r="M979" s="10">
        <v>6</v>
      </c>
    </row>
    <row r="980" spans="1:13" x14ac:dyDescent="0.3">
      <c r="A980" s="10">
        <v>979</v>
      </c>
      <c r="B980" s="11">
        <v>10</v>
      </c>
      <c r="C980" s="12">
        <v>0.41</v>
      </c>
      <c r="D980" s="13">
        <v>0.45</v>
      </c>
      <c r="E980" s="11">
        <v>6.2</v>
      </c>
      <c r="F980" s="12">
        <v>7.0999999999999994E-2</v>
      </c>
      <c r="G980" s="11">
        <v>6</v>
      </c>
      <c r="H980" s="11">
        <v>14</v>
      </c>
      <c r="I980" s="14">
        <v>0.99702000000000002</v>
      </c>
      <c r="J980" s="13">
        <v>3.21</v>
      </c>
      <c r="K980" s="13">
        <v>0.49</v>
      </c>
      <c r="L980" s="11">
        <v>11.8</v>
      </c>
      <c r="M980" s="10">
        <v>7</v>
      </c>
    </row>
    <row r="981" spans="1:13" x14ac:dyDescent="0.3">
      <c r="A981" s="10">
        <v>980</v>
      </c>
      <c r="B981" s="11">
        <v>7.8</v>
      </c>
      <c r="C981" s="12">
        <v>0.39</v>
      </c>
      <c r="D981" s="13">
        <v>0.42</v>
      </c>
      <c r="E981" s="11">
        <v>2</v>
      </c>
      <c r="F981" s="12">
        <v>8.5999999999999993E-2</v>
      </c>
      <c r="G981" s="11">
        <v>9</v>
      </c>
      <c r="H981" s="11">
        <v>21</v>
      </c>
      <c r="I981" s="14">
        <v>0.99526000000000003</v>
      </c>
      <c r="J981" s="13">
        <v>3.39</v>
      </c>
      <c r="K981" s="13">
        <v>0.66</v>
      </c>
      <c r="L981" s="11">
        <v>11.6</v>
      </c>
      <c r="M981" s="10">
        <v>6</v>
      </c>
    </row>
    <row r="982" spans="1:13" x14ac:dyDescent="0.3">
      <c r="A982" s="10">
        <v>981</v>
      </c>
      <c r="B982" s="11">
        <v>10</v>
      </c>
      <c r="C982" s="12">
        <v>0.35</v>
      </c>
      <c r="D982" s="13">
        <v>0.47</v>
      </c>
      <c r="E982" s="11">
        <v>2</v>
      </c>
      <c r="F982" s="12">
        <v>6.0999999999999999E-2</v>
      </c>
      <c r="G982" s="11">
        <v>6</v>
      </c>
      <c r="H982" s="11">
        <v>11</v>
      </c>
      <c r="I982" s="14">
        <v>0.99585000000000001</v>
      </c>
      <c r="J982" s="13">
        <v>3.23</v>
      </c>
      <c r="K982" s="13">
        <v>0.52</v>
      </c>
      <c r="L982" s="11">
        <v>12</v>
      </c>
      <c r="M982" s="10">
        <v>6</v>
      </c>
    </row>
    <row r="983" spans="1:13" x14ac:dyDescent="0.3">
      <c r="A983" s="10">
        <v>982</v>
      </c>
      <c r="B983" s="11">
        <v>8.1999999999999993</v>
      </c>
      <c r="C983" s="12">
        <v>0.33</v>
      </c>
      <c r="D983" s="13">
        <v>0.32</v>
      </c>
      <c r="E983" s="11">
        <v>2.8</v>
      </c>
      <c r="F983" s="12">
        <v>6.7000000000000004E-2</v>
      </c>
      <c r="G983" s="11">
        <v>4</v>
      </c>
      <c r="H983" s="11">
        <v>12</v>
      </c>
      <c r="I983" s="14">
        <v>0.99473</v>
      </c>
      <c r="J983" s="13">
        <v>3.3</v>
      </c>
      <c r="K983" s="13">
        <v>0.76</v>
      </c>
      <c r="L983" s="11">
        <v>12.8</v>
      </c>
      <c r="M983" s="10">
        <v>7</v>
      </c>
    </row>
    <row r="984" spans="1:13" x14ac:dyDescent="0.3">
      <c r="A984" s="10">
        <v>983</v>
      </c>
      <c r="B984" s="11">
        <v>6.1</v>
      </c>
      <c r="C984" s="12">
        <v>0.57999999999999996</v>
      </c>
      <c r="D984" s="13">
        <v>0.23</v>
      </c>
      <c r="E984" s="11">
        <v>2.5</v>
      </c>
      <c r="F984" s="12">
        <v>4.3999999999999997E-2</v>
      </c>
      <c r="G984" s="11">
        <v>16</v>
      </c>
      <c r="H984" s="11">
        <v>70</v>
      </c>
      <c r="I984" s="14">
        <v>0.99351999999999996</v>
      </c>
      <c r="J984" s="13">
        <v>3.46</v>
      </c>
      <c r="K984" s="13">
        <v>0.65</v>
      </c>
      <c r="L984" s="11">
        <v>12.5</v>
      </c>
      <c r="M984" s="10">
        <v>6</v>
      </c>
    </row>
    <row r="985" spans="1:13" x14ac:dyDescent="0.3">
      <c r="A985" s="10">
        <v>984</v>
      </c>
      <c r="B985" s="11">
        <v>8.3000000000000007</v>
      </c>
      <c r="C985" s="12">
        <v>0.6</v>
      </c>
      <c r="D985" s="13">
        <v>0.25</v>
      </c>
      <c r="E985" s="11">
        <v>2.2000000000000002</v>
      </c>
      <c r="F985" s="12">
        <v>0.11799999999999999</v>
      </c>
      <c r="G985" s="11">
        <v>9</v>
      </c>
      <c r="H985" s="11">
        <v>38</v>
      </c>
      <c r="I985" s="14">
        <v>0.99616000000000005</v>
      </c>
      <c r="J985" s="13">
        <v>3.15</v>
      </c>
      <c r="K985" s="13">
        <v>0.53</v>
      </c>
      <c r="L985" s="11">
        <v>9.8000000000000007</v>
      </c>
      <c r="M985" s="10">
        <v>5</v>
      </c>
    </row>
    <row r="986" spans="1:13" x14ac:dyDescent="0.3">
      <c r="A986" s="10">
        <v>985</v>
      </c>
      <c r="B986" s="11">
        <v>9.6</v>
      </c>
      <c r="C986" s="12">
        <v>0.42</v>
      </c>
      <c r="D986" s="13">
        <v>0.35</v>
      </c>
      <c r="E986" s="11">
        <v>2.1</v>
      </c>
      <c r="F986" s="12">
        <v>8.3000000000000004E-2</v>
      </c>
      <c r="G986" s="11">
        <v>17</v>
      </c>
      <c r="H986" s="11">
        <v>38</v>
      </c>
      <c r="I986" s="14">
        <v>0.99621999999999999</v>
      </c>
      <c r="J986" s="13">
        <v>3.23</v>
      </c>
      <c r="K986" s="13">
        <v>0.66</v>
      </c>
      <c r="L986" s="11">
        <v>11.1</v>
      </c>
      <c r="M986" s="10">
        <v>6</v>
      </c>
    </row>
    <row r="987" spans="1:13" x14ac:dyDescent="0.3">
      <c r="A987" s="10">
        <v>986</v>
      </c>
      <c r="B987" s="11">
        <v>6.6</v>
      </c>
      <c r="C987" s="12">
        <v>0.57999999999999996</v>
      </c>
      <c r="D987" s="13">
        <v>0</v>
      </c>
      <c r="E987" s="11">
        <v>2.2000000000000002</v>
      </c>
      <c r="F987" s="12">
        <v>0.1</v>
      </c>
      <c r="G987" s="11">
        <v>50</v>
      </c>
      <c r="H987" s="11">
        <v>63</v>
      </c>
      <c r="I987" s="14">
        <v>0.99543999999999999</v>
      </c>
      <c r="J987" s="13">
        <v>3.59</v>
      </c>
      <c r="K987" s="13">
        <v>0.68</v>
      </c>
      <c r="L987" s="11">
        <v>11.4</v>
      </c>
      <c r="M987" s="10">
        <v>6</v>
      </c>
    </row>
    <row r="988" spans="1:13" x14ac:dyDescent="0.3">
      <c r="A988" s="10">
        <v>987</v>
      </c>
      <c r="B988" s="11">
        <v>8.5</v>
      </c>
      <c r="C988" s="12">
        <v>0.18</v>
      </c>
      <c r="D988" s="13">
        <v>0.51</v>
      </c>
      <c r="E988" s="11">
        <v>1.75</v>
      </c>
      <c r="F988" s="12">
        <v>7.0999999999999994E-2</v>
      </c>
      <c r="G988" s="11">
        <v>45</v>
      </c>
      <c r="H988" s="11">
        <v>88</v>
      </c>
      <c r="I988" s="14">
        <v>0.99524000000000001</v>
      </c>
      <c r="J988" s="13">
        <v>3.33</v>
      </c>
      <c r="K988" s="13">
        <v>0.76</v>
      </c>
      <c r="L988" s="11">
        <v>11.8</v>
      </c>
      <c r="M988" s="10">
        <v>7</v>
      </c>
    </row>
    <row r="989" spans="1:13" x14ac:dyDescent="0.3">
      <c r="A989" s="10">
        <v>988</v>
      </c>
      <c r="B989" s="11">
        <v>5.0999999999999996</v>
      </c>
      <c r="C989" s="12">
        <v>0.51</v>
      </c>
      <c r="D989" s="13">
        <v>0.18</v>
      </c>
      <c r="E989" s="11">
        <v>2.1</v>
      </c>
      <c r="F989" s="12">
        <v>4.2000000000000003E-2</v>
      </c>
      <c r="G989" s="11">
        <v>16</v>
      </c>
      <c r="H989" s="11">
        <v>101</v>
      </c>
      <c r="I989" s="14">
        <v>0.99239999999999995</v>
      </c>
      <c r="J989" s="13">
        <v>3.46</v>
      </c>
      <c r="K989" s="13">
        <v>0.87</v>
      </c>
      <c r="L989" s="11">
        <v>12.9</v>
      </c>
      <c r="M989" s="10">
        <v>7</v>
      </c>
    </row>
    <row r="990" spans="1:13" x14ac:dyDescent="0.3">
      <c r="A990" s="10">
        <v>989</v>
      </c>
      <c r="B990" s="11">
        <v>6.7</v>
      </c>
      <c r="C990" s="12">
        <v>0.41</v>
      </c>
      <c r="D990" s="13">
        <v>0.43</v>
      </c>
      <c r="E990" s="11">
        <v>2.8</v>
      </c>
      <c r="F990" s="12">
        <v>7.5999999999999998E-2</v>
      </c>
      <c r="G990" s="11">
        <v>22</v>
      </c>
      <c r="H990" s="11">
        <v>54</v>
      </c>
      <c r="I990" s="14">
        <v>0.99572000000000005</v>
      </c>
      <c r="J990" s="13">
        <v>3.42</v>
      </c>
      <c r="K990" s="13">
        <v>1.1599999999999999</v>
      </c>
      <c r="L990" s="11">
        <v>10.6</v>
      </c>
      <c r="M990" s="10">
        <v>6</v>
      </c>
    </row>
    <row r="991" spans="1:13" x14ac:dyDescent="0.3">
      <c r="A991" s="10">
        <v>990</v>
      </c>
      <c r="B991" s="11">
        <v>10.199999999999999</v>
      </c>
      <c r="C991" s="12">
        <v>0.41</v>
      </c>
      <c r="D991" s="13">
        <v>0.43</v>
      </c>
      <c r="E991" s="11">
        <v>2.2000000000000002</v>
      </c>
      <c r="F991" s="12">
        <v>0.11</v>
      </c>
      <c r="G991" s="11">
        <v>11</v>
      </c>
      <c r="H991" s="11">
        <v>37</v>
      </c>
      <c r="I991" s="14">
        <v>0.99728000000000006</v>
      </c>
      <c r="J991" s="13">
        <v>3.16</v>
      </c>
      <c r="K991" s="13">
        <v>0.67</v>
      </c>
      <c r="L991" s="11">
        <v>10.8</v>
      </c>
      <c r="M991" s="10">
        <v>5</v>
      </c>
    </row>
    <row r="992" spans="1:13" x14ac:dyDescent="0.3">
      <c r="A992" s="10">
        <v>991</v>
      </c>
      <c r="B992" s="11">
        <v>10.6</v>
      </c>
      <c r="C992" s="12">
        <v>0.36</v>
      </c>
      <c r="D992" s="13">
        <v>0.56999999999999995</v>
      </c>
      <c r="E992" s="11">
        <v>2.2999999999999998</v>
      </c>
      <c r="F992" s="12">
        <v>8.6999999999999994E-2</v>
      </c>
      <c r="G992" s="11">
        <v>6</v>
      </c>
      <c r="H992" s="11">
        <v>20</v>
      </c>
      <c r="I992" s="14">
        <v>0.99675999999999998</v>
      </c>
      <c r="J992" s="13">
        <v>3.14</v>
      </c>
      <c r="K992" s="13">
        <v>0.72</v>
      </c>
      <c r="L992" s="11">
        <v>11.1</v>
      </c>
      <c r="M992" s="10">
        <v>7</v>
      </c>
    </row>
    <row r="993" spans="1:13" x14ac:dyDescent="0.3">
      <c r="A993" s="10">
        <v>992</v>
      </c>
      <c r="B993" s="11">
        <v>8.8000000000000007</v>
      </c>
      <c r="C993" s="12">
        <v>0.45</v>
      </c>
      <c r="D993" s="13">
        <v>0.43</v>
      </c>
      <c r="E993" s="11">
        <v>1.4</v>
      </c>
      <c r="F993" s="12">
        <v>7.5999999999999998E-2</v>
      </c>
      <c r="G993" s="11">
        <v>12</v>
      </c>
      <c r="H993" s="11">
        <v>21</v>
      </c>
      <c r="I993" s="14">
        <v>0.99551000000000001</v>
      </c>
      <c r="J993" s="13">
        <v>3.21</v>
      </c>
      <c r="K993" s="13">
        <v>0.75</v>
      </c>
      <c r="L993" s="11">
        <v>10.199999999999999</v>
      </c>
      <c r="M993" s="10">
        <v>6</v>
      </c>
    </row>
    <row r="994" spans="1:13" x14ac:dyDescent="0.3">
      <c r="A994" s="10">
        <v>993</v>
      </c>
      <c r="B994" s="11">
        <v>8.5</v>
      </c>
      <c r="C994" s="12">
        <v>0.32</v>
      </c>
      <c r="D994" s="13">
        <v>0.42</v>
      </c>
      <c r="E994" s="11">
        <v>2.2999999999999998</v>
      </c>
      <c r="F994" s="12">
        <v>7.4999999999999997E-2</v>
      </c>
      <c r="G994" s="11">
        <v>12</v>
      </c>
      <c r="H994" s="11">
        <v>19</v>
      </c>
      <c r="I994" s="14">
        <v>0.99434</v>
      </c>
      <c r="J994" s="13">
        <v>3.14</v>
      </c>
      <c r="K994" s="13">
        <v>0.71</v>
      </c>
      <c r="L994" s="11">
        <v>11.8</v>
      </c>
      <c r="M994" s="10">
        <v>7</v>
      </c>
    </row>
    <row r="995" spans="1:13" x14ac:dyDescent="0.3">
      <c r="A995" s="10">
        <v>994</v>
      </c>
      <c r="B995" s="11">
        <v>9</v>
      </c>
      <c r="C995" s="12">
        <v>0.78500000000000003</v>
      </c>
      <c r="D995" s="13">
        <v>0.24</v>
      </c>
      <c r="E995" s="11">
        <v>1.7</v>
      </c>
      <c r="F995" s="12">
        <v>7.8E-2</v>
      </c>
      <c r="G995" s="11">
        <v>10</v>
      </c>
      <c r="H995" s="11">
        <v>21</v>
      </c>
      <c r="I995" s="14">
        <v>0.99692000000000003</v>
      </c>
      <c r="J995" s="13">
        <v>3.29</v>
      </c>
      <c r="K995" s="13">
        <v>0.67</v>
      </c>
      <c r="L995" s="11">
        <v>10</v>
      </c>
      <c r="M995" s="10">
        <v>5</v>
      </c>
    </row>
    <row r="996" spans="1:13" x14ac:dyDescent="0.3">
      <c r="A996" s="10">
        <v>995</v>
      </c>
      <c r="B996" s="11">
        <v>8.5</v>
      </c>
      <c r="C996" s="12">
        <v>0.44</v>
      </c>
      <c r="D996" s="13">
        <v>0.5</v>
      </c>
      <c r="E996" s="11">
        <v>1.9</v>
      </c>
      <c r="F996" s="12">
        <v>0.36899999999999999</v>
      </c>
      <c r="G996" s="11">
        <v>15</v>
      </c>
      <c r="H996" s="11">
        <v>38</v>
      </c>
      <c r="I996" s="14">
        <v>0.99634</v>
      </c>
      <c r="J996" s="13">
        <v>3.01</v>
      </c>
      <c r="K996" s="13">
        <v>1.1000000000000001</v>
      </c>
      <c r="L996" s="11">
        <v>9.4</v>
      </c>
      <c r="M996" s="10">
        <v>5</v>
      </c>
    </row>
    <row r="997" spans="1:13" x14ac:dyDescent="0.3">
      <c r="A997" s="10">
        <v>996</v>
      </c>
      <c r="B997" s="11">
        <v>9.9</v>
      </c>
      <c r="C997" s="12">
        <v>0.54</v>
      </c>
      <c r="D997" s="13">
        <v>0.26</v>
      </c>
      <c r="E997" s="11">
        <v>2</v>
      </c>
      <c r="F997" s="12">
        <v>0.111</v>
      </c>
      <c r="G997" s="11">
        <v>7</v>
      </c>
      <c r="H997" s="11">
        <v>60</v>
      </c>
      <c r="I997" s="14">
        <v>0.99709000000000003</v>
      </c>
      <c r="J997" s="13">
        <v>2.94</v>
      </c>
      <c r="K997" s="13">
        <v>0.98</v>
      </c>
      <c r="L997" s="11">
        <v>10.199999999999999</v>
      </c>
      <c r="M997" s="10">
        <v>5</v>
      </c>
    </row>
    <row r="998" spans="1:13" x14ac:dyDescent="0.3">
      <c r="A998" s="10">
        <v>997</v>
      </c>
      <c r="B998" s="11">
        <v>8.1999999999999993</v>
      </c>
      <c r="C998" s="12">
        <v>0.33</v>
      </c>
      <c r="D998" s="13">
        <v>0.39</v>
      </c>
      <c r="E998" s="11">
        <v>2.5</v>
      </c>
      <c r="F998" s="12">
        <v>7.3999999999999996E-2</v>
      </c>
      <c r="G998" s="11">
        <v>29</v>
      </c>
      <c r="H998" s="11">
        <v>48</v>
      </c>
      <c r="I998" s="14">
        <v>0.99528000000000005</v>
      </c>
      <c r="J998" s="13">
        <v>3.32</v>
      </c>
      <c r="K998" s="13">
        <v>0.88</v>
      </c>
      <c r="L998" s="11">
        <v>12.4</v>
      </c>
      <c r="M998" s="10">
        <v>7</v>
      </c>
    </row>
    <row r="999" spans="1:13" x14ac:dyDescent="0.3">
      <c r="A999" s="10">
        <v>998</v>
      </c>
      <c r="B999" s="11">
        <v>6.5</v>
      </c>
      <c r="C999" s="12">
        <v>0.34</v>
      </c>
      <c r="D999" s="13">
        <v>0.27</v>
      </c>
      <c r="E999" s="11">
        <v>2.8</v>
      </c>
      <c r="F999" s="12">
        <v>6.7000000000000004E-2</v>
      </c>
      <c r="G999" s="11">
        <v>8</v>
      </c>
      <c r="H999" s="11">
        <v>44</v>
      </c>
      <c r="I999" s="14">
        <v>0.99383999999999995</v>
      </c>
      <c r="J999" s="13">
        <v>3.21</v>
      </c>
      <c r="K999" s="13">
        <v>0.56000000000000005</v>
      </c>
      <c r="L999" s="11">
        <v>12</v>
      </c>
      <c r="M999" s="10">
        <v>6</v>
      </c>
    </row>
    <row r="1000" spans="1:13" x14ac:dyDescent="0.3">
      <c r="A1000" s="10">
        <v>999</v>
      </c>
      <c r="B1000" s="11">
        <v>7.6</v>
      </c>
      <c r="C1000" s="12">
        <v>0.5</v>
      </c>
      <c r="D1000" s="13">
        <v>0.28999999999999998</v>
      </c>
      <c r="E1000" s="11">
        <v>2.2999999999999998</v>
      </c>
      <c r="F1000" s="12">
        <v>8.5999999999999993E-2</v>
      </c>
      <c r="G1000" s="11">
        <v>5</v>
      </c>
      <c r="H1000" s="11">
        <v>14</v>
      </c>
      <c r="I1000" s="14">
        <v>0.99502000000000002</v>
      </c>
      <c r="J1000" s="13">
        <v>3.32</v>
      </c>
      <c r="K1000" s="13">
        <v>0.62</v>
      </c>
      <c r="L1000" s="11">
        <v>11.5</v>
      </c>
      <c r="M1000" s="10">
        <v>6</v>
      </c>
    </row>
    <row r="1001" spans="1:13" x14ac:dyDescent="0.3">
      <c r="A1001" s="10">
        <v>1000</v>
      </c>
      <c r="B1001" s="11">
        <v>9.1999999999999993</v>
      </c>
      <c r="C1001" s="12">
        <v>0.36</v>
      </c>
      <c r="D1001" s="13">
        <v>0.34</v>
      </c>
      <c r="E1001" s="11">
        <v>1.6</v>
      </c>
      <c r="F1001" s="12">
        <v>6.2E-2</v>
      </c>
      <c r="G1001" s="11">
        <v>5</v>
      </c>
      <c r="H1001" s="11">
        <v>12</v>
      </c>
      <c r="I1001" s="14">
        <v>0.99666999999999994</v>
      </c>
      <c r="J1001" s="13">
        <v>3.2</v>
      </c>
      <c r="K1001" s="13">
        <v>0.67</v>
      </c>
      <c r="L1001" s="11">
        <v>10.5</v>
      </c>
      <c r="M1001" s="10">
        <v>6</v>
      </c>
    </row>
    <row r="1002" spans="1:13" x14ac:dyDescent="0.3">
      <c r="A1002" s="10">
        <v>1001</v>
      </c>
      <c r="B1002" s="11">
        <v>7.1</v>
      </c>
      <c r="C1002" s="12">
        <v>0.59</v>
      </c>
      <c r="D1002" s="13">
        <v>0</v>
      </c>
      <c r="E1002" s="11">
        <v>2.2000000000000002</v>
      </c>
      <c r="F1002" s="12">
        <v>7.8E-2</v>
      </c>
      <c r="G1002" s="11">
        <v>26</v>
      </c>
      <c r="H1002" s="11">
        <v>44</v>
      </c>
      <c r="I1002" s="14">
        <v>0.99521999999999999</v>
      </c>
      <c r="J1002" s="13">
        <v>3.42</v>
      </c>
      <c r="K1002" s="13">
        <v>0.68</v>
      </c>
      <c r="L1002" s="11">
        <v>10.8</v>
      </c>
      <c r="M1002" s="10">
        <v>6</v>
      </c>
    </row>
    <row r="1003" spans="1:13" x14ac:dyDescent="0.3">
      <c r="A1003" s="10">
        <v>1002</v>
      </c>
      <c r="B1003" s="11">
        <v>9.6999999999999993</v>
      </c>
      <c r="C1003" s="12">
        <v>0.42</v>
      </c>
      <c r="D1003" s="13">
        <v>0.46</v>
      </c>
      <c r="E1003" s="11">
        <v>2.1</v>
      </c>
      <c r="F1003" s="12">
        <v>7.3999999999999996E-2</v>
      </c>
      <c r="G1003" s="11">
        <v>5</v>
      </c>
      <c r="H1003" s="11">
        <v>16</v>
      </c>
      <c r="I1003" s="14">
        <v>0.99648999999999999</v>
      </c>
      <c r="J1003" s="13">
        <v>3.27</v>
      </c>
      <c r="K1003" s="13">
        <v>0.74</v>
      </c>
      <c r="L1003" s="11">
        <v>12.3</v>
      </c>
      <c r="M1003" s="10">
        <v>6</v>
      </c>
    </row>
    <row r="1004" spans="1:13" x14ac:dyDescent="0.3">
      <c r="A1004" s="10">
        <v>1003</v>
      </c>
      <c r="B1004" s="11">
        <v>7.6</v>
      </c>
      <c r="C1004" s="12">
        <v>0.36</v>
      </c>
      <c r="D1004" s="13">
        <v>0.31</v>
      </c>
      <c r="E1004" s="11">
        <v>1.7</v>
      </c>
      <c r="F1004" s="12">
        <v>7.9000000000000001E-2</v>
      </c>
      <c r="G1004" s="11">
        <v>26</v>
      </c>
      <c r="H1004" s="11">
        <v>65</v>
      </c>
      <c r="I1004" s="14">
        <v>0.99716000000000005</v>
      </c>
      <c r="J1004" s="13">
        <v>3.46</v>
      </c>
      <c r="K1004" s="13">
        <v>0.62</v>
      </c>
      <c r="L1004" s="11">
        <v>9.5</v>
      </c>
      <c r="M1004" s="10">
        <v>6</v>
      </c>
    </row>
    <row r="1005" spans="1:13" x14ac:dyDescent="0.3">
      <c r="A1005" s="10">
        <v>1004</v>
      </c>
      <c r="B1005" s="11">
        <v>6.5</v>
      </c>
      <c r="C1005" s="12">
        <v>0.61</v>
      </c>
      <c r="D1005" s="13">
        <v>0</v>
      </c>
      <c r="E1005" s="11">
        <v>2.2000000000000002</v>
      </c>
      <c r="F1005" s="12">
        <v>9.5000000000000001E-2</v>
      </c>
      <c r="G1005" s="11">
        <v>48</v>
      </c>
      <c r="H1005" s="11">
        <v>59</v>
      </c>
      <c r="I1005" s="14">
        <v>0.99541000000000002</v>
      </c>
      <c r="J1005" s="13">
        <v>3.61</v>
      </c>
      <c r="K1005" s="13">
        <v>0.7</v>
      </c>
      <c r="L1005" s="11">
        <v>11.5</v>
      </c>
      <c r="M1005" s="10">
        <v>6</v>
      </c>
    </row>
    <row r="1006" spans="1:13" x14ac:dyDescent="0.3">
      <c r="A1006" s="10">
        <v>1005</v>
      </c>
      <c r="B1006" s="11">
        <v>6.5</v>
      </c>
      <c r="C1006" s="12">
        <v>0.88</v>
      </c>
      <c r="D1006" s="13">
        <v>0.03</v>
      </c>
      <c r="E1006" s="11">
        <v>5.6</v>
      </c>
      <c r="F1006" s="12">
        <v>7.9000000000000001E-2</v>
      </c>
      <c r="G1006" s="11">
        <v>23</v>
      </c>
      <c r="H1006" s="11">
        <v>47</v>
      </c>
      <c r="I1006" s="14">
        <v>0.99572000000000005</v>
      </c>
      <c r="J1006" s="13">
        <v>3.58</v>
      </c>
      <c r="K1006" s="13">
        <v>0.5</v>
      </c>
      <c r="L1006" s="11">
        <v>11.2</v>
      </c>
      <c r="M1006" s="10">
        <v>4</v>
      </c>
    </row>
    <row r="1007" spans="1:13" x14ac:dyDescent="0.3">
      <c r="A1007" s="10">
        <v>1006</v>
      </c>
      <c r="B1007" s="11">
        <v>7.1</v>
      </c>
      <c r="C1007" s="12">
        <v>0.66</v>
      </c>
      <c r="D1007" s="13">
        <v>0</v>
      </c>
      <c r="E1007" s="11">
        <v>2.4</v>
      </c>
      <c r="F1007" s="12">
        <v>5.1999999999999998E-2</v>
      </c>
      <c r="G1007" s="11">
        <v>6</v>
      </c>
      <c r="H1007" s="11">
        <v>11</v>
      </c>
      <c r="I1007" s="14">
        <v>0.99317999999999995</v>
      </c>
      <c r="J1007" s="13">
        <v>3.35</v>
      </c>
      <c r="K1007" s="13">
        <v>0.66</v>
      </c>
      <c r="L1007" s="11">
        <v>12.7</v>
      </c>
      <c r="M1007" s="10">
        <v>7</v>
      </c>
    </row>
    <row r="1008" spans="1:13" x14ac:dyDescent="0.3">
      <c r="A1008" s="10">
        <v>1007</v>
      </c>
      <c r="B1008" s="11">
        <v>5.6</v>
      </c>
      <c r="C1008" s="12">
        <v>0.91500000000000004</v>
      </c>
      <c r="D1008" s="13">
        <v>0</v>
      </c>
      <c r="E1008" s="11">
        <v>2.1</v>
      </c>
      <c r="F1008" s="12">
        <v>4.1000000000000002E-2</v>
      </c>
      <c r="G1008" s="11">
        <v>17</v>
      </c>
      <c r="H1008" s="11">
        <v>78</v>
      </c>
      <c r="I1008" s="14">
        <v>0.99346000000000001</v>
      </c>
      <c r="J1008" s="13">
        <v>3.68</v>
      </c>
      <c r="K1008" s="13">
        <v>0.73</v>
      </c>
      <c r="L1008" s="11">
        <v>11.4</v>
      </c>
      <c r="M1008" s="10">
        <v>5</v>
      </c>
    </row>
    <row r="1009" spans="1:13" x14ac:dyDescent="0.3">
      <c r="A1009" s="10">
        <v>1008</v>
      </c>
      <c r="B1009" s="11">
        <v>8.1999999999999993</v>
      </c>
      <c r="C1009" s="12">
        <v>0.35</v>
      </c>
      <c r="D1009" s="13">
        <v>0.33</v>
      </c>
      <c r="E1009" s="11">
        <v>2.4</v>
      </c>
      <c r="F1009" s="12">
        <v>7.5999999999999998E-2</v>
      </c>
      <c r="G1009" s="11">
        <v>11</v>
      </c>
      <c r="H1009" s="11">
        <v>47</v>
      </c>
      <c r="I1009" s="14">
        <v>0.99599000000000004</v>
      </c>
      <c r="J1009" s="13">
        <v>3.27</v>
      </c>
      <c r="K1009" s="13">
        <v>0.81</v>
      </c>
      <c r="L1009" s="11">
        <v>11</v>
      </c>
      <c r="M1009" s="10">
        <v>6</v>
      </c>
    </row>
    <row r="1010" spans="1:13" x14ac:dyDescent="0.3">
      <c r="A1010" s="10">
        <v>1009</v>
      </c>
      <c r="B1010" s="11">
        <v>9.8000000000000007</v>
      </c>
      <c r="C1010" s="12">
        <v>0.39</v>
      </c>
      <c r="D1010" s="13">
        <v>0.43</v>
      </c>
      <c r="E1010" s="11">
        <v>1.65</v>
      </c>
      <c r="F1010" s="12">
        <v>6.8000000000000005E-2</v>
      </c>
      <c r="G1010" s="11">
        <v>5</v>
      </c>
      <c r="H1010" s="11">
        <v>11</v>
      </c>
      <c r="I1010" s="14">
        <v>0.99478</v>
      </c>
      <c r="J1010" s="13">
        <v>3.19</v>
      </c>
      <c r="K1010" s="13">
        <v>0.46</v>
      </c>
      <c r="L1010" s="11">
        <v>11.4</v>
      </c>
      <c r="M1010" s="10">
        <v>5</v>
      </c>
    </row>
    <row r="1011" spans="1:13" x14ac:dyDescent="0.3">
      <c r="A1011" s="10">
        <v>1010</v>
      </c>
      <c r="B1011" s="11">
        <v>10.199999999999999</v>
      </c>
      <c r="C1011" s="12">
        <v>0.4</v>
      </c>
      <c r="D1011" s="13">
        <v>0.4</v>
      </c>
      <c r="E1011" s="11">
        <v>2.5</v>
      </c>
      <c r="F1011" s="12">
        <v>6.8000000000000005E-2</v>
      </c>
      <c r="G1011" s="11">
        <v>41</v>
      </c>
      <c r="H1011" s="11">
        <v>54</v>
      </c>
      <c r="I1011" s="14">
        <v>0.99753999999999998</v>
      </c>
      <c r="J1011" s="13">
        <v>3.38</v>
      </c>
      <c r="K1011" s="13">
        <v>0.86</v>
      </c>
      <c r="L1011" s="11">
        <v>10.5</v>
      </c>
      <c r="M1011" s="10">
        <v>6</v>
      </c>
    </row>
    <row r="1012" spans="1:13" x14ac:dyDescent="0.3">
      <c r="A1012" s="10">
        <v>1011</v>
      </c>
      <c r="B1012" s="11">
        <v>6.8</v>
      </c>
      <c r="C1012" s="12">
        <v>0.66</v>
      </c>
      <c r="D1012" s="13">
        <v>7.0000000000000007E-2</v>
      </c>
      <c r="E1012" s="11">
        <v>1.6</v>
      </c>
      <c r="F1012" s="12">
        <v>7.0000000000000007E-2</v>
      </c>
      <c r="G1012" s="11">
        <v>16</v>
      </c>
      <c r="H1012" s="11">
        <v>61</v>
      </c>
      <c r="I1012" s="14">
        <v>0.99572000000000005</v>
      </c>
      <c r="J1012" s="13">
        <v>3.29</v>
      </c>
      <c r="K1012" s="13">
        <v>0.6</v>
      </c>
      <c r="L1012" s="11">
        <v>9.3000000000000007</v>
      </c>
      <c r="M1012" s="10">
        <v>5</v>
      </c>
    </row>
    <row r="1013" spans="1:13" x14ac:dyDescent="0.3">
      <c r="A1013" s="10">
        <v>1012</v>
      </c>
      <c r="B1013" s="11">
        <v>6.7</v>
      </c>
      <c r="C1013" s="12">
        <v>0.64</v>
      </c>
      <c r="D1013" s="13">
        <v>0.23</v>
      </c>
      <c r="E1013" s="11">
        <v>2.1</v>
      </c>
      <c r="F1013" s="12">
        <v>0.08</v>
      </c>
      <c r="G1013" s="11">
        <v>11</v>
      </c>
      <c r="H1013" s="11">
        <v>119</v>
      </c>
      <c r="I1013" s="14">
        <v>0.99538000000000004</v>
      </c>
      <c r="J1013" s="13">
        <v>3.36</v>
      </c>
      <c r="K1013" s="13">
        <v>0.7</v>
      </c>
      <c r="L1013" s="11">
        <v>10.9</v>
      </c>
      <c r="M1013" s="10">
        <v>5</v>
      </c>
    </row>
    <row r="1014" spans="1:13" x14ac:dyDescent="0.3">
      <c r="A1014" s="10">
        <v>1013</v>
      </c>
      <c r="B1014" s="11">
        <v>7</v>
      </c>
      <c r="C1014" s="12">
        <v>0.43</v>
      </c>
      <c r="D1014" s="13">
        <v>0.3</v>
      </c>
      <c r="E1014" s="11">
        <v>2</v>
      </c>
      <c r="F1014" s="12">
        <v>8.5000000000000006E-2</v>
      </c>
      <c r="G1014" s="11">
        <v>6</v>
      </c>
      <c r="H1014" s="11">
        <v>39</v>
      </c>
      <c r="I1014" s="14">
        <v>0.99346000000000001</v>
      </c>
      <c r="J1014" s="13">
        <v>3.33</v>
      </c>
      <c r="K1014" s="13">
        <v>0.46</v>
      </c>
      <c r="L1014" s="11">
        <v>11.9</v>
      </c>
      <c r="M1014" s="10">
        <v>6</v>
      </c>
    </row>
    <row r="1015" spans="1:13" x14ac:dyDescent="0.3">
      <c r="A1015" s="10">
        <v>1014</v>
      </c>
      <c r="B1015" s="11">
        <v>6.6</v>
      </c>
      <c r="C1015" s="12">
        <v>0.8</v>
      </c>
      <c r="D1015" s="13">
        <v>0.03</v>
      </c>
      <c r="E1015" s="11">
        <v>7.8</v>
      </c>
      <c r="F1015" s="12">
        <v>7.9000000000000001E-2</v>
      </c>
      <c r="G1015" s="11">
        <v>6</v>
      </c>
      <c r="H1015" s="11">
        <v>12</v>
      </c>
      <c r="I1015" s="14">
        <v>0.99629999999999996</v>
      </c>
      <c r="J1015" s="13">
        <v>3.52</v>
      </c>
      <c r="K1015" s="13">
        <v>0.5</v>
      </c>
      <c r="L1015" s="11">
        <v>12.2</v>
      </c>
      <c r="M1015" s="10">
        <v>5</v>
      </c>
    </row>
    <row r="1016" spans="1:13" x14ac:dyDescent="0.3">
      <c r="A1016" s="10">
        <v>1015</v>
      </c>
      <c r="B1016" s="11">
        <v>8.8000000000000007</v>
      </c>
      <c r="C1016" s="12">
        <v>0.95499999999999996</v>
      </c>
      <c r="D1016" s="13">
        <v>0.05</v>
      </c>
      <c r="E1016" s="11">
        <v>1.8</v>
      </c>
      <c r="F1016" s="12">
        <v>7.4999999999999997E-2</v>
      </c>
      <c r="G1016" s="11">
        <v>5</v>
      </c>
      <c r="H1016" s="11">
        <v>19</v>
      </c>
      <c r="I1016" s="14">
        <v>0.99616000000000005</v>
      </c>
      <c r="J1016" s="13">
        <v>3.3</v>
      </c>
      <c r="K1016" s="13">
        <v>0.44</v>
      </c>
      <c r="L1016" s="11">
        <v>9.6</v>
      </c>
      <c r="M1016" s="10">
        <v>4</v>
      </c>
    </row>
    <row r="1017" spans="1:13" x14ac:dyDescent="0.3">
      <c r="A1017" s="10">
        <v>1016</v>
      </c>
      <c r="B1017" s="11">
        <v>9.1</v>
      </c>
      <c r="C1017" s="12">
        <v>0.4</v>
      </c>
      <c r="D1017" s="13">
        <v>0.56999999999999995</v>
      </c>
      <c r="E1017" s="11">
        <v>4.5999999999999996</v>
      </c>
      <c r="F1017" s="12">
        <v>0.08</v>
      </c>
      <c r="G1017" s="11">
        <v>6</v>
      </c>
      <c r="H1017" s="11">
        <v>20</v>
      </c>
      <c r="I1017" s="14">
        <v>0.99651999999999996</v>
      </c>
      <c r="J1017" s="13">
        <v>3.28</v>
      </c>
      <c r="K1017" s="13">
        <v>0.56999999999999995</v>
      </c>
      <c r="L1017" s="11">
        <v>12.5</v>
      </c>
      <c r="M1017" s="10">
        <v>6</v>
      </c>
    </row>
    <row r="1018" spans="1:13" x14ac:dyDescent="0.3">
      <c r="A1018" s="10">
        <v>1017</v>
      </c>
      <c r="B1018" s="11">
        <v>6.5</v>
      </c>
      <c r="C1018" s="12">
        <v>0.88500000000000001</v>
      </c>
      <c r="D1018" s="13">
        <v>0</v>
      </c>
      <c r="E1018" s="11">
        <v>2.2999999999999998</v>
      </c>
      <c r="F1018" s="12">
        <v>0.16600000000000001</v>
      </c>
      <c r="G1018" s="11">
        <v>6</v>
      </c>
      <c r="H1018" s="11">
        <v>12</v>
      </c>
      <c r="I1018" s="14">
        <v>0.99551000000000001</v>
      </c>
      <c r="J1018" s="13">
        <v>3.56</v>
      </c>
      <c r="K1018" s="13">
        <v>0.51</v>
      </c>
      <c r="L1018" s="11">
        <v>10.8</v>
      </c>
      <c r="M1018" s="10">
        <v>5</v>
      </c>
    </row>
    <row r="1019" spans="1:13" x14ac:dyDescent="0.3">
      <c r="A1019" s="10">
        <v>1018</v>
      </c>
      <c r="B1019" s="11">
        <v>7.2</v>
      </c>
      <c r="C1019" s="12">
        <v>0.25</v>
      </c>
      <c r="D1019" s="13">
        <v>0.37</v>
      </c>
      <c r="E1019" s="11">
        <v>2.5</v>
      </c>
      <c r="F1019" s="12">
        <v>6.3E-2</v>
      </c>
      <c r="G1019" s="11">
        <v>11</v>
      </c>
      <c r="H1019" s="11">
        <v>41</v>
      </c>
      <c r="I1019" s="14">
        <v>0.99439</v>
      </c>
      <c r="J1019" s="13">
        <v>3.52</v>
      </c>
      <c r="K1019" s="13">
        <v>0.8</v>
      </c>
      <c r="L1019" s="11">
        <v>12.4</v>
      </c>
      <c r="M1019" s="10">
        <v>7</v>
      </c>
    </row>
    <row r="1020" spans="1:13" x14ac:dyDescent="0.3">
      <c r="A1020" s="10">
        <v>1019</v>
      </c>
      <c r="B1020" s="11">
        <v>6.4</v>
      </c>
      <c r="C1020" s="12">
        <v>0.88500000000000001</v>
      </c>
      <c r="D1020" s="13">
        <v>0</v>
      </c>
      <c r="E1020" s="11">
        <v>2.2999999999999998</v>
      </c>
      <c r="F1020" s="12">
        <v>0.16600000000000001</v>
      </c>
      <c r="G1020" s="11">
        <v>6</v>
      </c>
      <c r="H1020" s="11">
        <v>12</v>
      </c>
      <c r="I1020" s="14">
        <v>0.99551000000000001</v>
      </c>
      <c r="J1020" s="13">
        <v>3.56</v>
      </c>
      <c r="K1020" s="13">
        <v>0.51</v>
      </c>
      <c r="L1020" s="11">
        <v>10.8</v>
      </c>
      <c r="M1020" s="10">
        <v>5</v>
      </c>
    </row>
    <row r="1021" spans="1:13" x14ac:dyDescent="0.3">
      <c r="A1021" s="10">
        <v>1020</v>
      </c>
      <c r="B1021" s="11">
        <v>7</v>
      </c>
      <c r="C1021" s="12">
        <v>0.745</v>
      </c>
      <c r="D1021" s="13">
        <v>0.12</v>
      </c>
      <c r="E1021" s="11">
        <v>1.8</v>
      </c>
      <c r="F1021" s="12">
        <v>0.114</v>
      </c>
      <c r="G1021" s="11">
        <v>15</v>
      </c>
      <c r="H1021" s="11">
        <v>64</v>
      </c>
      <c r="I1021" s="14">
        <v>0.99587999999999999</v>
      </c>
      <c r="J1021" s="13">
        <v>3.22</v>
      </c>
      <c r="K1021" s="13">
        <v>0.59</v>
      </c>
      <c r="L1021" s="11">
        <v>9.5</v>
      </c>
      <c r="M1021" s="10">
        <v>6</v>
      </c>
    </row>
    <row r="1022" spans="1:13" x14ac:dyDescent="0.3">
      <c r="A1022" s="10">
        <v>1021</v>
      </c>
      <c r="B1022" s="11">
        <v>6.2</v>
      </c>
      <c r="C1022" s="12">
        <v>0.43</v>
      </c>
      <c r="D1022" s="13">
        <v>0.22</v>
      </c>
      <c r="E1022" s="11">
        <v>1.8</v>
      </c>
      <c r="F1022" s="12">
        <v>7.8E-2</v>
      </c>
      <c r="G1022" s="11">
        <v>21</v>
      </c>
      <c r="H1022" s="11">
        <v>56</v>
      </c>
      <c r="I1022" s="14">
        <v>0.99633000000000005</v>
      </c>
      <c r="J1022" s="13">
        <v>3.52</v>
      </c>
      <c r="K1022" s="13">
        <v>0.6</v>
      </c>
      <c r="L1022" s="11">
        <v>9.5</v>
      </c>
      <c r="M1022" s="10">
        <v>6</v>
      </c>
    </row>
    <row r="1023" spans="1:13" x14ac:dyDescent="0.3">
      <c r="A1023" s="10">
        <v>1022</v>
      </c>
      <c r="B1023" s="11">
        <v>7.9</v>
      </c>
      <c r="C1023" s="12">
        <v>0.57999999999999996</v>
      </c>
      <c r="D1023" s="13">
        <v>0.23</v>
      </c>
      <c r="E1023" s="11">
        <v>2.2999999999999998</v>
      </c>
      <c r="F1023" s="12">
        <v>7.5999999999999998E-2</v>
      </c>
      <c r="G1023" s="11">
        <v>23</v>
      </c>
      <c r="H1023" s="11">
        <v>94</v>
      </c>
      <c r="I1023" s="14">
        <v>0.99685999999999997</v>
      </c>
      <c r="J1023" s="13">
        <v>3.21</v>
      </c>
      <c r="K1023" s="13">
        <v>0.57999999999999996</v>
      </c>
      <c r="L1023" s="11">
        <v>9.5</v>
      </c>
      <c r="M1023" s="10">
        <v>6</v>
      </c>
    </row>
    <row r="1024" spans="1:13" x14ac:dyDescent="0.3">
      <c r="A1024" s="10">
        <v>1023</v>
      </c>
      <c r="B1024" s="11">
        <v>7.7</v>
      </c>
      <c r="C1024" s="12">
        <v>0.56999999999999995</v>
      </c>
      <c r="D1024" s="13">
        <v>0.21</v>
      </c>
      <c r="E1024" s="11">
        <v>1.5</v>
      </c>
      <c r="F1024" s="12">
        <v>6.9000000000000006E-2</v>
      </c>
      <c r="G1024" s="11">
        <v>4</v>
      </c>
      <c r="H1024" s="11">
        <v>9</v>
      </c>
      <c r="I1024" s="14">
        <v>0.99458000000000002</v>
      </c>
      <c r="J1024" s="13">
        <v>3.16</v>
      </c>
      <c r="K1024" s="13">
        <v>0.54</v>
      </c>
      <c r="L1024" s="11">
        <v>9.8000000000000007</v>
      </c>
      <c r="M1024" s="10">
        <v>6</v>
      </c>
    </row>
    <row r="1025" spans="1:13" x14ac:dyDescent="0.3">
      <c r="A1025" s="10">
        <v>1024</v>
      </c>
      <c r="B1025" s="11">
        <v>7.7</v>
      </c>
      <c r="C1025" s="12">
        <v>0.26</v>
      </c>
      <c r="D1025" s="13">
        <v>0.26</v>
      </c>
      <c r="E1025" s="11">
        <v>2</v>
      </c>
      <c r="F1025" s="12">
        <v>5.1999999999999998E-2</v>
      </c>
      <c r="G1025" s="11">
        <v>19</v>
      </c>
      <c r="H1025" s="11">
        <v>77</v>
      </c>
      <c r="I1025" s="14">
        <v>0.99509999999999998</v>
      </c>
      <c r="J1025" s="13">
        <v>3.15</v>
      </c>
      <c r="K1025" s="13">
        <v>0.79</v>
      </c>
      <c r="L1025" s="11">
        <v>10.9</v>
      </c>
      <c r="M1025" s="10">
        <v>6</v>
      </c>
    </row>
    <row r="1026" spans="1:13" x14ac:dyDescent="0.3">
      <c r="A1026" s="10">
        <v>1025</v>
      </c>
      <c r="B1026" s="11">
        <v>7.9</v>
      </c>
      <c r="C1026" s="12">
        <v>0.34</v>
      </c>
      <c r="D1026" s="13">
        <v>0.36</v>
      </c>
      <c r="E1026" s="11">
        <v>1.9</v>
      </c>
      <c r="F1026" s="12">
        <v>6.5000000000000002E-2</v>
      </c>
      <c r="G1026" s="11">
        <v>5</v>
      </c>
      <c r="H1026" s="11">
        <v>10</v>
      </c>
      <c r="I1026" s="14">
        <v>0.99419000000000002</v>
      </c>
      <c r="J1026" s="13">
        <v>3.27</v>
      </c>
      <c r="K1026" s="13">
        <v>0.54</v>
      </c>
      <c r="L1026" s="11">
        <v>11.2</v>
      </c>
      <c r="M1026" s="10">
        <v>7</v>
      </c>
    </row>
    <row r="1027" spans="1:13" x14ac:dyDescent="0.3">
      <c r="A1027" s="10">
        <v>1026</v>
      </c>
      <c r="B1027" s="11">
        <v>8.6</v>
      </c>
      <c r="C1027" s="12">
        <v>0.42</v>
      </c>
      <c r="D1027" s="13">
        <v>0.39</v>
      </c>
      <c r="E1027" s="11">
        <v>1.8</v>
      </c>
      <c r="F1027" s="12">
        <v>6.8000000000000005E-2</v>
      </c>
      <c r="G1027" s="11">
        <v>6</v>
      </c>
      <c r="H1027" s="11">
        <v>12</v>
      </c>
      <c r="I1027" s="14">
        <v>0.99516000000000004</v>
      </c>
      <c r="J1027" s="13">
        <v>3.35</v>
      </c>
      <c r="K1027" s="13">
        <v>0.69</v>
      </c>
      <c r="L1027" s="11">
        <v>11.7</v>
      </c>
      <c r="M1027" s="10">
        <v>8</v>
      </c>
    </row>
    <row r="1028" spans="1:13" x14ac:dyDescent="0.3">
      <c r="A1028" s="10">
        <v>1027</v>
      </c>
      <c r="B1028" s="11">
        <v>9.9</v>
      </c>
      <c r="C1028" s="12">
        <v>0.74</v>
      </c>
      <c r="D1028" s="13">
        <v>0.19</v>
      </c>
      <c r="E1028" s="11">
        <v>5.8</v>
      </c>
      <c r="F1028" s="12">
        <v>0.111</v>
      </c>
      <c r="G1028" s="11">
        <v>33</v>
      </c>
      <c r="H1028" s="11">
        <v>76</v>
      </c>
      <c r="I1028" s="14">
        <v>0.99878</v>
      </c>
      <c r="J1028" s="13">
        <v>3.14</v>
      </c>
      <c r="K1028" s="13">
        <v>0.55000000000000004</v>
      </c>
      <c r="L1028" s="11">
        <v>9.4</v>
      </c>
      <c r="M1028" s="10">
        <v>5</v>
      </c>
    </row>
    <row r="1029" spans="1:13" x14ac:dyDescent="0.3">
      <c r="A1029" s="10">
        <v>1028</v>
      </c>
      <c r="B1029" s="11">
        <v>7.2</v>
      </c>
      <c r="C1029" s="12">
        <v>0.36</v>
      </c>
      <c r="D1029" s="13">
        <v>0.46</v>
      </c>
      <c r="E1029" s="11">
        <v>2.1</v>
      </c>
      <c r="F1029" s="12">
        <v>7.3999999999999996E-2</v>
      </c>
      <c r="G1029" s="11">
        <v>24</v>
      </c>
      <c r="H1029" s="11">
        <v>44</v>
      </c>
      <c r="I1029" s="14">
        <v>0.99534</v>
      </c>
      <c r="J1029" s="13">
        <v>3.4</v>
      </c>
      <c r="K1029" s="13">
        <v>0.85</v>
      </c>
      <c r="L1029" s="11">
        <v>11</v>
      </c>
      <c r="M1029" s="10">
        <v>7</v>
      </c>
    </row>
    <row r="1030" spans="1:13" x14ac:dyDescent="0.3">
      <c r="A1030" s="10">
        <v>1029</v>
      </c>
      <c r="B1030" s="11">
        <v>9.9</v>
      </c>
      <c r="C1030" s="12">
        <v>0.72</v>
      </c>
      <c r="D1030" s="13">
        <v>0.55000000000000004</v>
      </c>
      <c r="E1030" s="11">
        <v>1.7</v>
      </c>
      <c r="F1030" s="12">
        <v>0.13600000000000001</v>
      </c>
      <c r="G1030" s="11">
        <v>24</v>
      </c>
      <c r="H1030" s="11">
        <v>52</v>
      </c>
      <c r="I1030" s="14">
        <v>0.99751999999999996</v>
      </c>
      <c r="J1030" s="13">
        <v>3.35</v>
      </c>
      <c r="K1030" s="13">
        <v>0.94</v>
      </c>
      <c r="L1030" s="11">
        <v>10</v>
      </c>
      <c r="M1030" s="10">
        <v>5</v>
      </c>
    </row>
    <row r="1031" spans="1:13" x14ac:dyDescent="0.3">
      <c r="A1031" s="10">
        <v>1030</v>
      </c>
      <c r="B1031" s="11">
        <v>6.2</v>
      </c>
      <c r="C1031" s="12">
        <v>0.39</v>
      </c>
      <c r="D1031" s="13">
        <v>0.43</v>
      </c>
      <c r="E1031" s="11">
        <v>2</v>
      </c>
      <c r="F1031" s="12">
        <v>7.0999999999999994E-2</v>
      </c>
      <c r="G1031" s="11">
        <v>14</v>
      </c>
      <c r="H1031" s="11">
        <v>24</v>
      </c>
      <c r="I1031" s="14">
        <v>0.99428000000000005</v>
      </c>
      <c r="J1031" s="13">
        <v>3.45</v>
      </c>
      <c r="K1031" s="13">
        <v>0.87</v>
      </c>
      <c r="L1031" s="11">
        <v>11.2</v>
      </c>
      <c r="M1031" s="10">
        <v>7</v>
      </c>
    </row>
    <row r="1032" spans="1:13" x14ac:dyDescent="0.3">
      <c r="A1032" s="10">
        <v>1031</v>
      </c>
      <c r="B1032" s="11">
        <v>6.8</v>
      </c>
      <c r="C1032" s="12">
        <v>0.65</v>
      </c>
      <c r="D1032" s="13">
        <v>0.02</v>
      </c>
      <c r="E1032" s="11">
        <v>2.1</v>
      </c>
      <c r="F1032" s="12">
        <v>7.8E-2</v>
      </c>
      <c r="G1032" s="11">
        <v>8</v>
      </c>
      <c r="H1032" s="11">
        <v>15</v>
      </c>
      <c r="I1032" s="14">
        <v>0.99497999999999998</v>
      </c>
      <c r="J1032" s="13">
        <v>3.35</v>
      </c>
      <c r="K1032" s="13">
        <v>0.62</v>
      </c>
      <c r="L1032" s="11">
        <v>10.4</v>
      </c>
      <c r="M1032" s="10">
        <v>6</v>
      </c>
    </row>
    <row r="1033" spans="1:13" x14ac:dyDescent="0.3">
      <c r="A1033" s="10">
        <v>1032</v>
      </c>
      <c r="B1033" s="11">
        <v>6.6</v>
      </c>
      <c r="C1033" s="12">
        <v>0.44</v>
      </c>
      <c r="D1033" s="13">
        <v>0.15</v>
      </c>
      <c r="E1033" s="11">
        <v>2.1</v>
      </c>
      <c r="F1033" s="12">
        <v>7.5999999999999998E-2</v>
      </c>
      <c r="G1033" s="11">
        <v>22</v>
      </c>
      <c r="H1033" s="11">
        <v>53</v>
      </c>
      <c r="I1033" s="14">
        <v>0.99570000000000003</v>
      </c>
      <c r="J1033" s="13">
        <v>3.32</v>
      </c>
      <c r="K1033" s="13">
        <v>0.62</v>
      </c>
      <c r="L1033" s="11">
        <v>9.3000000000000007</v>
      </c>
      <c r="M1033" s="10">
        <v>5</v>
      </c>
    </row>
    <row r="1034" spans="1:13" x14ac:dyDescent="0.3">
      <c r="A1034" s="10">
        <v>1033</v>
      </c>
      <c r="B1034" s="11">
        <v>9.6</v>
      </c>
      <c r="C1034" s="12">
        <v>0.38</v>
      </c>
      <c r="D1034" s="13">
        <v>0.42</v>
      </c>
      <c r="E1034" s="11">
        <v>1.9</v>
      </c>
      <c r="F1034" s="12">
        <v>7.0999999999999994E-2</v>
      </c>
      <c r="G1034" s="11">
        <v>5</v>
      </c>
      <c r="H1034" s="11">
        <v>13</v>
      </c>
      <c r="I1034" s="14">
        <v>0.99658999999999998</v>
      </c>
      <c r="J1034" s="13">
        <v>3.15</v>
      </c>
      <c r="K1034" s="13">
        <v>0.75</v>
      </c>
      <c r="L1034" s="11">
        <v>10.5</v>
      </c>
      <c r="M1034" s="10">
        <v>6</v>
      </c>
    </row>
    <row r="1035" spans="1:13" x14ac:dyDescent="0.3">
      <c r="A1035" s="10">
        <v>1034</v>
      </c>
      <c r="B1035" s="11">
        <v>10.199999999999999</v>
      </c>
      <c r="C1035" s="12">
        <v>0.33</v>
      </c>
      <c r="D1035" s="13">
        <v>0.46</v>
      </c>
      <c r="E1035" s="11">
        <v>1.9</v>
      </c>
      <c r="F1035" s="12">
        <v>8.1000000000000003E-2</v>
      </c>
      <c r="G1035" s="11">
        <v>6</v>
      </c>
      <c r="H1035" s="11">
        <v>9</v>
      </c>
      <c r="I1035" s="14">
        <v>0.99628000000000005</v>
      </c>
      <c r="J1035" s="13">
        <v>3.1</v>
      </c>
      <c r="K1035" s="13">
        <v>0.48</v>
      </c>
      <c r="L1035" s="11">
        <v>10.4</v>
      </c>
      <c r="M1035" s="10">
        <v>6</v>
      </c>
    </row>
    <row r="1036" spans="1:13" x14ac:dyDescent="0.3">
      <c r="A1036" s="10">
        <v>1035</v>
      </c>
      <c r="B1036" s="11">
        <v>8.8000000000000007</v>
      </c>
      <c r="C1036" s="12">
        <v>0.27</v>
      </c>
      <c r="D1036" s="13">
        <v>0.46</v>
      </c>
      <c r="E1036" s="11">
        <v>2.1</v>
      </c>
      <c r="F1036" s="12">
        <v>9.5000000000000001E-2</v>
      </c>
      <c r="G1036" s="11">
        <v>20</v>
      </c>
      <c r="H1036" s="11">
        <v>29</v>
      </c>
      <c r="I1036" s="14">
        <v>0.99487999999999999</v>
      </c>
      <c r="J1036" s="13">
        <v>3.26</v>
      </c>
      <c r="K1036" s="13">
        <v>0.56000000000000005</v>
      </c>
      <c r="L1036" s="11">
        <v>11.3</v>
      </c>
      <c r="M1036" s="10">
        <v>6</v>
      </c>
    </row>
    <row r="1037" spans="1:13" x14ac:dyDescent="0.3">
      <c r="A1037" s="10">
        <v>1036</v>
      </c>
      <c r="B1037" s="11">
        <v>7.9</v>
      </c>
      <c r="C1037" s="12">
        <v>0.56999999999999995</v>
      </c>
      <c r="D1037" s="13">
        <v>0.31</v>
      </c>
      <c r="E1037" s="11">
        <v>2</v>
      </c>
      <c r="F1037" s="12">
        <v>7.9000000000000001E-2</v>
      </c>
      <c r="G1037" s="11">
        <v>10</v>
      </c>
      <c r="H1037" s="11">
        <v>79</v>
      </c>
      <c r="I1037" s="14">
        <v>0.99677000000000004</v>
      </c>
      <c r="J1037" s="13">
        <v>3.29</v>
      </c>
      <c r="K1037" s="13">
        <v>0.69</v>
      </c>
      <c r="L1037" s="11">
        <v>9.5</v>
      </c>
      <c r="M1037" s="10">
        <v>6</v>
      </c>
    </row>
    <row r="1038" spans="1:13" x14ac:dyDescent="0.3">
      <c r="A1038" s="10">
        <v>1037</v>
      </c>
      <c r="B1038" s="11">
        <v>8.1999999999999993</v>
      </c>
      <c r="C1038" s="12">
        <v>0.34</v>
      </c>
      <c r="D1038" s="13">
        <v>0.37</v>
      </c>
      <c r="E1038" s="11">
        <v>1.9</v>
      </c>
      <c r="F1038" s="12">
        <v>5.7000000000000002E-2</v>
      </c>
      <c r="G1038" s="11">
        <v>43</v>
      </c>
      <c r="H1038" s="11">
        <v>74</v>
      </c>
      <c r="I1038" s="14">
        <v>0.99407999999999996</v>
      </c>
      <c r="J1038" s="13">
        <v>3.23</v>
      </c>
      <c r="K1038" s="13">
        <v>0.81</v>
      </c>
      <c r="L1038" s="11">
        <v>12</v>
      </c>
      <c r="M1038" s="10">
        <v>6</v>
      </c>
    </row>
    <row r="1039" spans="1:13" x14ac:dyDescent="0.3">
      <c r="A1039" s="10">
        <v>1038</v>
      </c>
      <c r="B1039" s="11">
        <v>8.1999999999999993</v>
      </c>
      <c r="C1039" s="12">
        <v>0.4</v>
      </c>
      <c r="D1039" s="13">
        <v>0.31</v>
      </c>
      <c r="E1039" s="11">
        <v>1.9</v>
      </c>
      <c r="F1039" s="12">
        <v>8.2000000000000003E-2</v>
      </c>
      <c r="G1039" s="11">
        <v>8</v>
      </c>
      <c r="H1039" s="11">
        <v>24</v>
      </c>
      <c r="I1039" s="14">
        <v>0.996</v>
      </c>
      <c r="J1039" s="13">
        <v>3.24</v>
      </c>
      <c r="K1039" s="13">
        <v>0.69</v>
      </c>
      <c r="L1039" s="11">
        <v>10.6</v>
      </c>
      <c r="M1039" s="10">
        <v>6</v>
      </c>
    </row>
    <row r="1040" spans="1:13" x14ac:dyDescent="0.3">
      <c r="A1040" s="10">
        <v>1039</v>
      </c>
      <c r="B1040" s="11">
        <v>9</v>
      </c>
      <c r="C1040" s="12">
        <v>0.39</v>
      </c>
      <c r="D1040" s="13">
        <v>0.4</v>
      </c>
      <c r="E1040" s="11">
        <v>1.3</v>
      </c>
      <c r="F1040" s="12">
        <v>4.3999999999999997E-2</v>
      </c>
      <c r="G1040" s="11">
        <v>25</v>
      </c>
      <c r="H1040" s="11">
        <v>50</v>
      </c>
      <c r="I1040" s="14">
        <v>0.99478</v>
      </c>
      <c r="J1040" s="13">
        <v>3.2</v>
      </c>
      <c r="K1040" s="13">
        <v>0.83</v>
      </c>
      <c r="L1040" s="11">
        <v>10.9</v>
      </c>
      <c r="M1040" s="10">
        <v>6</v>
      </c>
    </row>
    <row r="1041" spans="1:13" x14ac:dyDescent="0.3">
      <c r="A1041" s="10">
        <v>1040</v>
      </c>
      <c r="B1041" s="11">
        <v>10.9</v>
      </c>
      <c r="C1041" s="12">
        <v>0.32</v>
      </c>
      <c r="D1041" s="13">
        <v>0.52</v>
      </c>
      <c r="E1041" s="11">
        <v>1.8</v>
      </c>
      <c r="F1041" s="12">
        <v>0.13200000000000001</v>
      </c>
      <c r="G1041" s="11">
        <v>17</v>
      </c>
      <c r="H1041" s="11">
        <v>44</v>
      </c>
      <c r="I1041" s="14">
        <v>0.99734</v>
      </c>
      <c r="J1041" s="13">
        <v>3.28</v>
      </c>
      <c r="K1041" s="13">
        <v>0.77</v>
      </c>
      <c r="L1041" s="11">
        <v>11.5</v>
      </c>
      <c r="M1041" s="10">
        <v>6</v>
      </c>
    </row>
    <row r="1042" spans="1:13" x14ac:dyDescent="0.3">
      <c r="A1042" s="10">
        <v>1041</v>
      </c>
      <c r="B1042" s="11">
        <v>8.1</v>
      </c>
      <c r="C1042" s="12">
        <v>0.53</v>
      </c>
      <c r="D1042" s="13">
        <v>0.22</v>
      </c>
      <c r="E1042" s="11">
        <v>2.2000000000000002</v>
      </c>
      <c r="F1042" s="12">
        <v>7.8E-2</v>
      </c>
      <c r="G1042" s="11">
        <v>33</v>
      </c>
      <c r="H1042" s="11">
        <v>89</v>
      </c>
      <c r="I1042" s="14">
        <v>0.99678</v>
      </c>
      <c r="J1042" s="13">
        <v>3.26</v>
      </c>
      <c r="K1042" s="13">
        <v>0.46</v>
      </c>
      <c r="L1042" s="11">
        <v>9.6</v>
      </c>
      <c r="M1042" s="10">
        <v>6</v>
      </c>
    </row>
    <row r="1043" spans="1:13" x14ac:dyDescent="0.3">
      <c r="A1043" s="10">
        <v>1042</v>
      </c>
      <c r="B1043" s="11">
        <v>10.5</v>
      </c>
      <c r="C1043" s="12">
        <v>0.36</v>
      </c>
      <c r="D1043" s="13">
        <v>0.47</v>
      </c>
      <c r="E1043" s="11">
        <v>2.2000000000000002</v>
      </c>
      <c r="F1043" s="12">
        <v>7.3999999999999996E-2</v>
      </c>
      <c r="G1043" s="11">
        <v>9</v>
      </c>
      <c r="H1043" s="11">
        <v>23</v>
      </c>
      <c r="I1043" s="14">
        <v>0.99638000000000004</v>
      </c>
      <c r="J1043" s="13">
        <v>3.23</v>
      </c>
      <c r="K1043" s="13">
        <v>0.76</v>
      </c>
      <c r="L1043" s="11">
        <v>12</v>
      </c>
      <c r="M1043" s="10">
        <v>6</v>
      </c>
    </row>
    <row r="1044" spans="1:13" x14ac:dyDescent="0.3">
      <c r="A1044" s="10">
        <v>1043</v>
      </c>
      <c r="B1044" s="11">
        <v>12.6</v>
      </c>
      <c r="C1044" s="12">
        <v>0.39</v>
      </c>
      <c r="D1044" s="13">
        <v>0.49</v>
      </c>
      <c r="E1044" s="11">
        <v>2.5</v>
      </c>
      <c r="F1044" s="12">
        <v>0.08</v>
      </c>
      <c r="G1044" s="11">
        <v>8</v>
      </c>
      <c r="H1044" s="11">
        <v>20</v>
      </c>
      <c r="I1044" s="14">
        <v>0.99919999999999998</v>
      </c>
      <c r="J1044" s="13">
        <v>3.07</v>
      </c>
      <c r="K1044" s="13">
        <v>0.82</v>
      </c>
      <c r="L1044" s="11">
        <v>10.3</v>
      </c>
      <c r="M1044" s="10">
        <v>6</v>
      </c>
    </row>
    <row r="1045" spans="1:13" x14ac:dyDescent="0.3">
      <c r="A1045" s="10">
        <v>1044</v>
      </c>
      <c r="B1045" s="11">
        <v>9.1999999999999993</v>
      </c>
      <c r="C1045" s="12">
        <v>0.46</v>
      </c>
      <c r="D1045" s="13">
        <v>0.23</v>
      </c>
      <c r="E1045" s="11">
        <v>2.6</v>
      </c>
      <c r="F1045" s="12">
        <v>9.0999999999999998E-2</v>
      </c>
      <c r="G1045" s="11">
        <v>18</v>
      </c>
      <c r="H1045" s="11">
        <v>77</v>
      </c>
      <c r="I1045" s="14">
        <v>0.99922</v>
      </c>
      <c r="J1045" s="13">
        <v>3.15</v>
      </c>
      <c r="K1045" s="13">
        <v>0.51</v>
      </c>
      <c r="L1045" s="11">
        <v>9.4</v>
      </c>
      <c r="M1045" s="10">
        <v>5</v>
      </c>
    </row>
    <row r="1046" spans="1:13" x14ac:dyDescent="0.3">
      <c r="A1046" s="10">
        <v>1045</v>
      </c>
      <c r="B1046" s="11">
        <v>7.5</v>
      </c>
      <c r="C1046" s="12">
        <v>0.57999999999999996</v>
      </c>
      <c r="D1046" s="13">
        <v>0.03</v>
      </c>
      <c r="E1046" s="11">
        <v>4.0999999999999996</v>
      </c>
      <c r="F1046" s="12">
        <v>0.08</v>
      </c>
      <c r="G1046" s="11">
        <v>27</v>
      </c>
      <c r="H1046" s="11">
        <v>46</v>
      </c>
      <c r="I1046" s="14">
        <v>0.99592000000000003</v>
      </c>
      <c r="J1046" s="13">
        <v>3.02</v>
      </c>
      <c r="K1046" s="13">
        <v>0.47</v>
      </c>
      <c r="L1046" s="11">
        <v>9.1999999999999993</v>
      </c>
      <c r="M1046" s="10">
        <v>5</v>
      </c>
    </row>
    <row r="1047" spans="1:13" x14ac:dyDescent="0.3">
      <c r="A1047" s="10">
        <v>1046</v>
      </c>
      <c r="B1047" s="11">
        <v>9</v>
      </c>
      <c r="C1047" s="12">
        <v>0.57999999999999996</v>
      </c>
      <c r="D1047" s="13">
        <v>0.25</v>
      </c>
      <c r="E1047" s="11">
        <v>2</v>
      </c>
      <c r="F1047" s="12">
        <v>0.104</v>
      </c>
      <c r="G1047" s="11">
        <v>8</v>
      </c>
      <c r="H1047" s="11">
        <v>21</v>
      </c>
      <c r="I1047" s="14">
        <v>0.99768999999999997</v>
      </c>
      <c r="J1047" s="13">
        <v>3.27</v>
      </c>
      <c r="K1047" s="13">
        <v>0.72</v>
      </c>
      <c r="L1047" s="11">
        <v>9.6</v>
      </c>
      <c r="M1047" s="10">
        <v>5</v>
      </c>
    </row>
    <row r="1048" spans="1:13" x14ac:dyDescent="0.3">
      <c r="A1048" s="10">
        <v>1047</v>
      </c>
      <c r="B1048" s="11">
        <v>5.0999999999999996</v>
      </c>
      <c r="C1048" s="12">
        <v>0.42</v>
      </c>
      <c r="D1048" s="13">
        <v>0</v>
      </c>
      <c r="E1048" s="11">
        <v>1.8</v>
      </c>
      <c r="F1048" s="12">
        <v>4.3999999999999997E-2</v>
      </c>
      <c r="G1048" s="11">
        <v>18</v>
      </c>
      <c r="H1048" s="11">
        <v>88</v>
      </c>
      <c r="I1048" s="14">
        <v>0.99156999999999995</v>
      </c>
      <c r="J1048" s="13">
        <v>3.68</v>
      </c>
      <c r="K1048" s="13">
        <v>0.73</v>
      </c>
      <c r="L1048" s="11">
        <v>13.6</v>
      </c>
      <c r="M1048" s="10">
        <v>7</v>
      </c>
    </row>
    <row r="1049" spans="1:13" x14ac:dyDescent="0.3">
      <c r="A1049" s="10">
        <v>1048</v>
      </c>
      <c r="B1049" s="11">
        <v>7.6</v>
      </c>
      <c r="C1049" s="12">
        <v>0.43</v>
      </c>
      <c r="D1049" s="13">
        <v>0.28999999999999998</v>
      </c>
      <c r="E1049" s="11">
        <v>2.1</v>
      </c>
      <c r="F1049" s="12">
        <v>7.4999999999999997E-2</v>
      </c>
      <c r="G1049" s="11">
        <v>19</v>
      </c>
      <c r="H1049" s="11">
        <v>66</v>
      </c>
      <c r="I1049" s="14">
        <v>0.99717999999999996</v>
      </c>
      <c r="J1049" s="13">
        <v>3.4</v>
      </c>
      <c r="K1049" s="13">
        <v>0.64</v>
      </c>
      <c r="L1049" s="11">
        <v>9.5</v>
      </c>
      <c r="M1049" s="10">
        <v>5</v>
      </c>
    </row>
    <row r="1050" spans="1:13" x14ac:dyDescent="0.3">
      <c r="A1050" s="10">
        <v>1049</v>
      </c>
      <c r="B1050" s="11">
        <v>7.7</v>
      </c>
      <c r="C1050" s="12">
        <v>0.18</v>
      </c>
      <c r="D1050" s="13">
        <v>0.34</v>
      </c>
      <c r="E1050" s="11">
        <v>2.7</v>
      </c>
      <c r="F1050" s="12">
        <v>6.6000000000000003E-2</v>
      </c>
      <c r="G1050" s="11">
        <v>15</v>
      </c>
      <c r="H1050" s="11">
        <v>58</v>
      </c>
      <c r="I1050" s="14">
        <v>0.99470000000000003</v>
      </c>
      <c r="J1050" s="13">
        <v>3.37</v>
      </c>
      <c r="K1050" s="13">
        <v>0.78</v>
      </c>
      <c r="L1050" s="11">
        <v>11.8</v>
      </c>
      <c r="M1050" s="10">
        <v>6</v>
      </c>
    </row>
    <row r="1051" spans="1:13" x14ac:dyDescent="0.3">
      <c r="A1051" s="10">
        <v>1050</v>
      </c>
      <c r="B1051" s="11">
        <v>7.8</v>
      </c>
      <c r="C1051" s="12">
        <v>0.81499999999999995</v>
      </c>
      <c r="D1051" s="13">
        <v>0.01</v>
      </c>
      <c r="E1051" s="11">
        <v>2.6</v>
      </c>
      <c r="F1051" s="12">
        <v>7.3999999999999996E-2</v>
      </c>
      <c r="G1051" s="11">
        <v>48</v>
      </c>
      <c r="H1051" s="11">
        <v>90</v>
      </c>
      <c r="I1051" s="14">
        <v>0.99621000000000004</v>
      </c>
      <c r="J1051" s="13">
        <v>3.38</v>
      </c>
      <c r="K1051" s="13">
        <v>0.62</v>
      </c>
      <c r="L1051" s="11">
        <v>10.8</v>
      </c>
      <c r="M1051" s="10">
        <v>5</v>
      </c>
    </row>
    <row r="1052" spans="1:13" x14ac:dyDescent="0.3">
      <c r="A1052" s="10">
        <v>1051</v>
      </c>
      <c r="B1052" s="11">
        <v>10.199999999999999</v>
      </c>
      <c r="C1052" s="12">
        <v>0.23</v>
      </c>
      <c r="D1052" s="13">
        <v>0.37</v>
      </c>
      <c r="E1052" s="11">
        <v>2.2000000000000002</v>
      </c>
      <c r="F1052" s="12">
        <v>5.7000000000000002E-2</v>
      </c>
      <c r="G1052" s="11">
        <v>14</v>
      </c>
      <c r="H1052" s="11">
        <v>36</v>
      </c>
      <c r="I1052" s="14">
        <v>0.99614000000000003</v>
      </c>
      <c r="J1052" s="13">
        <v>3.23</v>
      </c>
      <c r="K1052" s="13">
        <v>0.49</v>
      </c>
      <c r="L1052" s="11">
        <v>9.3000000000000007</v>
      </c>
      <c r="M1052" s="10">
        <v>4</v>
      </c>
    </row>
    <row r="1053" spans="1:13" x14ac:dyDescent="0.3">
      <c r="A1053" s="10">
        <v>1052</v>
      </c>
      <c r="B1053" s="11">
        <v>7.1</v>
      </c>
      <c r="C1053" s="12">
        <v>0.75</v>
      </c>
      <c r="D1053" s="13">
        <v>0.01</v>
      </c>
      <c r="E1053" s="11">
        <v>2.2000000000000002</v>
      </c>
      <c r="F1053" s="12">
        <v>5.8999999999999997E-2</v>
      </c>
      <c r="G1053" s="11">
        <v>11</v>
      </c>
      <c r="H1053" s="11">
        <v>18</v>
      </c>
      <c r="I1053" s="14">
        <v>0.99241999999999997</v>
      </c>
      <c r="J1053" s="13">
        <v>3.39</v>
      </c>
      <c r="K1053" s="13">
        <v>0.4</v>
      </c>
      <c r="L1053" s="11">
        <v>12.8</v>
      </c>
      <c r="M1053" s="10">
        <v>6</v>
      </c>
    </row>
    <row r="1054" spans="1:13" x14ac:dyDescent="0.3">
      <c r="A1054" s="10">
        <v>1053</v>
      </c>
      <c r="B1054" s="11">
        <v>6</v>
      </c>
      <c r="C1054" s="12">
        <v>0.33</v>
      </c>
      <c r="D1054" s="13">
        <v>0.32</v>
      </c>
      <c r="E1054" s="11">
        <v>12.9</v>
      </c>
      <c r="F1054" s="12">
        <v>5.3999999999999999E-2</v>
      </c>
      <c r="G1054" s="11">
        <v>6</v>
      </c>
      <c r="H1054" s="11">
        <v>113</v>
      </c>
      <c r="I1054" s="14">
        <v>0.99572000000000005</v>
      </c>
      <c r="J1054" s="13">
        <v>3.3</v>
      </c>
      <c r="K1054" s="13">
        <v>0.56000000000000005</v>
      </c>
      <c r="L1054" s="11">
        <v>11.5</v>
      </c>
      <c r="M1054" s="10">
        <v>4</v>
      </c>
    </row>
    <row r="1055" spans="1:13" x14ac:dyDescent="0.3">
      <c r="A1055" s="10">
        <v>1054</v>
      </c>
      <c r="B1055" s="11">
        <v>7.8</v>
      </c>
      <c r="C1055" s="12">
        <v>0.55000000000000004</v>
      </c>
      <c r="D1055" s="13">
        <v>0</v>
      </c>
      <c r="E1055" s="11">
        <v>1.7</v>
      </c>
      <c r="F1055" s="12">
        <v>7.0000000000000007E-2</v>
      </c>
      <c r="G1055" s="11">
        <v>7</v>
      </c>
      <c r="H1055" s="11">
        <v>17</v>
      </c>
      <c r="I1055" s="14">
        <v>0.99658999999999998</v>
      </c>
      <c r="J1055" s="13">
        <v>3.26</v>
      </c>
      <c r="K1055" s="13">
        <v>0.64</v>
      </c>
      <c r="L1055" s="11">
        <v>9.4</v>
      </c>
      <c r="M1055" s="10">
        <v>6</v>
      </c>
    </row>
    <row r="1056" spans="1:13" x14ac:dyDescent="0.3">
      <c r="A1056" s="10">
        <v>1055</v>
      </c>
      <c r="B1056" s="11">
        <v>8.1</v>
      </c>
      <c r="C1056" s="12">
        <v>0.73</v>
      </c>
      <c r="D1056" s="13">
        <v>0</v>
      </c>
      <c r="E1056" s="11">
        <v>2.5</v>
      </c>
      <c r="F1056" s="12">
        <v>8.1000000000000003E-2</v>
      </c>
      <c r="G1056" s="11">
        <v>12</v>
      </c>
      <c r="H1056" s="11">
        <v>24</v>
      </c>
      <c r="I1056" s="14">
        <v>0.99797999999999998</v>
      </c>
      <c r="J1056" s="13">
        <v>3.38</v>
      </c>
      <c r="K1056" s="13">
        <v>0.46</v>
      </c>
      <c r="L1056" s="11">
        <v>9.6</v>
      </c>
      <c r="M1056" s="10">
        <v>4</v>
      </c>
    </row>
    <row r="1057" spans="1:13" x14ac:dyDescent="0.3">
      <c r="A1057" s="10">
        <v>1056</v>
      </c>
      <c r="B1057" s="11">
        <v>6.5</v>
      </c>
      <c r="C1057" s="12">
        <v>0.67</v>
      </c>
      <c r="D1057" s="13">
        <v>0</v>
      </c>
      <c r="E1057" s="11">
        <v>4.3</v>
      </c>
      <c r="F1057" s="12">
        <v>5.7000000000000002E-2</v>
      </c>
      <c r="G1057" s="11">
        <v>11</v>
      </c>
      <c r="H1057" s="11">
        <v>20</v>
      </c>
      <c r="I1057" s="14">
        <v>0.99487999999999999</v>
      </c>
      <c r="J1057" s="13">
        <v>3.45</v>
      </c>
      <c r="K1057" s="13">
        <v>0.56000000000000005</v>
      </c>
      <c r="L1057" s="11">
        <v>11.8</v>
      </c>
      <c r="M1057" s="10">
        <v>4</v>
      </c>
    </row>
    <row r="1058" spans="1:13" x14ac:dyDescent="0.3">
      <c r="A1058" s="10">
        <v>1057</v>
      </c>
      <c r="B1058" s="11">
        <v>7.5</v>
      </c>
      <c r="C1058" s="12">
        <v>0.61</v>
      </c>
      <c r="D1058" s="13">
        <v>0.2</v>
      </c>
      <c r="E1058" s="11">
        <v>1.7</v>
      </c>
      <c r="F1058" s="12">
        <v>7.5999999999999998E-2</v>
      </c>
      <c r="G1058" s="11">
        <v>36</v>
      </c>
      <c r="H1058" s="11">
        <v>60</v>
      </c>
      <c r="I1058" s="14">
        <v>0.99494000000000005</v>
      </c>
      <c r="J1058" s="13">
        <v>3.1</v>
      </c>
      <c r="K1058" s="13">
        <v>0.4</v>
      </c>
      <c r="L1058" s="11">
        <v>9.3000000000000007</v>
      </c>
      <c r="M1058" s="10">
        <v>5</v>
      </c>
    </row>
    <row r="1059" spans="1:13" x14ac:dyDescent="0.3">
      <c r="A1059" s="10">
        <v>1058</v>
      </c>
      <c r="B1059" s="11">
        <v>9.8000000000000007</v>
      </c>
      <c r="C1059" s="12">
        <v>0.37</v>
      </c>
      <c r="D1059" s="13">
        <v>0.39</v>
      </c>
      <c r="E1059" s="11">
        <v>2.5</v>
      </c>
      <c r="F1059" s="12">
        <v>7.9000000000000001E-2</v>
      </c>
      <c r="G1059" s="11">
        <v>28</v>
      </c>
      <c r="H1059" s="11">
        <v>65</v>
      </c>
      <c r="I1059" s="14">
        <v>0.99729000000000001</v>
      </c>
      <c r="J1059" s="13">
        <v>3.16</v>
      </c>
      <c r="K1059" s="13">
        <v>0.59</v>
      </c>
      <c r="L1059" s="11">
        <v>9.8000000000000007</v>
      </c>
      <c r="M1059" s="10">
        <v>5</v>
      </c>
    </row>
    <row r="1060" spans="1:13" x14ac:dyDescent="0.3">
      <c r="A1060" s="10">
        <v>1059</v>
      </c>
      <c r="B1060" s="11">
        <v>9</v>
      </c>
      <c r="C1060" s="12">
        <v>0.4</v>
      </c>
      <c r="D1060" s="13">
        <v>0.41</v>
      </c>
      <c r="E1060" s="11">
        <v>2</v>
      </c>
      <c r="F1060" s="12">
        <v>5.8000000000000003E-2</v>
      </c>
      <c r="G1060" s="11">
        <v>15</v>
      </c>
      <c r="H1060" s="11">
        <v>40</v>
      </c>
      <c r="I1060" s="14">
        <v>0.99414000000000002</v>
      </c>
      <c r="J1060" s="13">
        <v>3.22</v>
      </c>
      <c r="K1060" s="13">
        <v>0.6</v>
      </c>
      <c r="L1060" s="11">
        <v>12.2</v>
      </c>
      <c r="M1060" s="10">
        <v>6</v>
      </c>
    </row>
    <row r="1061" spans="1:13" x14ac:dyDescent="0.3">
      <c r="A1061" s="10">
        <v>1060</v>
      </c>
      <c r="B1061" s="11">
        <v>8.3000000000000007</v>
      </c>
      <c r="C1061" s="12">
        <v>0.56000000000000005</v>
      </c>
      <c r="D1061" s="13">
        <v>0.22</v>
      </c>
      <c r="E1061" s="11">
        <v>2.4</v>
      </c>
      <c r="F1061" s="12">
        <v>8.2000000000000003E-2</v>
      </c>
      <c r="G1061" s="11">
        <v>10</v>
      </c>
      <c r="H1061" s="11">
        <v>86</v>
      </c>
      <c r="I1061" s="14">
        <v>0.99829999999999997</v>
      </c>
      <c r="J1061" s="13">
        <v>3.37</v>
      </c>
      <c r="K1061" s="13">
        <v>0.62</v>
      </c>
      <c r="L1061" s="11">
        <v>9.5</v>
      </c>
      <c r="M1061" s="10">
        <v>5</v>
      </c>
    </row>
    <row r="1062" spans="1:13" x14ac:dyDescent="0.3">
      <c r="A1062" s="10">
        <v>1061</v>
      </c>
      <c r="B1062" s="11">
        <v>5.9</v>
      </c>
      <c r="C1062" s="12">
        <v>0.28999999999999998</v>
      </c>
      <c r="D1062" s="13">
        <v>0.25</v>
      </c>
      <c r="E1062" s="11">
        <v>13.4</v>
      </c>
      <c r="F1062" s="12">
        <v>6.7000000000000004E-2</v>
      </c>
      <c r="G1062" s="11">
        <v>72</v>
      </c>
      <c r="H1062" s="11">
        <v>160</v>
      </c>
      <c r="I1062" s="14">
        <v>0.99721000000000004</v>
      </c>
      <c r="J1062" s="13">
        <v>3.33</v>
      </c>
      <c r="K1062" s="13">
        <v>0.54</v>
      </c>
      <c r="L1062" s="11">
        <v>10.3</v>
      </c>
      <c r="M1062" s="10">
        <v>6</v>
      </c>
    </row>
    <row r="1063" spans="1:13" x14ac:dyDescent="0.3">
      <c r="A1063" s="10">
        <v>1062</v>
      </c>
      <c r="B1063" s="11">
        <v>7.4</v>
      </c>
      <c r="C1063" s="12">
        <v>0.55000000000000004</v>
      </c>
      <c r="D1063" s="13">
        <v>0.19</v>
      </c>
      <c r="E1063" s="11">
        <v>1.8</v>
      </c>
      <c r="F1063" s="12">
        <v>8.2000000000000003E-2</v>
      </c>
      <c r="G1063" s="11">
        <v>15</v>
      </c>
      <c r="H1063" s="11">
        <v>34</v>
      </c>
      <c r="I1063" s="14">
        <v>0.99655000000000005</v>
      </c>
      <c r="J1063" s="13">
        <v>3.49</v>
      </c>
      <c r="K1063" s="13">
        <v>0.68</v>
      </c>
      <c r="L1063" s="11">
        <v>10.5</v>
      </c>
      <c r="M1063" s="10">
        <v>5</v>
      </c>
    </row>
    <row r="1064" spans="1:13" x14ac:dyDescent="0.3">
      <c r="A1064" s="10">
        <v>1063</v>
      </c>
      <c r="B1064" s="11">
        <v>7.4</v>
      </c>
      <c r="C1064" s="12">
        <v>0.74</v>
      </c>
      <c r="D1064" s="13">
        <v>7.0000000000000007E-2</v>
      </c>
      <c r="E1064" s="11">
        <v>1.7</v>
      </c>
      <c r="F1064" s="12">
        <v>8.5999999999999993E-2</v>
      </c>
      <c r="G1064" s="11">
        <v>15</v>
      </c>
      <c r="H1064" s="11">
        <v>48</v>
      </c>
      <c r="I1064" s="14">
        <v>0.99502000000000002</v>
      </c>
      <c r="J1064" s="13">
        <v>3.12</v>
      </c>
      <c r="K1064" s="13">
        <v>0.48</v>
      </c>
      <c r="L1064" s="11">
        <v>10</v>
      </c>
      <c r="M1064" s="10">
        <v>5</v>
      </c>
    </row>
    <row r="1065" spans="1:13" x14ac:dyDescent="0.3">
      <c r="A1065" s="10">
        <v>1064</v>
      </c>
      <c r="B1065" s="11">
        <v>6.9</v>
      </c>
      <c r="C1065" s="12">
        <v>0.41</v>
      </c>
      <c r="D1065" s="13">
        <v>0.33</v>
      </c>
      <c r="E1065" s="11">
        <v>2.2000000000000002</v>
      </c>
      <c r="F1065" s="12">
        <v>8.1000000000000003E-2</v>
      </c>
      <c r="G1065" s="11">
        <v>22</v>
      </c>
      <c r="H1065" s="11">
        <v>36</v>
      </c>
      <c r="I1065" s="14">
        <v>0.99490000000000001</v>
      </c>
      <c r="J1065" s="13">
        <v>3.41</v>
      </c>
      <c r="K1065" s="13">
        <v>0.75</v>
      </c>
      <c r="L1065" s="11">
        <v>11.1</v>
      </c>
      <c r="M1065" s="10">
        <v>6</v>
      </c>
    </row>
    <row r="1066" spans="1:13" x14ac:dyDescent="0.3">
      <c r="A1066" s="10">
        <v>1065</v>
      </c>
      <c r="B1066" s="11">
        <v>7.1</v>
      </c>
      <c r="C1066" s="12">
        <v>0.6</v>
      </c>
      <c r="D1066" s="13">
        <v>0.01</v>
      </c>
      <c r="E1066" s="11">
        <v>2.2999999999999998</v>
      </c>
      <c r="F1066" s="12">
        <v>7.9000000000000001E-2</v>
      </c>
      <c r="G1066" s="11">
        <v>24</v>
      </c>
      <c r="H1066" s="11">
        <v>37</v>
      </c>
      <c r="I1066" s="14">
        <v>0.99514000000000002</v>
      </c>
      <c r="J1066" s="13">
        <v>3.4</v>
      </c>
      <c r="K1066" s="13">
        <v>0.61</v>
      </c>
      <c r="L1066" s="11">
        <v>10.9</v>
      </c>
      <c r="M1066" s="10">
        <v>6</v>
      </c>
    </row>
    <row r="1067" spans="1:13" x14ac:dyDescent="0.3">
      <c r="A1067" s="10">
        <v>1066</v>
      </c>
      <c r="B1067" s="11">
        <v>7.5</v>
      </c>
      <c r="C1067" s="12">
        <v>0.57999999999999996</v>
      </c>
      <c r="D1067" s="13">
        <v>0.14000000000000001</v>
      </c>
      <c r="E1067" s="11">
        <v>2.2000000000000002</v>
      </c>
      <c r="F1067" s="12">
        <v>7.6999999999999999E-2</v>
      </c>
      <c r="G1067" s="11">
        <v>27</v>
      </c>
      <c r="H1067" s="11">
        <v>60</v>
      </c>
      <c r="I1067" s="14">
        <v>0.99629999999999996</v>
      </c>
      <c r="J1067" s="13">
        <v>3.28</v>
      </c>
      <c r="K1067" s="13">
        <v>0.59</v>
      </c>
      <c r="L1067" s="11">
        <v>9.8000000000000007</v>
      </c>
      <c r="M1067" s="10">
        <v>5</v>
      </c>
    </row>
    <row r="1068" spans="1:13" x14ac:dyDescent="0.3">
      <c r="A1068" s="10">
        <v>1067</v>
      </c>
      <c r="B1068" s="11">
        <v>7.1</v>
      </c>
      <c r="C1068" s="12">
        <v>0.72</v>
      </c>
      <c r="D1068" s="13">
        <v>0</v>
      </c>
      <c r="E1068" s="11">
        <v>1.8</v>
      </c>
      <c r="F1068" s="12">
        <v>0.123</v>
      </c>
      <c r="G1068" s="11">
        <v>6</v>
      </c>
      <c r="H1068" s="11">
        <v>14</v>
      </c>
      <c r="I1068" s="14">
        <v>0.99626999999999999</v>
      </c>
      <c r="J1068" s="13">
        <v>3.45</v>
      </c>
      <c r="K1068" s="13">
        <v>0.57999999999999996</v>
      </c>
      <c r="L1068" s="11">
        <v>9.8000000000000007</v>
      </c>
      <c r="M1068" s="10">
        <v>5</v>
      </c>
    </row>
    <row r="1069" spans="1:13" x14ac:dyDescent="0.3">
      <c r="A1069" s="10">
        <v>1068</v>
      </c>
      <c r="B1069" s="11">
        <v>7.9</v>
      </c>
      <c r="C1069" s="12">
        <v>0.66</v>
      </c>
      <c r="D1069" s="13">
        <v>0</v>
      </c>
      <c r="E1069" s="11">
        <v>1.4</v>
      </c>
      <c r="F1069" s="12">
        <v>9.6000000000000002E-2</v>
      </c>
      <c r="G1069" s="11">
        <v>6</v>
      </c>
      <c r="H1069" s="11">
        <v>13</v>
      </c>
      <c r="I1069" s="14">
        <v>0.99568999999999996</v>
      </c>
      <c r="J1069" s="13">
        <v>3.43</v>
      </c>
      <c r="K1069" s="13">
        <v>0.57999999999999996</v>
      </c>
      <c r="L1069" s="11">
        <v>9.5</v>
      </c>
      <c r="M1069" s="10">
        <v>5</v>
      </c>
    </row>
    <row r="1070" spans="1:13" x14ac:dyDescent="0.3">
      <c r="A1070" s="10">
        <v>1069</v>
      </c>
      <c r="B1070" s="11">
        <v>7.8</v>
      </c>
      <c r="C1070" s="12">
        <v>0.7</v>
      </c>
      <c r="D1070" s="13">
        <v>0.06</v>
      </c>
      <c r="E1070" s="11">
        <v>1.9</v>
      </c>
      <c r="F1070" s="12">
        <v>7.9000000000000001E-2</v>
      </c>
      <c r="G1070" s="11">
        <v>20</v>
      </c>
      <c r="H1070" s="11">
        <v>35</v>
      </c>
      <c r="I1070" s="14">
        <v>0.99628000000000005</v>
      </c>
      <c r="J1070" s="13">
        <v>3.4</v>
      </c>
      <c r="K1070" s="13">
        <v>0.69</v>
      </c>
      <c r="L1070" s="11">
        <v>10.9</v>
      </c>
      <c r="M1070" s="10">
        <v>5</v>
      </c>
    </row>
    <row r="1071" spans="1:13" x14ac:dyDescent="0.3">
      <c r="A1071" s="10">
        <v>1070</v>
      </c>
      <c r="B1071" s="11">
        <v>6.1</v>
      </c>
      <c r="C1071" s="12">
        <v>0.64</v>
      </c>
      <c r="D1071" s="13">
        <v>0.02</v>
      </c>
      <c r="E1071" s="11">
        <v>2.4</v>
      </c>
      <c r="F1071" s="12">
        <v>6.9000000000000006E-2</v>
      </c>
      <c r="G1071" s="11">
        <v>26</v>
      </c>
      <c r="H1071" s="11">
        <v>46</v>
      </c>
      <c r="I1071" s="14">
        <v>0.99358000000000002</v>
      </c>
      <c r="J1071" s="13">
        <v>3.47</v>
      </c>
      <c r="K1071" s="13">
        <v>0.45</v>
      </c>
      <c r="L1071" s="11">
        <v>11</v>
      </c>
      <c r="M1071" s="10">
        <v>5</v>
      </c>
    </row>
    <row r="1072" spans="1:13" x14ac:dyDescent="0.3">
      <c r="A1072" s="10">
        <v>1071</v>
      </c>
      <c r="B1072" s="11">
        <v>7.5</v>
      </c>
      <c r="C1072" s="12">
        <v>0.59</v>
      </c>
      <c r="D1072" s="13">
        <v>0.22</v>
      </c>
      <c r="E1072" s="11">
        <v>1.8</v>
      </c>
      <c r="F1072" s="12">
        <v>8.2000000000000003E-2</v>
      </c>
      <c r="G1072" s="11">
        <v>43</v>
      </c>
      <c r="H1072" s="11">
        <v>60</v>
      </c>
      <c r="I1072" s="14">
        <v>0.99499000000000004</v>
      </c>
      <c r="J1072" s="13">
        <v>3.1</v>
      </c>
      <c r="K1072" s="13">
        <v>0.42</v>
      </c>
      <c r="L1072" s="11">
        <v>9.1999999999999993</v>
      </c>
      <c r="M1072" s="10">
        <v>5</v>
      </c>
    </row>
    <row r="1073" spans="1:13" x14ac:dyDescent="0.3">
      <c r="A1073" s="10">
        <v>1072</v>
      </c>
      <c r="B1073" s="11">
        <v>7</v>
      </c>
      <c r="C1073" s="12">
        <v>0.57999999999999996</v>
      </c>
      <c r="D1073" s="13">
        <v>0.28000000000000003</v>
      </c>
      <c r="E1073" s="11">
        <v>4.8</v>
      </c>
      <c r="F1073" s="12">
        <v>8.5000000000000006E-2</v>
      </c>
      <c r="G1073" s="11">
        <v>12</v>
      </c>
      <c r="H1073" s="11">
        <v>69</v>
      </c>
      <c r="I1073" s="14">
        <v>0.99633000000000005</v>
      </c>
      <c r="J1073" s="13">
        <v>3.32</v>
      </c>
      <c r="K1073" s="13">
        <v>0.7</v>
      </c>
      <c r="L1073" s="11">
        <v>11</v>
      </c>
      <c r="M1073" s="10">
        <v>6</v>
      </c>
    </row>
    <row r="1074" spans="1:13" x14ac:dyDescent="0.3">
      <c r="A1074" s="10">
        <v>1073</v>
      </c>
      <c r="B1074" s="11">
        <v>6.8</v>
      </c>
      <c r="C1074" s="12">
        <v>0.64</v>
      </c>
      <c r="D1074" s="13">
        <v>0</v>
      </c>
      <c r="E1074" s="11">
        <v>2.7</v>
      </c>
      <c r="F1074" s="12">
        <v>0.123</v>
      </c>
      <c r="G1074" s="11">
        <v>15</v>
      </c>
      <c r="H1074" s="11">
        <v>33</v>
      </c>
      <c r="I1074" s="14">
        <v>0.99538000000000004</v>
      </c>
      <c r="J1074" s="13">
        <v>3.44</v>
      </c>
      <c r="K1074" s="13">
        <v>0.63</v>
      </c>
      <c r="L1074" s="11">
        <v>11.3</v>
      </c>
      <c r="M1074" s="10">
        <v>6</v>
      </c>
    </row>
    <row r="1075" spans="1:13" x14ac:dyDescent="0.3">
      <c r="A1075" s="10">
        <v>1074</v>
      </c>
      <c r="B1075" s="11">
        <v>8.6</v>
      </c>
      <c r="C1075" s="12">
        <v>0.63500000000000001</v>
      </c>
      <c r="D1075" s="13">
        <v>0.68</v>
      </c>
      <c r="E1075" s="11">
        <v>1.8</v>
      </c>
      <c r="F1075" s="12">
        <v>0.40300000000000002</v>
      </c>
      <c r="G1075" s="11">
        <v>19</v>
      </c>
      <c r="H1075" s="11">
        <v>56</v>
      </c>
      <c r="I1075" s="14">
        <v>0.99631999999999998</v>
      </c>
      <c r="J1075" s="13">
        <v>3.02</v>
      </c>
      <c r="K1075" s="13">
        <v>1.1499999999999999</v>
      </c>
      <c r="L1075" s="11">
        <v>9.3000000000000007</v>
      </c>
      <c r="M1075" s="10">
        <v>5</v>
      </c>
    </row>
    <row r="1076" spans="1:13" x14ac:dyDescent="0.3">
      <c r="A1076" s="10">
        <v>1075</v>
      </c>
      <c r="B1076" s="11">
        <v>6.3</v>
      </c>
      <c r="C1076" s="12">
        <v>1.02</v>
      </c>
      <c r="D1076" s="13">
        <v>0</v>
      </c>
      <c r="E1076" s="11">
        <v>2</v>
      </c>
      <c r="F1076" s="12">
        <v>8.3000000000000004E-2</v>
      </c>
      <c r="G1076" s="11">
        <v>17</v>
      </c>
      <c r="H1076" s="11">
        <v>24</v>
      </c>
      <c r="I1076" s="14">
        <v>0.99436999999999998</v>
      </c>
      <c r="J1076" s="13">
        <v>3.59</v>
      </c>
      <c r="K1076" s="13">
        <v>0.55000000000000004</v>
      </c>
      <c r="L1076" s="11">
        <v>11.2</v>
      </c>
      <c r="M1076" s="10">
        <v>4</v>
      </c>
    </row>
    <row r="1077" spans="1:13" x14ac:dyDescent="0.3">
      <c r="A1077" s="10">
        <v>1076</v>
      </c>
      <c r="B1077" s="11">
        <v>9.8000000000000007</v>
      </c>
      <c r="C1077" s="12">
        <v>0.45</v>
      </c>
      <c r="D1077" s="13">
        <v>0.38</v>
      </c>
      <c r="E1077" s="11">
        <v>2.5</v>
      </c>
      <c r="F1077" s="12">
        <v>8.1000000000000003E-2</v>
      </c>
      <c r="G1077" s="11">
        <v>34</v>
      </c>
      <c r="H1077" s="11">
        <v>66</v>
      </c>
      <c r="I1077" s="14">
        <v>0.99726000000000004</v>
      </c>
      <c r="J1077" s="13">
        <v>3.15</v>
      </c>
      <c r="K1077" s="13">
        <v>0.57999999999999996</v>
      </c>
      <c r="L1077" s="11">
        <v>9.8000000000000007</v>
      </c>
      <c r="M1077" s="10">
        <v>5</v>
      </c>
    </row>
    <row r="1078" spans="1:13" x14ac:dyDescent="0.3">
      <c r="A1078" s="10">
        <v>1077</v>
      </c>
      <c r="B1078" s="11">
        <v>8.1999999999999993</v>
      </c>
      <c r="C1078" s="12">
        <v>0.78</v>
      </c>
      <c r="D1078" s="13">
        <v>0</v>
      </c>
      <c r="E1078" s="11">
        <v>2.2000000000000002</v>
      </c>
      <c r="F1078" s="12">
        <v>8.8999999999999996E-2</v>
      </c>
      <c r="G1078" s="11">
        <v>13</v>
      </c>
      <c r="H1078" s="11">
        <v>26</v>
      </c>
      <c r="I1078" s="14">
        <v>0.99780000000000002</v>
      </c>
      <c r="J1078" s="13">
        <v>3.37</v>
      </c>
      <c r="K1078" s="13">
        <v>0.46</v>
      </c>
      <c r="L1078" s="11">
        <v>9.6</v>
      </c>
      <c r="M1078" s="10">
        <v>4</v>
      </c>
    </row>
    <row r="1079" spans="1:13" x14ac:dyDescent="0.3">
      <c r="A1079" s="10">
        <v>1078</v>
      </c>
      <c r="B1079" s="11">
        <v>8.5</v>
      </c>
      <c r="C1079" s="12">
        <v>0.37</v>
      </c>
      <c r="D1079" s="13">
        <v>0.32</v>
      </c>
      <c r="E1079" s="11">
        <v>1.8</v>
      </c>
      <c r="F1079" s="12">
        <v>6.6000000000000003E-2</v>
      </c>
      <c r="G1079" s="11">
        <v>26</v>
      </c>
      <c r="H1079" s="11">
        <v>51</v>
      </c>
      <c r="I1079" s="14">
        <v>0.99456</v>
      </c>
      <c r="J1079" s="13">
        <v>3.38</v>
      </c>
      <c r="K1079" s="13">
        <v>0.72</v>
      </c>
      <c r="L1079" s="11">
        <v>11.8</v>
      </c>
      <c r="M1079" s="10">
        <v>6</v>
      </c>
    </row>
    <row r="1080" spans="1:13" x14ac:dyDescent="0.3">
      <c r="A1080" s="10">
        <v>1079</v>
      </c>
      <c r="B1080" s="11">
        <v>7.2</v>
      </c>
      <c r="C1080" s="12">
        <v>0.56999999999999995</v>
      </c>
      <c r="D1080" s="13">
        <v>0.05</v>
      </c>
      <c r="E1080" s="11">
        <v>2.2999999999999998</v>
      </c>
      <c r="F1080" s="12">
        <v>8.1000000000000003E-2</v>
      </c>
      <c r="G1080" s="11">
        <v>16</v>
      </c>
      <c r="H1080" s="11">
        <v>36</v>
      </c>
      <c r="I1080" s="14">
        <v>0.99563999999999997</v>
      </c>
      <c r="J1080" s="13">
        <v>3.38</v>
      </c>
      <c r="K1080" s="13">
        <v>0.6</v>
      </c>
      <c r="L1080" s="11">
        <v>10.3</v>
      </c>
      <c r="M1080" s="10">
        <v>6</v>
      </c>
    </row>
    <row r="1081" spans="1:13" x14ac:dyDescent="0.3">
      <c r="A1081" s="10">
        <v>1080</v>
      </c>
      <c r="B1081" s="11">
        <v>10.4</v>
      </c>
      <c r="C1081" s="12">
        <v>0.43</v>
      </c>
      <c r="D1081" s="13">
        <v>0.5</v>
      </c>
      <c r="E1081" s="11">
        <v>2.2999999999999998</v>
      </c>
      <c r="F1081" s="12">
        <v>6.8000000000000005E-2</v>
      </c>
      <c r="G1081" s="11">
        <v>13</v>
      </c>
      <c r="H1081" s="11">
        <v>19</v>
      </c>
      <c r="I1081" s="14">
        <v>0.996</v>
      </c>
      <c r="J1081" s="13">
        <v>3.1</v>
      </c>
      <c r="K1081" s="13">
        <v>0.87</v>
      </c>
      <c r="L1081" s="11">
        <v>11.4</v>
      </c>
      <c r="M1081" s="10">
        <v>6</v>
      </c>
    </row>
    <row r="1082" spans="1:13" x14ac:dyDescent="0.3">
      <c r="A1082" s="10">
        <v>1081</v>
      </c>
      <c r="B1082" s="11">
        <v>6.9</v>
      </c>
      <c r="C1082" s="12">
        <v>0.41</v>
      </c>
      <c r="D1082" s="13">
        <v>0.31</v>
      </c>
      <c r="E1082" s="11">
        <v>2</v>
      </c>
      <c r="F1082" s="12">
        <v>7.9000000000000001E-2</v>
      </c>
      <c r="G1082" s="11">
        <v>21</v>
      </c>
      <c r="H1082" s="11">
        <v>51</v>
      </c>
      <c r="I1082" s="14">
        <v>0.99668000000000001</v>
      </c>
      <c r="J1082" s="13">
        <v>3.47</v>
      </c>
      <c r="K1082" s="13">
        <v>0.55000000000000004</v>
      </c>
      <c r="L1082" s="11">
        <v>9.5</v>
      </c>
      <c r="M1082" s="10">
        <v>6</v>
      </c>
    </row>
    <row r="1083" spans="1:13" x14ac:dyDescent="0.3">
      <c r="A1083" s="10">
        <v>1082</v>
      </c>
      <c r="B1083" s="11">
        <v>5.5</v>
      </c>
      <c r="C1083" s="12">
        <v>0.49</v>
      </c>
      <c r="D1083" s="13">
        <v>0.03</v>
      </c>
      <c r="E1083" s="11">
        <v>1.8</v>
      </c>
      <c r="F1083" s="12">
        <v>4.3999999999999997E-2</v>
      </c>
      <c r="G1083" s="11">
        <v>28</v>
      </c>
      <c r="H1083" s="11">
        <v>87</v>
      </c>
      <c r="I1083" s="14">
        <v>0.99080000000000001</v>
      </c>
      <c r="J1083" s="13">
        <v>3.5</v>
      </c>
      <c r="K1083" s="13">
        <v>0.82</v>
      </c>
      <c r="L1083" s="11">
        <v>14</v>
      </c>
      <c r="M1083" s="10">
        <v>8</v>
      </c>
    </row>
    <row r="1084" spans="1:13" x14ac:dyDescent="0.3">
      <c r="A1084" s="10">
        <v>1083</v>
      </c>
      <c r="B1084" s="11">
        <v>5</v>
      </c>
      <c r="C1084" s="12">
        <v>0.38</v>
      </c>
      <c r="D1084" s="13">
        <v>0.01</v>
      </c>
      <c r="E1084" s="11">
        <v>1.6</v>
      </c>
      <c r="F1084" s="12">
        <v>4.8000000000000001E-2</v>
      </c>
      <c r="G1084" s="11">
        <v>26</v>
      </c>
      <c r="H1084" s="11">
        <v>60</v>
      </c>
      <c r="I1084" s="14">
        <v>0.99084000000000005</v>
      </c>
      <c r="J1084" s="13">
        <v>3.7</v>
      </c>
      <c r="K1084" s="13">
        <v>0.75</v>
      </c>
      <c r="L1084" s="11">
        <v>14</v>
      </c>
      <c r="M1084" s="10">
        <v>6</v>
      </c>
    </row>
    <row r="1085" spans="1:13" x14ac:dyDescent="0.3">
      <c r="A1085" s="10">
        <v>1084</v>
      </c>
      <c r="B1085" s="11">
        <v>7.3</v>
      </c>
      <c r="C1085" s="12">
        <v>0.44</v>
      </c>
      <c r="D1085" s="13">
        <v>0.2</v>
      </c>
      <c r="E1085" s="11">
        <v>1.6</v>
      </c>
      <c r="F1085" s="12">
        <v>4.9000000000000002E-2</v>
      </c>
      <c r="G1085" s="11">
        <v>24</v>
      </c>
      <c r="H1085" s="11">
        <v>64</v>
      </c>
      <c r="I1085" s="14">
        <v>0.99350000000000005</v>
      </c>
      <c r="J1085" s="13">
        <v>3.38</v>
      </c>
      <c r="K1085" s="13">
        <v>0.56999999999999995</v>
      </c>
      <c r="L1085" s="11">
        <v>11.7</v>
      </c>
      <c r="M1085" s="10">
        <v>6</v>
      </c>
    </row>
    <row r="1086" spans="1:13" x14ac:dyDescent="0.3">
      <c r="A1086" s="10">
        <v>1085</v>
      </c>
      <c r="B1086" s="11">
        <v>5.9</v>
      </c>
      <c r="C1086" s="12">
        <v>0.46</v>
      </c>
      <c r="D1086" s="13">
        <v>0</v>
      </c>
      <c r="E1086" s="11">
        <v>1.9</v>
      </c>
      <c r="F1086" s="12">
        <v>7.6999999999999999E-2</v>
      </c>
      <c r="G1086" s="11">
        <v>25</v>
      </c>
      <c r="H1086" s="11">
        <v>44</v>
      </c>
      <c r="I1086" s="14">
        <v>0.99385000000000001</v>
      </c>
      <c r="J1086" s="13">
        <v>3.5</v>
      </c>
      <c r="K1086" s="13">
        <v>0.53</v>
      </c>
      <c r="L1086" s="11">
        <v>11.2</v>
      </c>
      <c r="M1086" s="10">
        <v>5</v>
      </c>
    </row>
    <row r="1087" spans="1:13" x14ac:dyDescent="0.3">
      <c r="A1087" s="10">
        <v>1086</v>
      </c>
      <c r="B1087" s="11">
        <v>7.5</v>
      </c>
      <c r="C1087" s="12">
        <v>0.57999999999999996</v>
      </c>
      <c r="D1087" s="13">
        <v>0.2</v>
      </c>
      <c r="E1087" s="11">
        <v>2</v>
      </c>
      <c r="F1087" s="12">
        <v>7.2999999999999995E-2</v>
      </c>
      <c r="G1087" s="11">
        <v>34</v>
      </c>
      <c r="H1087" s="11">
        <v>44</v>
      </c>
      <c r="I1087" s="14">
        <v>0.99494000000000005</v>
      </c>
      <c r="J1087" s="13">
        <v>3.1</v>
      </c>
      <c r="K1087" s="13">
        <v>0.43</v>
      </c>
      <c r="L1087" s="11">
        <v>9.3000000000000007</v>
      </c>
      <c r="M1087" s="10">
        <v>5</v>
      </c>
    </row>
    <row r="1088" spans="1:13" x14ac:dyDescent="0.3">
      <c r="A1088" s="10">
        <v>1087</v>
      </c>
      <c r="B1088" s="11">
        <v>7.8</v>
      </c>
      <c r="C1088" s="12">
        <v>0.57999999999999996</v>
      </c>
      <c r="D1088" s="13">
        <v>0.13</v>
      </c>
      <c r="E1088" s="11">
        <v>2.1</v>
      </c>
      <c r="F1088" s="12">
        <v>0.10199999999999999</v>
      </c>
      <c r="G1088" s="11">
        <v>17</v>
      </c>
      <c r="H1088" s="11">
        <v>36</v>
      </c>
      <c r="I1088" s="14">
        <v>0.99439999999999995</v>
      </c>
      <c r="J1088" s="13">
        <v>3.24</v>
      </c>
      <c r="K1088" s="13">
        <v>0.53</v>
      </c>
      <c r="L1088" s="11">
        <v>11.2</v>
      </c>
      <c r="M1088" s="10">
        <v>6</v>
      </c>
    </row>
    <row r="1089" spans="1:13" x14ac:dyDescent="0.3">
      <c r="A1089" s="10">
        <v>1088</v>
      </c>
      <c r="B1089" s="11">
        <v>8</v>
      </c>
      <c r="C1089" s="12">
        <v>0.71499999999999997</v>
      </c>
      <c r="D1089" s="13">
        <v>0.22</v>
      </c>
      <c r="E1089" s="11">
        <v>2.2999999999999998</v>
      </c>
      <c r="F1089" s="12">
        <v>7.4999999999999997E-2</v>
      </c>
      <c r="G1089" s="11">
        <v>13</v>
      </c>
      <c r="H1089" s="11">
        <v>81</v>
      </c>
      <c r="I1089" s="14">
        <v>0.99687999999999999</v>
      </c>
      <c r="J1089" s="13">
        <v>3.24</v>
      </c>
      <c r="K1089" s="13">
        <v>0.54</v>
      </c>
      <c r="L1089" s="11">
        <v>9.5</v>
      </c>
      <c r="M1089" s="10">
        <v>6</v>
      </c>
    </row>
    <row r="1090" spans="1:13" x14ac:dyDescent="0.3">
      <c r="A1090" s="10">
        <v>1089</v>
      </c>
      <c r="B1090" s="11">
        <v>8.5</v>
      </c>
      <c r="C1090" s="12">
        <v>0.4</v>
      </c>
      <c r="D1090" s="13">
        <v>0.4</v>
      </c>
      <c r="E1090" s="11">
        <v>6.3</v>
      </c>
      <c r="F1090" s="12">
        <v>0.05</v>
      </c>
      <c r="G1090" s="11">
        <v>3</v>
      </c>
      <c r="H1090" s="11">
        <v>10</v>
      </c>
      <c r="I1090" s="14">
        <v>0.99565999999999999</v>
      </c>
      <c r="J1090" s="13">
        <v>3.28</v>
      </c>
      <c r="K1090" s="13">
        <v>0.56000000000000005</v>
      </c>
      <c r="L1090" s="11">
        <v>12</v>
      </c>
      <c r="M1090" s="10">
        <v>4</v>
      </c>
    </row>
    <row r="1091" spans="1:13" x14ac:dyDescent="0.3">
      <c r="A1091" s="10">
        <v>1090</v>
      </c>
      <c r="B1091" s="11">
        <v>7</v>
      </c>
      <c r="C1091" s="12">
        <v>0.69</v>
      </c>
      <c r="D1091" s="13">
        <v>0</v>
      </c>
      <c r="E1091" s="11">
        <v>1.9</v>
      </c>
      <c r="F1091" s="12">
        <v>0.114</v>
      </c>
      <c r="G1091" s="11">
        <v>3</v>
      </c>
      <c r="H1091" s="11">
        <v>10</v>
      </c>
      <c r="I1091" s="14">
        <v>0.99636000000000002</v>
      </c>
      <c r="J1091" s="13">
        <v>3.35</v>
      </c>
      <c r="K1091" s="13">
        <v>0.6</v>
      </c>
      <c r="L1091" s="11">
        <v>9.6999999999999993</v>
      </c>
      <c r="M1091" s="10">
        <v>6</v>
      </c>
    </row>
    <row r="1092" spans="1:13" x14ac:dyDescent="0.3">
      <c r="A1092" s="10">
        <v>1091</v>
      </c>
      <c r="B1092" s="11">
        <v>9.8000000000000007</v>
      </c>
      <c r="C1092" s="12">
        <v>0.3</v>
      </c>
      <c r="D1092" s="13">
        <v>0.39</v>
      </c>
      <c r="E1092" s="11">
        <v>1.7</v>
      </c>
      <c r="F1092" s="12">
        <v>6.2E-2</v>
      </c>
      <c r="G1092" s="11">
        <v>3</v>
      </c>
      <c r="H1092" s="11">
        <v>9</v>
      </c>
      <c r="I1092" s="14">
        <v>0.99480000000000002</v>
      </c>
      <c r="J1092" s="13">
        <v>3.14</v>
      </c>
      <c r="K1092" s="13">
        <v>0.56999999999999995</v>
      </c>
      <c r="L1092" s="11">
        <v>11.5</v>
      </c>
      <c r="M1092" s="10">
        <v>7</v>
      </c>
    </row>
    <row r="1093" spans="1:13" x14ac:dyDescent="0.3">
      <c r="A1093" s="10">
        <v>1092</v>
      </c>
      <c r="B1093" s="11">
        <v>7.1</v>
      </c>
      <c r="C1093" s="12">
        <v>0.46</v>
      </c>
      <c r="D1093" s="13">
        <v>0.2</v>
      </c>
      <c r="E1093" s="11">
        <v>1.9</v>
      </c>
      <c r="F1093" s="12">
        <v>7.6999999999999999E-2</v>
      </c>
      <c r="G1093" s="11">
        <v>28</v>
      </c>
      <c r="H1093" s="11">
        <v>54</v>
      </c>
      <c r="I1093" s="14">
        <v>0.99560000000000004</v>
      </c>
      <c r="J1093" s="13">
        <v>3.37</v>
      </c>
      <c r="K1093" s="13">
        <v>0.64</v>
      </c>
      <c r="L1093" s="11">
        <v>10.4</v>
      </c>
      <c r="M1093" s="10">
        <v>6</v>
      </c>
    </row>
    <row r="1094" spans="1:13" x14ac:dyDescent="0.3">
      <c r="A1094" s="10">
        <v>1093</v>
      </c>
      <c r="B1094" s="11">
        <v>7.9</v>
      </c>
      <c r="C1094" s="12">
        <v>0.76500000000000001</v>
      </c>
      <c r="D1094" s="13">
        <v>0</v>
      </c>
      <c r="E1094" s="11">
        <v>2</v>
      </c>
      <c r="F1094" s="12">
        <v>8.4000000000000005E-2</v>
      </c>
      <c r="G1094" s="11">
        <v>9</v>
      </c>
      <c r="H1094" s="11">
        <v>22</v>
      </c>
      <c r="I1094" s="14">
        <v>0.99619000000000002</v>
      </c>
      <c r="J1094" s="13">
        <v>3.33</v>
      </c>
      <c r="K1094" s="13">
        <v>0.68</v>
      </c>
      <c r="L1094" s="11">
        <v>10.9</v>
      </c>
      <c r="M1094" s="10">
        <v>6</v>
      </c>
    </row>
    <row r="1095" spans="1:13" x14ac:dyDescent="0.3">
      <c r="A1095" s="10">
        <v>1094</v>
      </c>
      <c r="B1095" s="11">
        <v>8.6999999999999993</v>
      </c>
      <c r="C1095" s="12">
        <v>0.63</v>
      </c>
      <c r="D1095" s="13">
        <v>0.28000000000000003</v>
      </c>
      <c r="E1095" s="11">
        <v>2.7</v>
      </c>
      <c r="F1095" s="12">
        <v>9.6000000000000002E-2</v>
      </c>
      <c r="G1095" s="11">
        <v>17</v>
      </c>
      <c r="H1095" s="11">
        <v>69</v>
      </c>
      <c r="I1095" s="14">
        <v>0.99734</v>
      </c>
      <c r="J1095" s="13">
        <v>3.26</v>
      </c>
      <c r="K1095" s="13">
        <v>0.63</v>
      </c>
      <c r="L1095" s="11">
        <v>10.199999999999999</v>
      </c>
      <c r="M1095" s="10">
        <v>6</v>
      </c>
    </row>
    <row r="1096" spans="1:13" x14ac:dyDescent="0.3">
      <c r="A1096" s="10">
        <v>1095</v>
      </c>
      <c r="B1096" s="11">
        <v>7</v>
      </c>
      <c r="C1096" s="12">
        <v>0.42</v>
      </c>
      <c r="D1096" s="13">
        <v>0.19</v>
      </c>
      <c r="E1096" s="11">
        <v>2.2999999999999998</v>
      </c>
      <c r="F1096" s="12">
        <v>7.0999999999999994E-2</v>
      </c>
      <c r="G1096" s="11">
        <v>18</v>
      </c>
      <c r="H1096" s="11">
        <v>36</v>
      </c>
      <c r="I1096" s="14">
        <v>0.99475999999999998</v>
      </c>
      <c r="J1096" s="13">
        <v>3.39</v>
      </c>
      <c r="K1096" s="13">
        <v>0.56000000000000005</v>
      </c>
      <c r="L1096" s="11">
        <v>10.9</v>
      </c>
      <c r="M1096" s="10">
        <v>5</v>
      </c>
    </row>
    <row r="1097" spans="1:13" x14ac:dyDescent="0.3">
      <c r="A1097" s="10">
        <v>1096</v>
      </c>
      <c r="B1097" s="11">
        <v>11.3</v>
      </c>
      <c r="C1097" s="12">
        <v>0.37</v>
      </c>
      <c r="D1097" s="13">
        <v>0.5</v>
      </c>
      <c r="E1097" s="11">
        <v>1.8</v>
      </c>
      <c r="F1097" s="12">
        <v>0.09</v>
      </c>
      <c r="G1097" s="11">
        <v>20</v>
      </c>
      <c r="H1097" s="11">
        <v>47</v>
      </c>
      <c r="I1097" s="14">
        <v>0.99734</v>
      </c>
      <c r="J1097" s="13">
        <v>3.15</v>
      </c>
      <c r="K1097" s="13">
        <v>0.56999999999999995</v>
      </c>
      <c r="L1097" s="11">
        <v>10.5</v>
      </c>
      <c r="M1097" s="10">
        <v>5</v>
      </c>
    </row>
    <row r="1098" spans="1:13" x14ac:dyDescent="0.3">
      <c r="A1098" s="10">
        <v>1097</v>
      </c>
      <c r="B1098" s="11">
        <v>7.1</v>
      </c>
      <c r="C1098" s="12">
        <v>0.16</v>
      </c>
      <c r="D1098" s="13">
        <v>0.44</v>
      </c>
      <c r="E1098" s="11">
        <v>2.5</v>
      </c>
      <c r="F1098" s="12">
        <v>6.8000000000000005E-2</v>
      </c>
      <c r="G1098" s="11">
        <v>17</v>
      </c>
      <c r="H1098" s="11">
        <v>31</v>
      </c>
      <c r="I1098" s="14">
        <v>0.99328000000000005</v>
      </c>
      <c r="J1098" s="13">
        <v>3.35</v>
      </c>
      <c r="K1098" s="13">
        <v>0.54</v>
      </c>
      <c r="L1098" s="11">
        <v>12.4</v>
      </c>
      <c r="M1098" s="10">
        <v>6</v>
      </c>
    </row>
    <row r="1099" spans="1:13" x14ac:dyDescent="0.3">
      <c r="A1099" s="10">
        <v>1098</v>
      </c>
      <c r="B1099" s="11">
        <v>8</v>
      </c>
      <c r="C1099" s="12">
        <v>0.6</v>
      </c>
      <c r="D1099" s="13">
        <v>0.08</v>
      </c>
      <c r="E1099" s="11">
        <v>2.6</v>
      </c>
      <c r="F1099" s="12">
        <v>5.6000000000000001E-2</v>
      </c>
      <c r="G1099" s="11">
        <v>3</v>
      </c>
      <c r="H1099" s="11">
        <v>7</v>
      </c>
      <c r="I1099" s="14">
        <v>0.99285999999999996</v>
      </c>
      <c r="J1099" s="13">
        <v>3.22</v>
      </c>
      <c r="K1099" s="13">
        <v>0.37</v>
      </c>
      <c r="L1099" s="11">
        <v>13</v>
      </c>
      <c r="M1099" s="10">
        <v>5</v>
      </c>
    </row>
    <row r="1100" spans="1:13" x14ac:dyDescent="0.3">
      <c r="A1100" s="10">
        <v>1099</v>
      </c>
      <c r="B1100" s="11">
        <v>7</v>
      </c>
      <c r="C1100" s="12">
        <v>0.6</v>
      </c>
      <c r="D1100" s="13">
        <v>0.3</v>
      </c>
      <c r="E1100" s="11">
        <v>4.5</v>
      </c>
      <c r="F1100" s="12">
        <v>6.8000000000000005E-2</v>
      </c>
      <c r="G1100" s="11">
        <v>20</v>
      </c>
      <c r="H1100" s="11">
        <v>110</v>
      </c>
      <c r="I1100" s="14">
        <v>0.99914000000000003</v>
      </c>
      <c r="J1100" s="13">
        <v>3.3</v>
      </c>
      <c r="K1100" s="13">
        <v>1.17</v>
      </c>
      <c r="L1100" s="11">
        <v>10.199999999999999</v>
      </c>
      <c r="M1100" s="10">
        <v>5</v>
      </c>
    </row>
    <row r="1101" spans="1:13" x14ac:dyDescent="0.3">
      <c r="A1101" s="10">
        <v>1100</v>
      </c>
      <c r="B1101" s="11">
        <v>7.6</v>
      </c>
      <c r="C1101" s="12">
        <v>0.74</v>
      </c>
      <c r="D1101" s="13">
        <v>0</v>
      </c>
      <c r="E1101" s="11">
        <v>1.9</v>
      </c>
      <c r="F1101" s="12">
        <v>0.1</v>
      </c>
      <c r="G1101" s="11">
        <v>6</v>
      </c>
      <c r="H1101" s="11">
        <v>12</v>
      </c>
      <c r="I1101" s="14">
        <v>0.99521000000000004</v>
      </c>
      <c r="J1101" s="13">
        <v>3.36</v>
      </c>
      <c r="K1101" s="13">
        <v>0.59</v>
      </c>
      <c r="L1101" s="11">
        <v>11</v>
      </c>
      <c r="M1101" s="10">
        <v>5</v>
      </c>
    </row>
    <row r="1102" spans="1:13" x14ac:dyDescent="0.3">
      <c r="A1102" s="10">
        <v>1101</v>
      </c>
      <c r="B1102" s="11">
        <v>8.1999999999999993</v>
      </c>
      <c r="C1102" s="12">
        <v>0.63500000000000001</v>
      </c>
      <c r="D1102" s="13">
        <v>0.1</v>
      </c>
      <c r="E1102" s="11">
        <v>2.1</v>
      </c>
      <c r="F1102" s="12">
        <v>7.2999999999999995E-2</v>
      </c>
      <c r="G1102" s="11">
        <v>25</v>
      </c>
      <c r="H1102" s="11">
        <v>60</v>
      </c>
      <c r="I1102" s="14">
        <v>0.99638000000000004</v>
      </c>
      <c r="J1102" s="13">
        <v>3.29</v>
      </c>
      <c r="K1102" s="13">
        <v>0.75</v>
      </c>
      <c r="L1102" s="11">
        <v>10.9</v>
      </c>
      <c r="M1102" s="10">
        <v>6</v>
      </c>
    </row>
    <row r="1103" spans="1:13" x14ac:dyDescent="0.3">
      <c r="A1103" s="10">
        <v>1102</v>
      </c>
      <c r="B1103" s="11">
        <v>5.9</v>
      </c>
      <c r="C1103" s="12">
        <v>0.39500000000000002</v>
      </c>
      <c r="D1103" s="13">
        <v>0.13</v>
      </c>
      <c r="E1103" s="11">
        <v>2.4</v>
      </c>
      <c r="F1103" s="12">
        <v>5.6000000000000001E-2</v>
      </c>
      <c r="G1103" s="11">
        <v>14</v>
      </c>
      <c r="H1103" s="11">
        <v>28</v>
      </c>
      <c r="I1103" s="14">
        <v>0.99361999999999995</v>
      </c>
      <c r="J1103" s="13">
        <v>3.62</v>
      </c>
      <c r="K1103" s="13">
        <v>0.67</v>
      </c>
      <c r="L1103" s="11">
        <v>12.4</v>
      </c>
      <c r="M1103" s="10">
        <v>6</v>
      </c>
    </row>
    <row r="1104" spans="1:13" x14ac:dyDescent="0.3">
      <c r="A1104" s="10">
        <v>1103</v>
      </c>
      <c r="B1104" s="11">
        <v>7.5</v>
      </c>
      <c r="C1104" s="12">
        <v>0.755</v>
      </c>
      <c r="D1104" s="13">
        <v>0</v>
      </c>
      <c r="E1104" s="11">
        <v>1.9</v>
      </c>
      <c r="F1104" s="12">
        <v>8.4000000000000005E-2</v>
      </c>
      <c r="G1104" s="11">
        <v>6</v>
      </c>
      <c r="H1104" s="11">
        <v>12</v>
      </c>
      <c r="I1104" s="14">
        <v>0.99672000000000005</v>
      </c>
      <c r="J1104" s="13">
        <v>3.34</v>
      </c>
      <c r="K1104" s="13">
        <v>0.49</v>
      </c>
      <c r="L1104" s="11">
        <v>9.6999999999999993</v>
      </c>
      <c r="M1104" s="10">
        <v>4</v>
      </c>
    </row>
    <row r="1105" spans="1:13" x14ac:dyDescent="0.3">
      <c r="A1105" s="10">
        <v>1104</v>
      </c>
      <c r="B1105" s="11">
        <v>6.6</v>
      </c>
      <c r="C1105" s="12">
        <v>0.63</v>
      </c>
      <c r="D1105" s="13">
        <v>0</v>
      </c>
      <c r="E1105" s="11">
        <v>4.3</v>
      </c>
      <c r="F1105" s="12">
        <v>9.2999999999999999E-2</v>
      </c>
      <c r="G1105" s="11">
        <v>51</v>
      </c>
      <c r="H1105" s="11">
        <v>77.5</v>
      </c>
      <c r="I1105" s="14">
        <v>0.99558000000000002</v>
      </c>
      <c r="J1105" s="13">
        <v>3.2</v>
      </c>
      <c r="K1105" s="13">
        <v>0.45</v>
      </c>
      <c r="L1105" s="11">
        <v>9.5</v>
      </c>
      <c r="M1105" s="10">
        <v>5</v>
      </c>
    </row>
    <row r="1106" spans="1:13" x14ac:dyDescent="0.3">
      <c r="A1106" s="10">
        <v>1105</v>
      </c>
      <c r="B1106" s="11">
        <v>7.2</v>
      </c>
      <c r="C1106" s="12">
        <v>0.53</v>
      </c>
      <c r="D1106" s="13">
        <v>0.14000000000000001</v>
      </c>
      <c r="E1106" s="11">
        <v>2.1</v>
      </c>
      <c r="F1106" s="12">
        <v>6.4000000000000001E-2</v>
      </c>
      <c r="G1106" s="11">
        <v>15</v>
      </c>
      <c r="H1106" s="11">
        <v>29</v>
      </c>
      <c r="I1106" s="14">
        <v>0.99322999999999995</v>
      </c>
      <c r="J1106" s="13">
        <v>3.35</v>
      </c>
      <c r="K1106" s="13">
        <v>0.61</v>
      </c>
      <c r="L1106" s="11">
        <v>12.1</v>
      </c>
      <c r="M1106" s="10">
        <v>6</v>
      </c>
    </row>
    <row r="1107" spans="1:13" x14ac:dyDescent="0.3">
      <c r="A1107" s="10">
        <v>1106</v>
      </c>
      <c r="B1107" s="11">
        <v>5.7</v>
      </c>
      <c r="C1107" s="12">
        <v>0.6</v>
      </c>
      <c r="D1107" s="13">
        <v>0</v>
      </c>
      <c r="E1107" s="11">
        <v>1.4</v>
      </c>
      <c r="F1107" s="12">
        <v>6.3E-2</v>
      </c>
      <c r="G1107" s="11">
        <v>11</v>
      </c>
      <c r="H1107" s="11">
        <v>18</v>
      </c>
      <c r="I1107" s="14">
        <v>0.99190999999999996</v>
      </c>
      <c r="J1107" s="13">
        <v>3.45</v>
      </c>
      <c r="K1107" s="13">
        <v>0.56000000000000005</v>
      </c>
      <c r="L1107" s="11">
        <v>12.2</v>
      </c>
      <c r="M1107" s="10">
        <v>6</v>
      </c>
    </row>
    <row r="1108" spans="1:13" x14ac:dyDescent="0.3">
      <c r="A1108" s="10">
        <v>1107</v>
      </c>
      <c r="B1108" s="11">
        <v>7.6</v>
      </c>
      <c r="C1108" s="12">
        <v>1.58</v>
      </c>
      <c r="D1108" s="13">
        <v>0</v>
      </c>
      <c r="E1108" s="11">
        <v>2.1</v>
      </c>
      <c r="F1108" s="12">
        <v>0.13700000000000001</v>
      </c>
      <c r="G1108" s="11">
        <v>5</v>
      </c>
      <c r="H1108" s="11">
        <v>9</v>
      </c>
      <c r="I1108" s="14">
        <v>0.99475999999999998</v>
      </c>
      <c r="J1108" s="13">
        <v>3.5</v>
      </c>
      <c r="K1108" s="13">
        <v>0.4</v>
      </c>
      <c r="L1108" s="11">
        <v>10.9</v>
      </c>
      <c r="M1108" s="10">
        <v>3</v>
      </c>
    </row>
    <row r="1109" spans="1:13" x14ac:dyDescent="0.3">
      <c r="A1109" s="10">
        <v>1108</v>
      </c>
      <c r="B1109" s="11">
        <v>5.2</v>
      </c>
      <c r="C1109" s="12">
        <v>0.64500000000000002</v>
      </c>
      <c r="D1109" s="13">
        <v>0</v>
      </c>
      <c r="E1109" s="11">
        <v>2.15</v>
      </c>
      <c r="F1109" s="12">
        <v>0.08</v>
      </c>
      <c r="G1109" s="11">
        <v>15</v>
      </c>
      <c r="H1109" s="11">
        <v>28</v>
      </c>
      <c r="I1109" s="14">
        <v>0.99443999999999999</v>
      </c>
      <c r="J1109" s="13">
        <v>3.78</v>
      </c>
      <c r="K1109" s="13">
        <v>0.61</v>
      </c>
      <c r="L1109" s="11">
        <v>12.5</v>
      </c>
      <c r="M1109" s="10">
        <v>6</v>
      </c>
    </row>
    <row r="1110" spans="1:13" x14ac:dyDescent="0.3">
      <c r="A1110" s="10">
        <v>1109</v>
      </c>
      <c r="B1110" s="11">
        <v>6.7</v>
      </c>
      <c r="C1110" s="12">
        <v>0.86</v>
      </c>
      <c r="D1110" s="13">
        <v>7.0000000000000007E-2</v>
      </c>
      <c r="E1110" s="11">
        <v>2</v>
      </c>
      <c r="F1110" s="12">
        <v>0.1</v>
      </c>
      <c r="G1110" s="11">
        <v>20</v>
      </c>
      <c r="H1110" s="11">
        <v>57</v>
      </c>
      <c r="I1110" s="14">
        <v>0.99597999999999998</v>
      </c>
      <c r="J1110" s="13">
        <v>3.6</v>
      </c>
      <c r="K1110" s="13">
        <v>0.74</v>
      </c>
      <c r="L1110" s="11">
        <v>11.7</v>
      </c>
      <c r="M1110" s="10">
        <v>6</v>
      </c>
    </row>
    <row r="1111" spans="1:13" x14ac:dyDescent="0.3">
      <c r="A1111" s="10">
        <v>1110</v>
      </c>
      <c r="B1111" s="11">
        <v>9.1</v>
      </c>
      <c r="C1111" s="12">
        <v>0.37</v>
      </c>
      <c r="D1111" s="13">
        <v>0.32</v>
      </c>
      <c r="E1111" s="11">
        <v>2.1</v>
      </c>
      <c r="F1111" s="12">
        <v>6.4000000000000001E-2</v>
      </c>
      <c r="G1111" s="11">
        <v>4</v>
      </c>
      <c r="H1111" s="11">
        <v>15</v>
      </c>
      <c r="I1111" s="14">
        <v>0.99575999999999998</v>
      </c>
      <c r="J1111" s="13">
        <v>3.3</v>
      </c>
      <c r="K1111" s="13">
        <v>0.8</v>
      </c>
      <c r="L1111" s="11">
        <v>11.2</v>
      </c>
      <c r="M1111" s="10">
        <v>6</v>
      </c>
    </row>
    <row r="1112" spans="1:13" x14ac:dyDescent="0.3">
      <c r="A1112" s="10">
        <v>1111</v>
      </c>
      <c r="B1112" s="11">
        <v>8</v>
      </c>
      <c r="C1112" s="12">
        <v>0.28000000000000003</v>
      </c>
      <c r="D1112" s="13">
        <v>0.44</v>
      </c>
      <c r="E1112" s="11">
        <v>1.8</v>
      </c>
      <c r="F1112" s="12">
        <v>8.1000000000000003E-2</v>
      </c>
      <c r="G1112" s="11">
        <v>28</v>
      </c>
      <c r="H1112" s="11">
        <v>68</v>
      </c>
      <c r="I1112" s="14">
        <v>0.99500999999999995</v>
      </c>
      <c r="J1112" s="13">
        <v>3.36</v>
      </c>
      <c r="K1112" s="13">
        <v>0.66</v>
      </c>
      <c r="L1112" s="11">
        <v>11.2</v>
      </c>
      <c r="M1112" s="10">
        <v>5</v>
      </c>
    </row>
    <row r="1113" spans="1:13" x14ac:dyDescent="0.3">
      <c r="A1113" s="10">
        <v>1112</v>
      </c>
      <c r="B1113" s="11">
        <v>7.6</v>
      </c>
      <c r="C1113" s="12">
        <v>0.79</v>
      </c>
      <c r="D1113" s="13">
        <v>0.21</v>
      </c>
      <c r="E1113" s="11">
        <v>2.2999999999999998</v>
      </c>
      <c r="F1113" s="12">
        <v>8.6999999999999994E-2</v>
      </c>
      <c r="G1113" s="11">
        <v>21</v>
      </c>
      <c r="H1113" s="11">
        <v>68</v>
      </c>
      <c r="I1113" s="14">
        <v>0.99550000000000005</v>
      </c>
      <c r="J1113" s="13">
        <v>3.12</v>
      </c>
      <c r="K1113" s="13">
        <v>0.44</v>
      </c>
      <c r="L1113" s="11">
        <v>9.1999999999999993</v>
      </c>
      <c r="M1113" s="10">
        <v>5</v>
      </c>
    </row>
    <row r="1114" spans="1:13" x14ac:dyDescent="0.3">
      <c r="A1114" s="10">
        <v>1113</v>
      </c>
      <c r="B1114" s="11">
        <v>7.5</v>
      </c>
      <c r="C1114" s="12">
        <v>0.61</v>
      </c>
      <c r="D1114" s="13">
        <v>0.26</v>
      </c>
      <c r="E1114" s="11">
        <v>1.9</v>
      </c>
      <c r="F1114" s="12">
        <v>7.2999999999999995E-2</v>
      </c>
      <c r="G1114" s="11">
        <v>24</v>
      </c>
      <c r="H1114" s="11">
        <v>88</v>
      </c>
      <c r="I1114" s="14">
        <v>0.99612000000000001</v>
      </c>
      <c r="J1114" s="13">
        <v>3.3</v>
      </c>
      <c r="K1114" s="13">
        <v>0.53</v>
      </c>
      <c r="L1114" s="11">
        <v>9.8000000000000007</v>
      </c>
      <c r="M1114" s="10">
        <v>5</v>
      </c>
    </row>
    <row r="1115" spans="1:13" x14ac:dyDescent="0.3">
      <c r="A1115" s="10">
        <v>1114</v>
      </c>
      <c r="B1115" s="11">
        <v>9.6999999999999993</v>
      </c>
      <c r="C1115" s="12">
        <v>0.69</v>
      </c>
      <c r="D1115" s="13">
        <v>0.32</v>
      </c>
      <c r="E1115" s="11">
        <v>2.5</v>
      </c>
      <c r="F1115" s="12">
        <v>8.7999999999999995E-2</v>
      </c>
      <c r="G1115" s="11">
        <v>22</v>
      </c>
      <c r="H1115" s="11">
        <v>91</v>
      </c>
      <c r="I1115" s="14">
        <v>0.99790000000000001</v>
      </c>
      <c r="J1115" s="13">
        <v>3.29</v>
      </c>
      <c r="K1115" s="13">
        <v>0.62</v>
      </c>
      <c r="L1115" s="11">
        <v>10.1</v>
      </c>
      <c r="M1115" s="10">
        <v>5</v>
      </c>
    </row>
    <row r="1116" spans="1:13" x14ac:dyDescent="0.3">
      <c r="A1116" s="10">
        <v>1115</v>
      </c>
      <c r="B1116" s="11">
        <v>6.8</v>
      </c>
      <c r="C1116" s="12">
        <v>0.68</v>
      </c>
      <c r="D1116" s="13">
        <v>0.09</v>
      </c>
      <c r="E1116" s="11">
        <v>3.9</v>
      </c>
      <c r="F1116" s="12">
        <v>6.8000000000000005E-2</v>
      </c>
      <c r="G1116" s="11">
        <v>15</v>
      </c>
      <c r="H1116" s="11">
        <v>29</v>
      </c>
      <c r="I1116" s="14">
        <v>0.99524000000000001</v>
      </c>
      <c r="J1116" s="13">
        <v>3.41</v>
      </c>
      <c r="K1116" s="13">
        <v>0.52</v>
      </c>
      <c r="L1116" s="11">
        <v>11.1</v>
      </c>
      <c r="M1116" s="10">
        <v>4</v>
      </c>
    </row>
    <row r="1117" spans="1:13" x14ac:dyDescent="0.3">
      <c r="A1117" s="10">
        <v>1116</v>
      </c>
      <c r="B1117" s="11">
        <v>7</v>
      </c>
      <c r="C1117" s="12">
        <v>0.62</v>
      </c>
      <c r="D1117" s="13">
        <v>0.1</v>
      </c>
      <c r="E1117" s="11">
        <v>1.4</v>
      </c>
      <c r="F1117" s="12">
        <v>7.0999999999999994E-2</v>
      </c>
      <c r="G1117" s="11">
        <v>27</v>
      </c>
      <c r="H1117" s="11">
        <v>63</v>
      </c>
      <c r="I1117" s="14">
        <v>0.996</v>
      </c>
      <c r="J1117" s="13">
        <v>3.28</v>
      </c>
      <c r="K1117" s="13">
        <v>0.61</v>
      </c>
      <c r="L1117" s="11">
        <v>9.1999999999999993</v>
      </c>
      <c r="M1117" s="10">
        <v>5</v>
      </c>
    </row>
    <row r="1118" spans="1:13" x14ac:dyDescent="0.3">
      <c r="A1118" s="10">
        <v>1117</v>
      </c>
      <c r="B1118" s="11">
        <v>6.5</v>
      </c>
      <c r="C1118" s="12">
        <v>0.51</v>
      </c>
      <c r="D1118" s="13">
        <v>0.15</v>
      </c>
      <c r="E1118" s="11">
        <v>3</v>
      </c>
      <c r="F1118" s="12">
        <v>6.4000000000000001E-2</v>
      </c>
      <c r="G1118" s="11">
        <v>12</v>
      </c>
      <c r="H1118" s="11">
        <v>27</v>
      </c>
      <c r="I1118" s="14">
        <v>0.9929</v>
      </c>
      <c r="J1118" s="13">
        <v>3.33</v>
      </c>
      <c r="K1118" s="13">
        <v>0.59</v>
      </c>
      <c r="L1118" s="11">
        <v>12.8</v>
      </c>
      <c r="M1118" s="10">
        <v>6</v>
      </c>
    </row>
    <row r="1119" spans="1:13" x14ac:dyDescent="0.3">
      <c r="A1119" s="10">
        <v>1118</v>
      </c>
      <c r="B1119" s="11">
        <v>8</v>
      </c>
      <c r="C1119" s="12">
        <v>1.18</v>
      </c>
      <c r="D1119" s="13">
        <v>0.21</v>
      </c>
      <c r="E1119" s="11">
        <v>1.9</v>
      </c>
      <c r="F1119" s="12">
        <v>8.3000000000000004E-2</v>
      </c>
      <c r="G1119" s="11">
        <v>14</v>
      </c>
      <c r="H1119" s="11">
        <v>41</v>
      </c>
      <c r="I1119" s="14">
        <v>0.99531999999999998</v>
      </c>
      <c r="J1119" s="13">
        <v>3.34</v>
      </c>
      <c r="K1119" s="13">
        <v>0.47</v>
      </c>
      <c r="L1119" s="11">
        <v>10.5</v>
      </c>
      <c r="M1119" s="10">
        <v>5</v>
      </c>
    </row>
    <row r="1120" spans="1:13" x14ac:dyDescent="0.3">
      <c r="A1120" s="10">
        <v>1119</v>
      </c>
      <c r="B1120" s="11">
        <v>7</v>
      </c>
      <c r="C1120" s="12">
        <v>0.36</v>
      </c>
      <c r="D1120" s="13">
        <v>0.21</v>
      </c>
      <c r="E1120" s="11">
        <v>2.2999999999999998</v>
      </c>
      <c r="F1120" s="12">
        <v>8.5999999999999993E-2</v>
      </c>
      <c r="G1120" s="11">
        <v>20</v>
      </c>
      <c r="H1120" s="11">
        <v>65</v>
      </c>
      <c r="I1120" s="14">
        <v>0.99558000000000002</v>
      </c>
      <c r="J1120" s="13">
        <v>3.4</v>
      </c>
      <c r="K1120" s="13">
        <v>0.54</v>
      </c>
      <c r="L1120" s="11">
        <v>10.1</v>
      </c>
      <c r="M1120" s="10">
        <v>6</v>
      </c>
    </row>
    <row r="1121" spans="1:13" x14ac:dyDescent="0.3">
      <c r="A1121" s="10">
        <v>1120</v>
      </c>
      <c r="B1121" s="11">
        <v>7</v>
      </c>
      <c r="C1121" s="12">
        <v>0.36</v>
      </c>
      <c r="D1121" s="13">
        <v>0.21</v>
      </c>
      <c r="E1121" s="11">
        <v>2.4</v>
      </c>
      <c r="F1121" s="12">
        <v>8.5999999999999993E-2</v>
      </c>
      <c r="G1121" s="11">
        <v>24</v>
      </c>
      <c r="H1121" s="11">
        <v>69</v>
      </c>
      <c r="I1121" s="14">
        <v>0.99556</v>
      </c>
      <c r="J1121" s="13">
        <v>3.4</v>
      </c>
      <c r="K1121" s="13">
        <v>0.53</v>
      </c>
      <c r="L1121" s="11">
        <v>10.1</v>
      </c>
      <c r="M1121" s="10">
        <v>6</v>
      </c>
    </row>
    <row r="1122" spans="1:13" x14ac:dyDescent="0.3">
      <c r="A1122" s="10">
        <v>1121</v>
      </c>
      <c r="B1122" s="11">
        <v>7.5</v>
      </c>
      <c r="C1122" s="12">
        <v>0.63</v>
      </c>
      <c r="D1122" s="13">
        <v>0.27</v>
      </c>
      <c r="E1122" s="11">
        <v>2</v>
      </c>
      <c r="F1122" s="12">
        <v>8.3000000000000004E-2</v>
      </c>
      <c r="G1122" s="11">
        <v>17</v>
      </c>
      <c r="H1122" s="11">
        <v>91</v>
      </c>
      <c r="I1122" s="14">
        <v>0.99616000000000005</v>
      </c>
      <c r="J1122" s="13">
        <v>3.26</v>
      </c>
      <c r="K1122" s="13">
        <v>0.57999999999999996</v>
      </c>
      <c r="L1122" s="11">
        <v>9.8000000000000007</v>
      </c>
      <c r="M1122" s="10">
        <v>6</v>
      </c>
    </row>
    <row r="1123" spans="1:13" x14ac:dyDescent="0.3">
      <c r="A1123" s="10">
        <v>1122</v>
      </c>
      <c r="B1123" s="11">
        <v>5.4</v>
      </c>
      <c r="C1123" s="12">
        <v>0.74</v>
      </c>
      <c r="D1123" s="13">
        <v>0</v>
      </c>
      <c r="E1123" s="11">
        <v>1.2</v>
      </c>
      <c r="F1123" s="12">
        <v>4.1000000000000002E-2</v>
      </c>
      <c r="G1123" s="11">
        <v>16</v>
      </c>
      <c r="H1123" s="11">
        <v>46</v>
      </c>
      <c r="I1123" s="14">
        <v>0.99258000000000002</v>
      </c>
      <c r="J1123" s="13">
        <v>4.01</v>
      </c>
      <c r="K1123" s="13">
        <v>0.59</v>
      </c>
      <c r="L1123" s="11">
        <v>12.5</v>
      </c>
      <c r="M1123" s="10">
        <v>6</v>
      </c>
    </row>
    <row r="1124" spans="1:13" x14ac:dyDescent="0.3">
      <c r="A1124" s="10">
        <v>1123</v>
      </c>
      <c r="B1124" s="11">
        <v>9.9</v>
      </c>
      <c r="C1124" s="12">
        <v>0.44</v>
      </c>
      <c r="D1124" s="13">
        <v>0.46</v>
      </c>
      <c r="E1124" s="11">
        <v>2.2000000000000002</v>
      </c>
      <c r="F1124" s="12">
        <v>9.0999999999999998E-2</v>
      </c>
      <c r="G1124" s="11">
        <v>10</v>
      </c>
      <c r="H1124" s="11">
        <v>41</v>
      </c>
      <c r="I1124" s="14">
        <v>0.99638000000000004</v>
      </c>
      <c r="J1124" s="13">
        <v>3.18</v>
      </c>
      <c r="K1124" s="13">
        <v>0.69</v>
      </c>
      <c r="L1124" s="11">
        <v>11.9</v>
      </c>
      <c r="M1124" s="10">
        <v>6</v>
      </c>
    </row>
    <row r="1125" spans="1:13" x14ac:dyDescent="0.3">
      <c r="A1125" s="10">
        <v>1124</v>
      </c>
      <c r="B1125" s="11">
        <v>9.1</v>
      </c>
      <c r="C1125" s="12">
        <v>0.76</v>
      </c>
      <c r="D1125" s="13">
        <v>0.68</v>
      </c>
      <c r="E1125" s="11">
        <v>1.7</v>
      </c>
      <c r="F1125" s="12">
        <v>0.41399999999999998</v>
      </c>
      <c r="G1125" s="11">
        <v>18</v>
      </c>
      <c r="H1125" s="11">
        <v>64</v>
      </c>
      <c r="I1125" s="14">
        <v>0.99651999999999996</v>
      </c>
      <c r="J1125" s="13">
        <v>2.9</v>
      </c>
      <c r="K1125" s="13">
        <v>1.33</v>
      </c>
      <c r="L1125" s="11">
        <v>9.1</v>
      </c>
      <c r="M1125" s="10">
        <v>6</v>
      </c>
    </row>
    <row r="1126" spans="1:13" x14ac:dyDescent="0.3">
      <c r="A1126" s="10">
        <v>1125</v>
      </c>
      <c r="B1126" s="11">
        <v>9.6999999999999993</v>
      </c>
      <c r="C1126" s="12">
        <v>0.66</v>
      </c>
      <c r="D1126" s="13">
        <v>0.34</v>
      </c>
      <c r="E1126" s="11">
        <v>2.6</v>
      </c>
      <c r="F1126" s="12">
        <v>9.4E-2</v>
      </c>
      <c r="G1126" s="11">
        <v>12</v>
      </c>
      <c r="H1126" s="11">
        <v>88</v>
      </c>
      <c r="I1126" s="14">
        <v>0.99795999999999996</v>
      </c>
      <c r="J1126" s="13">
        <v>3.26</v>
      </c>
      <c r="K1126" s="13">
        <v>0.66</v>
      </c>
      <c r="L1126" s="11">
        <v>10.1</v>
      </c>
      <c r="M1126" s="10">
        <v>5</v>
      </c>
    </row>
    <row r="1127" spans="1:13" x14ac:dyDescent="0.3">
      <c r="A1127" s="10">
        <v>1126</v>
      </c>
      <c r="B1127" s="11">
        <v>5</v>
      </c>
      <c r="C1127" s="12">
        <v>0.74</v>
      </c>
      <c r="D1127" s="13">
        <v>0</v>
      </c>
      <c r="E1127" s="11">
        <v>1.2</v>
      </c>
      <c r="F1127" s="12">
        <v>4.1000000000000002E-2</v>
      </c>
      <c r="G1127" s="11">
        <v>16</v>
      </c>
      <c r="H1127" s="11">
        <v>46</v>
      </c>
      <c r="I1127" s="14">
        <v>0.99258000000000002</v>
      </c>
      <c r="J1127" s="13">
        <v>4.01</v>
      </c>
      <c r="K1127" s="13">
        <v>0.59</v>
      </c>
      <c r="L1127" s="11">
        <v>12.5</v>
      </c>
      <c r="M1127" s="10">
        <v>6</v>
      </c>
    </row>
    <row r="1128" spans="1:13" x14ac:dyDescent="0.3">
      <c r="A1128" s="10">
        <v>1127</v>
      </c>
      <c r="B1128" s="11">
        <v>9.1</v>
      </c>
      <c r="C1128" s="12">
        <v>0.34</v>
      </c>
      <c r="D1128" s="13">
        <v>0.42</v>
      </c>
      <c r="E1128" s="11">
        <v>1.8</v>
      </c>
      <c r="F1128" s="12">
        <v>5.8000000000000003E-2</v>
      </c>
      <c r="G1128" s="11">
        <v>9</v>
      </c>
      <c r="H1128" s="11">
        <v>18</v>
      </c>
      <c r="I1128" s="14">
        <v>0.99392000000000003</v>
      </c>
      <c r="J1128" s="13">
        <v>3.18</v>
      </c>
      <c r="K1128" s="13">
        <v>0.55000000000000004</v>
      </c>
      <c r="L1128" s="11">
        <v>11.4</v>
      </c>
      <c r="M1128" s="10">
        <v>5</v>
      </c>
    </row>
    <row r="1129" spans="1:13" x14ac:dyDescent="0.3">
      <c r="A1129" s="10">
        <v>1128</v>
      </c>
      <c r="B1129" s="11">
        <v>9.1</v>
      </c>
      <c r="C1129" s="12">
        <v>0.36</v>
      </c>
      <c r="D1129" s="13">
        <v>0.39</v>
      </c>
      <c r="E1129" s="11">
        <v>1.8</v>
      </c>
      <c r="F1129" s="12">
        <v>0.06</v>
      </c>
      <c r="G1129" s="11">
        <v>21</v>
      </c>
      <c r="H1129" s="11">
        <v>55</v>
      </c>
      <c r="I1129" s="14">
        <v>0.99495</v>
      </c>
      <c r="J1129" s="13">
        <v>3.18</v>
      </c>
      <c r="K1129" s="13">
        <v>0.82</v>
      </c>
      <c r="L1129" s="11">
        <v>11</v>
      </c>
      <c r="M1129" s="10">
        <v>7</v>
      </c>
    </row>
    <row r="1130" spans="1:13" x14ac:dyDescent="0.3">
      <c r="A1130" s="10">
        <v>1129</v>
      </c>
      <c r="B1130" s="11">
        <v>6.7</v>
      </c>
      <c r="C1130" s="12">
        <v>0.46</v>
      </c>
      <c r="D1130" s="13">
        <v>0.24</v>
      </c>
      <c r="E1130" s="11">
        <v>1.7</v>
      </c>
      <c r="F1130" s="12">
        <v>7.6999999999999999E-2</v>
      </c>
      <c r="G1130" s="11">
        <v>18</v>
      </c>
      <c r="H1130" s="11">
        <v>34</v>
      </c>
      <c r="I1130" s="14">
        <v>0.99480000000000002</v>
      </c>
      <c r="J1130" s="13">
        <v>3.39</v>
      </c>
      <c r="K1130" s="13">
        <v>0.6</v>
      </c>
      <c r="L1130" s="11">
        <v>10.6</v>
      </c>
      <c r="M1130" s="10">
        <v>6</v>
      </c>
    </row>
    <row r="1131" spans="1:13" x14ac:dyDescent="0.3">
      <c r="A1131" s="10">
        <v>1130</v>
      </c>
      <c r="B1131" s="11">
        <v>6.5</v>
      </c>
      <c r="C1131" s="12">
        <v>0.52</v>
      </c>
      <c r="D1131" s="13">
        <v>0.11</v>
      </c>
      <c r="E1131" s="11">
        <v>1.8</v>
      </c>
      <c r="F1131" s="12">
        <v>7.2999999999999995E-2</v>
      </c>
      <c r="G1131" s="11">
        <v>13</v>
      </c>
      <c r="H1131" s="11">
        <v>38</v>
      </c>
      <c r="I1131" s="14">
        <v>0.99550000000000005</v>
      </c>
      <c r="J1131" s="13">
        <v>3.34</v>
      </c>
      <c r="K1131" s="13">
        <v>0.52</v>
      </c>
      <c r="L1131" s="11">
        <v>9.3000000000000007</v>
      </c>
      <c r="M1131" s="10">
        <v>5</v>
      </c>
    </row>
    <row r="1132" spans="1:13" x14ac:dyDescent="0.3">
      <c r="A1132" s="10">
        <v>1131</v>
      </c>
      <c r="B1132" s="11">
        <v>7.4</v>
      </c>
      <c r="C1132" s="12">
        <v>0.6</v>
      </c>
      <c r="D1132" s="13">
        <v>0.26</v>
      </c>
      <c r="E1132" s="11">
        <v>2.1</v>
      </c>
      <c r="F1132" s="12">
        <v>8.3000000000000004E-2</v>
      </c>
      <c r="G1132" s="11">
        <v>17</v>
      </c>
      <c r="H1132" s="11">
        <v>91</v>
      </c>
      <c r="I1132" s="14">
        <v>0.99616000000000005</v>
      </c>
      <c r="J1132" s="13">
        <v>3.29</v>
      </c>
      <c r="K1132" s="13">
        <v>0.56000000000000005</v>
      </c>
      <c r="L1132" s="11">
        <v>9.8000000000000007</v>
      </c>
      <c r="M1132" s="10">
        <v>6</v>
      </c>
    </row>
    <row r="1133" spans="1:13" x14ac:dyDescent="0.3">
      <c r="A1133" s="10">
        <v>1132</v>
      </c>
      <c r="B1133" s="11">
        <v>7.8</v>
      </c>
      <c r="C1133" s="12">
        <v>0.87</v>
      </c>
      <c r="D1133" s="13">
        <v>0.26</v>
      </c>
      <c r="E1133" s="11">
        <v>3.8</v>
      </c>
      <c r="F1133" s="12">
        <v>0.107</v>
      </c>
      <c r="G1133" s="11">
        <v>31</v>
      </c>
      <c r="H1133" s="11">
        <v>67</v>
      </c>
      <c r="I1133" s="14">
        <v>0.99668000000000001</v>
      </c>
      <c r="J1133" s="13">
        <v>3.26</v>
      </c>
      <c r="K1133" s="13">
        <v>0.46</v>
      </c>
      <c r="L1133" s="11">
        <v>9.1999999999999993</v>
      </c>
      <c r="M1133" s="10">
        <v>5</v>
      </c>
    </row>
    <row r="1134" spans="1:13" x14ac:dyDescent="0.3">
      <c r="A1134" s="10">
        <v>1133</v>
      </c>
      <c r="B1134" s="11">
        <v>8.4</v>
      </c>
      <c r="C1134" s="12">
        <v>0.39</v>
      </c>
      <c r="D1134" s="13">
        <v>0.1</v>
      </c>
      <c r="E1134" s="11">
        <v>1.7</v>
      </c>
      <c r="F1134" s="12">
        <v>7.4999999999999997E-2</v>
      </c>
      <c r="G1134" s="11">
        <v>6</v>
      </c>
      <c r="H1134" s="11">
        <v>25</v>
      </c>
      <c r="I1134" s="14">
        <v>0.99580999999999997</v>
      </c>
      <c r="J1134" s="13">
        <v>3.09</v>
      </c>
      <c r="K1134" s="13">
        <v>0.43</v>
      </c>
      <c r="L1134" s="11">
        <v>9.6999999999999993</v>
      </c>
      <c r="M1134" s="10">
        <v>6</v>
      </c>
    </row>
    <row r="1135" spans="1:13" x14ac:dyDescent="0.3">
      <c r="A1135" s="10">
        <v>1134</v>
      </c>
      <c r="B1135" s="11">
        <v>9.1</v>
      </c>
      <c r="C1135" s="12">
        <v>0.77500000000000002</v>
      </c>
      <c r="D1135" s="13">
        <v>0.22</v>
      </c>
      <c r="E1135" s="11">
        <v>2.2000000000000002</v>
      </c>
      <c r="F1135" s="12">
        <v>7.9000000000000001E-2</v>
      </c>
      <c r="G1135" s="11">
        <v>12</v>
      </c>
      <c r="H1135" s="11">
        <v>48</v>
      </c>
      <c r="I1135" s="14">
        <v>0.99760000000000004</v>
      </c>
      <c r="J1135" s="13">
        <v>3.18</v>
      </c>
      <c r="K1135" s="13">
        <v>0.51</v>
      </c>
      <c r="L1135" s="11">
        <v>9.6</v>
      </c>
      <c r="M1135" s="10">
        <v>5</v>
      </c>
    </row>
    <row r="1136" spans="1:13" x14ac:dyDescent="0.3">
      <c r="A1136" s="10">
        <v>1135</v>
      </c>
      <c r="B1136" s="11">
        <v>7.2</v>
      </c>
      <c r="C1136" s="12">
        <v>0.83499999999999996</v>
      </c>
      <c r="D1136" s="13">
        <v>0</v>
      </c>
      <c r="E1136" s="11">
        <v>2</v>
      </c>
      <c r="F1136" s="12">
        <v>0.16600000000000001</v>
      </c>
      <c r="G1136" s="11">
        <v>4</v>
      </c>
      <c r="H1136" s="11">
        <v>11</v>
      </c>
      <c r="I1136" s="14">
        <v>0.99607999999999997</v>
      </c>
      <c r="J1136" s="13">
        <v>3.39</v>
      </c>
      <c r="K1136" s="13">
        <v>0.52</v>
      </c>
      <c r="L1136" s="11">
        <v>10</v>
      </c>
      <c r="M1136" s="10">
        <v>5</v>
      </c>
    </row>
    <row r="1137" spans="1:13" x14ac:dyDescent="0.3">
      <c r="A1137" s="10">
        <v>1136</v>
      </c>
      <c r="B1137" s="11">
        <v>6.6</v>
      </c>
      <c r="C1137" s="12">
        <v>0.57999999999999996</v>
      </c>
      <c r="D1137" s="13">
        <v>0.02</v>
      </c>
      <c r="E1137" s="11">
        <v>2.4</v>
      </c>
      <c r="F1137" s="12">
        <v>6.9000000000000006E-2</v>
      </c>
      <c r="G1137" s="11">
        <v>19</v>
      </c>
      <c r="H1137" s="11">
        <v>40</v>
      </c>
      <c r="I1137" s="14">
        <v>0.99387000000000003</v>
      </c>
      <c r="J1137" s="13">
        <v>3.38</v>
      </c>
      <c r="K1137" s="13">
        <v>0.66</v>
      </c>
      <c r="L1137" s="11">
        <v>12.6</v>
      </c>
      <c r="M1137" s="10">
        <v>6</v>
      </c>
    </row>
    <row r="1138" spans="1:13" x14ac:dyDescent="0.3">
      <c r="A1138" s="10">
        <v>1137</v>
      </c>
      <c r="B1138" s="11">
        <v>6</v>
      </c>
      <c r="C1138" s="12">
        <v>0.5</v>
      </c>
      <c r="D1138" s="13">
        <v>0</v>
      </c>
      <c r="E1138" s="11">
        <v>1.4</v>
      </c>
      <c r="F1138" s="12">
        <v>5.7000000000000002E-2</v>
      </c>
      <c r="G1138" s="11">
        <v>15</v>
      </c>
      <c r="H1138" s="11">
        <v>26</v>
      </c>
      <c r="I1138" s="14">
        <v>0.99448000000000003</v>
      </c>
      <c r="J1138" s="13">
        <v>3.36</v>
      </c>
      <c r="K1138" s="13">
        <v>0.45</v>
      </c>
      <c r="L1138" s="11">
        <v>9.5</v>
      </c>
      <c r="M1138" s="10">
        <v>5</v>
      </c>
    </row>
    <row r="1139" spans="1:13" x14ac:dyDescent="0.3">
      <c r="A1139" s="10">
        <v>1138</v>
      </c>
      <c r="B1139" s="11">
        <v>7.5</v>
      </c>
      <c r="C1139" s="12">
        <v>0.51</v>
      </c>
      <c r="D1139" s="13">
        <v>0.02</v>
      </c>
      <c r="E1139" s="11">
        <v>1.7</v>
      </c>
      <c r="F1139" s="12">
        <v>8.4000000000000005E-2</v>
      </c>
      <c r="G1139" s="11">
        <v>13</v>
      </c>
      <c r="H1139" s="11">
        <v>31</v>
      </c>
      <c r="I1139" s="14">
        <v>0.99538000000000004</v>
      </c>
      <c r="J1139" s="13">
        <v>3.36</v>
      </c>
      <c r="K1139" s="13">
        <v>0.54</v>
      </c>
      <c r="L1139" s="11">
        <v>10.5</v>
      </c>
      <c r="M1139" s="10">
        <v>6</v>
      </c>
    </row>
    <row r="1140" spans="1:13" x14ac:dyDescent="0.3">
      <c r="A1140" s="10">
        <v>1139</v>
      </c>
      <c r="B1140" s="11">
        <v>7.6</v>
      </c>
      <c r="C1140" s="12">
        <v>0.54</v>
      </c>
      <c r="D1140" s="13">
        <v>0.02</v>
      </c>
      <c r="E1140" s="11">
        <v>1.7</v>
      </c>
      <c r="F1140" s="12">
        <v>8.5000000000000006E-2</v>
      </c>
      <c r="G1140" s="11">
        <v>17</v>
      </c>
      <c r="H1140" s="11">
        <v>31</v>
      </c>
      <c r="I1140" s="14">
        <v>0.99589000000000005</v>
      </c>
      <c r="J1140" s="13">
        <v>3.37</v>
      </c>
      <c r="K1140" s="13">
        <v>0.51</v>
      </c>
      <c r="L1140" s="11">
        <v>10.4</v>
      </c>
      <c r="M1140" s="10">
        <v>6</v>
      </c>
    </row>
    <row r="1141" spans="1:13" x14ac:dyDescent="0.3">
      <c r="A1141" s="10">
        <v>1140</v>
      </c>
      <c r="B1141" s="11">
        <v>11.5</v>
      </c>
      <c r="C1141" s="12">
        <v>0.42</v>
      </c>
      <c r="D1141" s="13">
        <v>0.48</v>
      </c>
      <c r="E1141" s="11">
        <v>2.6</v>
      </c>
      <c r="F1141" s="12">
        <v>7.6999999999999999E-2</v>
      </c>
      <c r="G1141" s="11">
        <v>8</v>
      </c>
      <c r="H1141" s="11">
        <v>20</v>
      </c>
      <c r="I1141" s="14">
        <v>0.99851999999999996</v>
      </c>
      <c r="J1141" s="13">
        <v>3.09</v>
      </c>
      <c r="K1141" s="13">
        <v>0.53</v>
      </c>
      <c r="L1141" s="11">
        <v>11</v>
      </c>
      <c r="M1141" s="10">
        <v>5</v>
      </c>
    </row>
    <row r="1142" spans="1:13" x14ac:dyDescent="0.3">
      <c r="A1142" s="10">
        <v>1141</v>
      </c>
      <c r="B1142" s="11">
        <v>8.1999999999999993</v>
      </c>
      <c r="C1142" s="12">
        <v>0.44</v>
      </c>
      <c r="D1142" s="13">
        <v>0.24</v>
      </c>
      <c r="E1142" s="11">
        <v>2.2999999999999998</v>
      </c>
      <c r="F1142" s="12">
        <v>6.3E-2</v>
      </c>
      <c r="G1142" s="11">
        <v>10</v>
      </c>
      <c r="H1142" s="11">
        <v>28</v>
      </c>
      <c r="I1142" s="14">
        <v>0.99612999999999996</v>
      </c>
      <c r="J1142" s="13">
        <v>3.25</v>
      </c>
      <c r="K1142" s="13">
        <v>0.53</v>
      </c>
      <c r="L1142" s="11">
        <v>10.199999999999999</v>
      </c>
      <c r="M1142" s="10">
        <v>6</v>
      </c>
    </row>
    <row r="1143" spans="1:13" x14ac:dyDescent="0.3">
      <c r="A1143" s="10">
        <v>1142</v>
      </c>
      <c r="B1143" s="11">
        <v>6.1</v>
      </c>
      <c r="C1143" s="12">
        <v>0.59</v>
      </c>
      <c r="D1143" s="13">
        <v>0.01</v>
      </c>
      <c r="E1143" s="11">
        <v>2.1</v>
      </c>
      <c r="F1143" s="12">
        <v>5.6000000000000001E-2</v>
      </c>
      <c r="G1143" s="11">
        <v>5</v>
      </c>
      <c r="H1143" s="11">
        <v>13</v>
      </c>
      <c r="I1143" s="14">
        <v>0.99472000000000005</v>
      </c>
      <c r="J1143" s="13">
        <v>3.52</v>
      </c>
      <c r="K1143" s="13">
        <v>0.56000000000000005</v>
      </c>
      <c r="L1143" s="11">
        <v>11.4</v>
      </c>
      <c r="M1143" s="10">
        <v>5</v>
      </c>
    </row>
    <row r="1144" spans="1:13" x14ac:dyDescent="0.3">
      <c r="A1144" s="10">
        <v>1143</v>
      </c>
      <c r="B1144" s="11">
        <v>7.2</v>
      </c>
      <c r="C1144" s="12">
        <v>0.65500000000000003</v>
      </c>
      <c r="D1144" s="13">
        <v>0.03</v>
      </c>
      <c r="E1144" s="11">
        <v>1.8</v>
      </c>
      <c r="F1144" s="12">
        <v>7.8E-2</v>
      </c>
      <c r="G1144" s="11">
        <v>7</v>
      </c>
      <c r="H1144" s="11">
        <v>12</v>
      </c>
      <c r="I1144" s="14">
        <v>0.99587000000000003</v>
      </c>
      <c r="J1144" s="13">
        <v>3.34</v>
      </c>
      <c r="K1144" s="13">
        <v>0.39</v>
      </c>
      <c r="L1144" s="11">
        <v>9.5</v>
      </c>
      <c r="M1144" s="10">
        <v>5</v>
      </c>
    </row>
    <row r="1145" spans="1:13" x14ac:dyDescent="0.3">
      <c r="A1145" s="10">
        <v>1144</v>
      </c>
      <c r="B1145" s="11">
        <v>6.9</v>
      </c>
      <c r="C1145" s="12">
        <v>0.56999999999999995</v>
      </c>
      <c r="D1145" s="13">
        <v>0</v>
      </c>
      <c r="E1145" s="11">
        <v>2.8</v>
      </c>
      <c r="F1145" s="12">
        <v>8.1000000000000003E-2</v>
      </c>
      <c r="G1145" s="11">
        <v>21</v>
      </c>
      <c r="H1145" s="11">
        <v>41</v>
      </c>
      <c r="I1145" s="14">
        <v>0.99517999999999995</v>
      </c>
      <c r="J1145" s="13">
        <v>3.41</v>
      </c>
      <c r="K1145" s="13">
        <v>0.52</v>
      </c>
      <c r="L1145" s="11">
        <v>10.8</v>
      </c>
      <c r="M1145" s="10">
        <v>5</v>
      </c>
    </row>
    <row r="1146" spans="1:13" x14ac:dyDescent="0.3">
      <c r="A1146" s="10">
        <v>1145</v>
      </c>
      <c r="B1146" s="11">
        <v>9</v>
      </c>
      <c r="C1146" s="12">
        <v>0.6</v>
      </c>
      <c r="D1146" s="13">
        <v>0.28999999999999998</v>
      </c>
      <c r="E1146" s="11">
        <v>2</v>
      </c>
      <c r="F1146" s="12">
        <v>6.9000000000000006E-2</v>
      </c>
      <c r="G1146" s="11">
        <v>32</v>
      </c>
      <c r="H1146" s="11">
        <v>73</v>
      </c>
      <c r="I1146" s="14">
        <v>0.99653999999999998</v>
      </c>
      <c r="J1146" s="13">
        <v>3.34</v>
      </c>
      <c r="K1146" s="13">
        <v>0.56999999999999995</v>
      </c>
      <c r="L1146" s="11">
        <v>10</v>
      </c>
      <c r="M1146" s="10">
        <v>5</v>
      </c>
    </row>
    <row r="1147" spans="1:13" x14ac:dyDescent="0.3">
      <c r="A1147" s="10">
        <v>1146</v>
      </c>
      <c r="B1147" s="11">
        <v>7.2</v>
      </c>
      <c r="C1147" s="12">
        <v>0.62</v>
      </c>
      <c r="D1147" s="13">
        <v>0.01</v>
      </c>
      <c r="E1147" s="11">
        <v>2.2999999999999998</v>
      </c>
      <c r="F1147" s="12">
        <v>6.5000000000000002E-2</v>
      </c>
      <c r="G1147" s="11">
        <v>8</v>
      </c>
      <c r="H1147" s="11">
        <v>46</v>
      </c>
      <c r="I1147" s="14">
        <v>0.99331999999999998</v>
      </c>
      <c r="J1147" s="13">
        <v>3.32</v>
      </c>
      <c r="K1147" s="13">
        <v>0.51</v>
      </c>
      <c r="L1147" s="11">
        <v>11.8</v>
      </c>
      <c r="M1147" s="10">
        <v>6</v>
      </c>
    </row>
    <row r="1148" spans="1:13" x14ac:dyDescent="0.3">
      <c r="A1148" s="10">
        <v>1147</v>
      </c>
      <c r="B1148" s="11">
        <v>7.6</v>
      </c>
      <c r="C1148" s="12">
        <v>0.64500000000000002</v>
      </c>
      <c r="D1148" s="13">
        <v>0.03</v>
      </c>
      <c r="E1148" s="11">
        <v>1.9</v>
      </c>
      <c r="F1148" s="12">
        <v>8.5999999999999993E-2</v>
      </c>
      <c r="G1148" s="11">
        <v>14</v>
      </c>
      <c r="H1148" s="11">
        <v>57</v>
      </c>
      <c r="I1148" s="14">
        <v>0.99690000000000001</v>
      </c>
      <c r="J1148" s="13">
        <v>3.37</v>
      </c>
      <c r="K1148" s="13">
        <v>0.46</v>
      </c>
      <c r="L1148" s="11">
        <v>10.3</v>
      </c>
      <c r="M1148" s="10">
        <v>5</v>
      </c>
    </row>
    <row r="1149" spans="1:13" x14ac:dyDescent="0.3">
      <c r="A1149" s="10">
        <v>1148</v>
      </c>
      <c r="B1149" s="11">
        <v>7.2</v>
      </c>
      <c r="C1149" s="12">
        <v>0.57999999999999996</v>
      </c>
      <c r="D1149" s="13">
        <v>0.03</v>
      </c>
      <c r="E1149" s="11">
        <v>2.2999999999999998</v>
      </c>
      <c r="F1149" s="12">
        <v>7.6999999999999999E-2</v>
      </c>
      <c r="G1149" s="11">
        <v>7</v>
      </c>
      <c r="H1149" s="11">
        <v>28</v>
      </c>
      <c r="I1149" s="14">
        <v>0.99568000000000001</v>
      </c>
      <c r="J1149" s="13">
        <v>3.35</v>
      </c>
      <c r="K1149" s="13">
        <v>0.52</v>
      </c>
      <c r="L1149" s="11">
        <v>10</v>
      </c>
      <c r="M1149" s="10">
        <v>5</v>
      </c>
    </row>
    <row r="1150" spans="1:13" x14ac:dyDescent="0.3">
      <c r="A1150" s="10">
        <v>1149</v>
      </c>
      <c r="B1150" s="11">
        <v>6.1</v>
      </c>
      <c r="C1150" s="12">
        <v>0.32</v>
      </c>
      <c r="D1150" s="13">
        <v>0.25</v>
      </c>
      <c r="E1150" s="11">
        <v>1.8</v>
      </c>
      <c r="F1150" s="12">
        <v>8.5999999999999993E-2</v>
      </c>
      <c r="G1150" s="11">
        <v>5</v>
      </c>
      <c r="H1150" s="11">
        <v>32</v>
      </c>
      <c r="I1150" s="14">
        <v>0.99463999999999997</v>
      </c>
      <c r="J1150" s="13">
        <v>3.36</v>
      </c>
      <c r="K1150" s="13">
        <v>0.44</v>
      </c>
      <c r="L1150" s="11">
        <v>10.1</v>
      </c>
      <c r="M1150" s="10">
        <v>5</v>
      </c>
    </row>
    <row r="1151" spans="1:13" x14ac:dyDescent="0.3">
      <c r="A1151" s="10">
        <v>1150</v>
      </c>
      <c r="B1151" s="11">
        <v>6.1</v>
      </c>
      <c r="C1151" s="12">
        <v>0.34</v>
      </c>
      <c r="D1151" s="13">
        <v>0.25</v>
      </c>
      <c r="E1151" s="11">
        <v>1.8</v>
      </c>
      <c r="F1151" s="12">
        <v>8.4000000000000005E-2</v>
      </c>
      <c r="G1151" s="11">
        <v>4</v>
      </c>
      <c r="H1151" s="11">
        <v>28</v>
      </c>
      <c r="I1151" s="14">
        <v>0.99463999999999997</v>
      </c>
      <c r="J1151" s="13">
        <v>3.36</v>
      </c>
      <c r="K1151" s="13">
        <v>0.44</v>
      </c>
      <c r="L1151" s="11">
        <v>10.1</v>
      </c>
      <c r="M1151" s="10">
        <v>5</v>
      </c>
    </row>
    <row r="1152" spans="1:13" x14ac:dyDescent="0.3">
      <c r="A1152" s="10">
        <v>1151</v>
      </c>
      <c r="B1152" s="11">
        <v>7.3</v>
      </c>
      <c r="C1152" s="12">
        <v>0.43</v>
      </c>
      <c r="D1152" s="13">
        <v>0.24</v>
      </c>
      <c r="E1152" s="11">
        <v>2.5</v>
      </c>
      <c r="F1152" s="12">
        <v>7.8E-2</v>
      </c>
      <c r="G1152" s="11">
        <v>27</v>
      </c>
      <c r="H1152" s="11">
        <v>67</v>
      </c>
      <c r="I1152" s="14">
        <v>0.99648000000000003</v>
      </c>
      <c r="J1152" s="13">
        <v>3.6</v>
      </c>
      <c r="K1152" s="13">
        <v>0.59</v>
      </c>
      <c r="L1152" s="11">
        <v>11.1</v>
      </c>
      <c r="M1152" s="10">
        <v>6</v>
      </c>
    </row>
    <row r="1153" spans="1:13" x14ac:dyDescent="0.3">
      <c r="A1153" s="10">
        <v>1152</v>
      </c>
      <c r="B1153" s="11">
        <v>7.4</v>
      </c>
      <c r="C1153" s="12">
        <v>0.64</v>
      </c>
      <c r="D1153" s="13">
        <v>0.17</v>
      </c>
      <c r="E1153" s="11">
        <v>5.4</v>
      </c>
      <c r="F1153" s="12">
        <v>0.16800000000000001</v>
      </c>
      <c r="G1153" s="11">
        <v>52</v>
      </c>
      <c r="H1153" s="11">
        <v>98</v>
      </c>
      <c r="I1153" s="14">
        <v>0.99736000000000002</v>
      </c>
      <c r="J1153" s="13">
        <v>3.28</v>
      </c>
      <c r="K1153" s="13">
        <v>0.5</v>
      </c>
      <c r="L1153" s="11">
        <v>9.5</v>
      </c>
      <c r="M1153" s="10">
        <v>5</v>
      </c>
    </row>
    <row r="1154" spans="1:13" x14ac:dyDescent="0.3">
      <c r="A1154" s="10">
        <v>1153</v>
      </c>
      <c r="B1154" s="11">
        <v>11.6</v>
      </c>
      <c r="C1154" s="12">
        <v>0.47499999999999998</v>
      </c>
      <c r="D1154" s="13">
        <v>0.4</v>
      </c>
      <c r="E1154" s="11">
        <v>1.4</v>
      </c>
      <c r="F1154" s="12">
        <v>9.0999999999999998E-2</v>
      </c>
      <c r="G1154" s="11">
        <v>6</v>
      </c>
      <c r="H1154" s="11">
        <v>28</v>
      </c>
      <c r="I1154" s="14">
        <v>0.99704000000000004</v>
      </c>
      <c r="J1154" s="13">
        <v>3.07</v>
      </c>
      <c r="K1154" s="13">
        <v>0.65</v>
      </c>
      <c r="L1154" s="11">
        <v>10.033333333333299</v>
      </c>
      <c r="M1154" s="10">
        <v>6</v>
      </c>
    </row>
    <row r="1155" spans="1:13" x14ac:dyDescent="0.3">
      <c r="A1155" s="10">
        <v>1154</v>
      </c>
      <c r="B1155" s="11">
        <v>9.1999999999999993</v>
      </c>
      <c r="C1155" s="12">
        <v>0.54</v>
      </c>
      <c r="D1155" s="13">
        <v>0.31</v>
      </c>
      <c r="E1155" s="11">
        <v>2.2999999999999998</v>
      </c>
      <c r="F1155" s="12">
        <v>0.112</v>
      </c>
      <c r="G1155" s="11">
        <v>11</v>
      </c>
      <c r="H1155" s="11">
        <v>38</v>
      </c>
      <c r="I1155" s="14">
        <v>0.99699000000000004</v>
      </c>
      <c r="J1155" s="13">
        <v>3.24</v>
      </c>
      <c r="K1155" s="13">
        <v>0.56000000000000005</v>
      </c>
      <c r="L1155" s="11">
        <v>10.9</v>
      </c>
      <c r="M1155" s="10">
        <v>5</v>
      </c>
    </row>
    <row r="1156" spans="1:13" x14ac:dyDescent="0.3">
      <c r="A1156" s="10">
        <v>1155</v>
      </c>
      <c r="B1156" s="11">
        <v>8.3000000000000007</v>
      </c>
      <c r="C1156" s="12">
        <v>0.85</v>
      </c>
      <c r="D1156" s="13">
        <v>0.14000000000000001</v>
      </c>
      <c r="E1156" s="11">
        <v>2.5</v>
      </c>
      <c r="F1156" s="12">
        <v>9.2999999999999999E-2</v>
      </c>
      <c r="G1156" s="11">
        <v>13</v>
      </c>
      <c r="H1156" s="11">
        <v>54</v>
      </c>
      <c r="I1156" s="14">
        <v>0.99724000000000002</v>
      </c>
      <c r="J1156" s="13">
        <v>3.36</v>
      </c>
      <c r="K1156" s="13">
        <v>0.54</v>
      </c>
      <c r="L1156" s="11">
        <v>10.1</v>
      </c>
      <c r="M1156" s="10">
        <v>5</v>
      </c>
    </row>
    <row r="1157" spans="1:13" x14ac:dyDescent="0.3">
      <c r="A1157" s="10">
        <v>1156</v>
      </c>
      <c r="B1157" s="11">
        <v>8</v>
      </c>
      <c r="C1157" s="12">
        <v>0.83</v>
      </c>
      <c r="D1157" s="13">
        <v>0.27</v>
      </c>
      <c r="E1157" s="11">
        <v>2</v>
      </c>
      <c r="F1157" s="12">
        <v>0.08</v>
      </c>
      <c r="G1157" s="11">
        <v>11</v>
      </c>
      <c r="H1157" s="11">
        <v>63</v>
      </c>
      <c r="I1157" s="14">
        <v>0.99651999999999996</v>
      </c>
      <c r="J1157" s="13">
        <v>3.29</v>
      </c>
      <c r="K1157" s="13">
        <v>0.48</v>
      </c>
      <c r="L1157" s="11">
        <v>9.8000000000000007</v>
      </c>
      <c r="M1157" s="10">
        <v>4</v>
      </c>
    </row>
    <row r="1158" spans="1:13" x14ac:dyDescent="0.3">
      <c r="A1158" s="10">
        <v>1157</v>
      </c>
      <c r="B1158" s="11">
        <v>7.2</v>
      </c>
      <c r="C1158" s="12">
        <v>0.60499999999999998</v>
      </c>
      <c r="D1158" s="13">
        <v>0.02</v>
      </c>
      <c r="E1158" s="11">
        <v>1.9</v>
      </c>
      <c r="F1158" s="12">
        <v>9.6000000000000002E-2</v>
      </c>
      <c r="G1158" s="11">
        <v>10</v>
      </c>
      <c r="H1158" s="11">
        <v>31</v>
      </c>
      <c r="I1158" s="14">
        <v>0.995</v>
      </c>
      <c r="J1158" s="13">
        <v>3.46</v>
      </c>
      <c r="K1158" s="13">
        <v>0.53</v>
      </c>
      <c r="L1158" s="11">
        <v>11.8</v>
      </c>
      <c r="M1158" s="10">
        <v>6</v>
      </c>
    </row>
    <row r="1159" spans="1:13" x14ac:dyDescent="0.3">
      <c r="A1159" s="10">
        <v>1158</v>
      </c>
      <c r="B1159" s="11">
        <v>7.8</v>
      </c>
      <c r="C1159" s="12">
        <v>0.5</v>
      </c>
      <c r="D1159" s="13">
        <v>0.09</v>
      </c>
      <c r="E1159" s="11">
        <v>2.2000000000000002</v>
      </c>
      <c r="F1159" s="12">
        <v>0.115</v>
      </c>
      <c r="G1159" s="11">
        <v>10</v>
      </c>
      <c r="H1159" s="11">
        <v>42</v>
      </c>
      <c r="I1159" s="14">
        <v>0.99709999999999999</v>
      </c>
      <c r="J1159" s="13">
        <v>3.18</v>
      </c>
      <c r="K1159" s="13">
        <v>0.62</v>
      </c>
      <c r="L1159" s="11">
        <v>9.5</v>
      </c>
      <c r="M1159" s="10">
        <v>5</v>
      </c>
    </row>
    <row r="1160" spans="1:13" x14ac:dyDescent="0.3">
      <c r="A1160" s="10">
        <v>1159</v>
      </c>
      <c r="B1160" s="11">
        <v>7.3</v>
      </c>
      <c r="C1160" s="12">
        <v>0.74</v>
      </c>
      <c r="D1160" s="13">
        <v>0.08</v>
      </c>
      <c r="E1160" s="11">
        <v>1.7</v>
      </c>
      <c r="F1160" s="12">
        <v>9.4E-2</v>
      </c>
      <c r="G1160" s="11">
        <v>10</v>
      </c>
      <c r="H1160" s="11">
        <v>45</v>
      </c>
      <c r="I1160" s="14">
        <v>0.99575999999999998</v>
      </c>
      <c r="J1160" s="13">
        <v>3.24</v>
      </c>
      <c r="K1160" s="13">
        <v>0.5</v>
      </c>
      <c r="L1160" s="11">
        <v>9.8000000000000007</v>
      </c>
      <c r="M1160" s="10">
        <v>5</v>
      </c>
    </row>
    <row r="1161" spans="1:13" x14ac:dyDescent="0.3">
      <c r="A1161" s="10">
        <v>1160</v>
      </c>
      <c r="B1161" s="11">
        <v>6.9</v>
      </c>
      <c r="C1161" s="12">
        <v>0.54</v>
      </c>
      <c r="D1161" s="13">
        <v>0.3</v>
      </c>
      <c r="E1161" s="11">
        <v>2.2000000000000002</v>
      </c>
      <c r="F1161" s="12">
        <v>8.7999999999999995E-2</v>
      </c>
      <c r="G1161" s="11">
        <v>9</v>
      </c>
      <c r="H1161" s="11">
        <v>105</v>
      </c>
      <c r="I1161" s="14">
        <v>0.99724999999999997</v>
      </c>
      <c r="J1161" s="13">
        <v>3.25</v>
      </c>
      <c r="K1161" s="13">
        <v>1.18</v>
      </c>
      <c r="L1161" s="11">
        <v>10.5</v>
      </c>
      <c r="M1161" s="10">
        <v>6</v>
      </c>
    </row>
    <row r="1162" spans="1:13" x14ac:dyDescent="0.3">
      <c r="A1162" s="10">
        <v>1161</v>
      </c>
      <c r="B1162" s="11">
        <v>8</v>
      </c>
      <c r="C1162" s="12">
        <v>0.77</v>
      </c>
      <c r="D1162" s="13">
        <v>0.32</v>
      </c>
      <c r="E1162" s="11">
        <v>2.1</v>
      </c>
      <c r="F1162" s="12">
        <v>7.9000000000000001E-2</v>
      </c>
      <c r="G1162" s="11">
        <v>16</v>
      </c>
      <c r="H1162" s="11">
        <v>74</v>
      </c>
      <c r="I1162" s="14">
        <v>0.99656</v>
      </c>
      <c r="J1162" s="13">
        <v>3.27</v>
      </c>
      <c r="K1162" s="13">
        <v>0.5</v>
      </c>
      <c r="L1162" s="11">
        <v>9.8000000000000007</v>
      </c>
      <c r="M1162" s="10">
        <v>6</v>
      </c>
    </row>
    <row r="1163" spans="1:13" x14ac:dyDescent="0.3">
      <c r="A1163" s="10">
        <v>1162</v>
      </c>
      <c r="B1163" s="11">
        <v>6.6</v>
      </c>
      <c r="C1163" s="12">
        <v>0.61</v>
      </c>
      <c r="D1163" s="13">
        <v>0</v>
      </c>
      <c r="E1163" s="11">
        <v>1.6</v>
      </c>
      <c r="F1163" s="12">
        <v>6.9000000000000006E-2</v>
      </c>
      <c r="G1163" s="11">
        <v>4</v>
      </c>
      <c r="H1163" s="11">
        <v>8</v>
      </c>
      <c r="I1163" s="14">
        <v>0.99395999999999995</v>
      </c>
      <c r="J1163" s="13">
        <v>3.33</v>
      </c>
      <c r="K1163" s="13">
        <v>0.37</v>
      </c>
      <c r="L1163" s="11">
        <v>10.4</v>
      </c>
      <c r="M1163" s="10">
        <v>4</v>
      </c>
    </row>
    <row r="1164" spans="1:13" x14ac:dyDescent="0.3">
      <c r="A1164" s="10">
        <v>1163</v>
      </c>
      <c r="B1164" s="11">
        <v>8.6999999999999993</v>
      </c>
      <c r="C1164" s="12">
        <v>0.78</v>
      </c>
      <c r="D1164" s="13">
        <v>0.51</v>
      </c>
      <c r="E1164" s="11">
        <v>1.7</v>
      </c>
      <c r="F1164" s="12">
        <v>0.41499999999999998</v>
      </c>
      <c r="G1164" s="11">
        <v>12</v>
      </c>
      <c r="H1164" s="11">
        <v>66</v>
      </c>
      <c r="I1164" s="14">
        <v>0.99622999999999995</v>
      </c>
      <c r="J1164" s="13">
        <v>3</v>
      </c>
      <c r="K1164" s="13">
        <v>1.17</v>
      </c>
      <c r="L1164" s="11">
        <v>9.1999999999999993</v>
      </c>
      <c r="M1164" s="10">
        <v>5</v>
      </c>
    </row>
    <row r="1165" spans="1:13" x14ac:dyDescent="0.3">
      <c r="A1165" s="10">
        <v>1164</v>
      </c>
      <c r="B1165" s="11">
        <v>7.5</v>
      </c>
      <c r="C1165" s="12">
        <v>0.57999999999999996</v>
      </c>
      <c r="D1165" s="13">
        <v>0.56000000000000005</v>
      </c>
      <c r="E1165" s="11">
        <v>3.1</v>
      </c>
      <c r="F1165" s="12">
        <v>0.153</v>
      </c>
      <c r="G1165" s="11">
        <v>5</v>
      </c>
      <c r="H1165" s="11">
        <v>14</v>
      </c>
      <c r="I1165" s="14">
        <v>0.99475999999999998</v>
      </c>
      <c r="J1165" s="13">
        <v>3.21</v>
      </c>
      <c r="K1165" s="13">
        <v>1.03</v>
      </c>
      <c r="L1165" s="11">
        <v>11.6</v>
      </c>
      <c r="M1165" s="10">
        <v>6</v>
      </c>
    </row>
    <row r="1166" spans="1:13" x14ac:dyDescent="0.3">
      <c r="A1166" s="10">
        <v>1165</v>
      </c>
      <c r="B1166" s="11">
        <v>7.7</v>
      </c>
      <c r="C1166" s="12">
        <v>0.75</v>
      </c>
      <c r="D1166" s="13">
        <v>0.27</v>
      </c>
      <c r="E1166" s="11">
        <v>3.8</v>
      </c>
      <c r="F1166" s="12">
        <v>0.11</v>
      </c>
      <c r="G1166" s="11">
        <v>34</v>
      </c>
      <c r="H1166" s="11">
        <v>89</v>
      </c>
      <c r="I1166" s="14">
        <v>0.99663999999999997</v>
      </c>
      <c r="J1166" s="13">
        <v>3.24</v>
      </c>
      <c r="K1166" s="13">
        <v>0.45</v>
      </c>
      <c r="L1166" s="11">
        <v>9.3000000000000007</v>
      </c>
      <c r="M1166" s="10">
        <v>5</v>
      </c>
    </row>
    <row r="1167" spans="1:13" x14ac:dyDescent="0.3">
      <c r="A1167" s="10">
        <v>1166</v>
      </c>
      <c r="B1167" s="11">
        <v>6.8</v>
      </c>
      <c r="C1167" s="12">
        <v>0.81499999999999995</v>
      </c>
      <c r="D1167" s="13">
        <v>0</v>
      </c>
      <c r="E1167" s="11">
        <v>1.2</v>
      </c>
      <c r="F1167" s="12">
        <v>0.26700000000000002</v>
      </c>
      <c r="G1167" s="11">
        <v>16</v>
      </c>
      <c r="H1167" s="11">
        <v>29</v>
      </c>
      <c r="I1167" s="14">
        <v>0.99470999999999998</v>
      </c>
      <c r="J1167" s="13">
        <v>3.32</v>
      </c>
      <c r="K1167" s="13">
        <v>0.51</v>
      </c>
      <c r="L1167" s="11">
        <v>9.8000000000000007</v>
      </c>
      <c r="M1167" s="10">
        <v>3</v>
      </c>
    </row>
    <row r="1168" spans="1:13" x14ac:dyDescent="0.3">
      <c r="A1168" s="10">
        <v>1167</v>
      </c>
      <c r="B1168" s="11">
        <v>7.2</v>
      </c>
      <c r="C1168" s="12">
        <v>0.56000000000000005</v>
      </c>
      <c r="D1168" s="13">
        <v>0.26</v>
      </c>
      <c r="E1168" s="11">
        <v>2</v>
      </c>
      <c r="F1168" s="12">
        <v>8.3000000000000004E-2</v>
      </c>
      <c r="G1168" s="11">
        <v>13</v>
      </c>
      <c r="H1168" s="11">
        <v>100</v>
      </c>
      <c r="I1168" s="14">
        <v>0.99585999999999997</v>
      </c>
      <c r="J1168" s="13">
        <v>3.26</v>
      </c>
      <c r="K1168" s="13">
        <v>0.52</v>
      </c>
      <c r="L1168" s="11">
        <v>9.9</v>
      </c>
      <c r="M1168" s="10">
        <v>5</v>
      </c>
    </row>
    <row r="1169" spans="1:13" x14ac:dyDescent="0.3">
      <c r="A1169" s="10">
        <v>1168</v>
      </c>
      <c r="B1169" s="11">
        <v>8.1999999999999993</v>
      </c>
      <c r="C1169" s="12">
        <v>0.88500000000000001</v>
      </c>
      <c r="D1169" s="13">
        <v>0.2</v>
      </c>
      <c r="E1169" s="11">
        <v>1.4</v>
      </c>
      <c r="F1169" s="12">
        <v>8.5999999999999993E-2</v>
      </c>
      <c r="G1169" s="11">
        <v>7</v>
      </c>
      <c r="H1169" s="11">
        <v>31</v>
      </c>
      <c r="I1169" s="14">
        <v>0.99460000000000004</v>
      </c>
      <c r="J1169" s="13">
        <v>3.11</v>
      </c>
      <c r="K1169" s="13">
        <v>0.46</v>
      </c>
      <c r="L1169" s="11">
        <v>10</v>
      </c>
      <c r="M1169" s="10">
        <v>5</v>
      </c>
    </row>
    <row r="1170" spans="1:13" x14ac:dyDescent="0.3">
      <c r="A1170" s="10">
        <v>1169</v>
      </c>
      <c r="B1170" s="11">
        <v>5.2</v>
      </c>
      <c r="C1170" s="12">
        <v>0.49</v>
      </c>
      <c r="D1170" s="13">
        <v>0.26</v>
      </c>
      <c r="E1170" s="11">
        <v>2.2999999999999998</v>
      </c>
      <c r="F1170" s="12">
        <v>0.09</v>
      </c>
      <c r="G1170" s="11">
        <v>23</v>
      </c>
      <c r="H1170" s="11">
        <v>74</v>
      </c>
      <c r="I1170" s="14">
        <v>0.99529999999999996</v>
      </c>
      <c r="J1170" s="13">
        <v>3.71</v>
      </c>
      <c r="K1170" s="13">
        <v>0.62</v>
      </c>
      <c r="L1170" s="11">
        <v>12.2</v>
      </c>
      <c r="M1170" s="10">
        <v>6</v>
      </c>
    </row>
    <row r="1171" spans="1:13" x14ac:dyDescent="0.3">
      <c r="A1171" s="10">
        <v>1170</v>
      </c>
      <c r="B1171" s="11">
        <v>7.2</v>
      </c>
      <c r="C1171" s="12">
        <v>0.45</v>
      </c>
      <c r="D1171" s="13">
        <v>0.15</v>
      </c>
      <c r="E1171" s="11">
        <v>2</v>
      </c>
      <c r="F1171" s="12">
        <v>7.8E-2</v>
      </c>
      <c r="G1171" s="11">
        <v>10</v>
      </c>
      <c r="H1171" s="11">
        <v>28</v>
      </c>
      <c r="I1171" s="14">
        <v>0.99609000000000003</v>
      </c>
      <c r="J1171" s="13">
        <v>3.29</v>
      </c>
      <c r="K1171" s="13">
        <v>0.51</v>
      </c>
      <c r="L1171" s="11">
        <v>9.9</v>
      </c>
      <c r="M1171" s="10">
        <v>6</v>
      </c>
    </row>
    <row r="1172" spans="1:13" x14ac:dyDescent="0.3">
      <c r="A1172" s="10">
        <v>1171</v>
      </c>
      <c r="B1172" s="11">
        <v>7.5</v>
      </c>
      <c r="C1172" s="12">
        <v>0.56999999999999995</v>
      </c>
      <c r="D1172" s="13">
        <v>0.02</v>
      </c>
      <c r="E1172" s="11">
        <v>2.6</v>
      </c>
      <c r="F1172" s="12">
        <v>7.6999999999999999E-2</v>
      </c>
      <c r="G1172" s="11">
        <v>11</v>
      </c>
      <c r="H1172" s="11">
        <v>35</v>
      </c>
      <c r="I1172" s="14">
        <v>0.99556999999999995</v>
      </c>
      <c r="J1172" s="13">
        <v>3.36</v>
      </c>
      <c r="K1172" s="13">
        <v>0.62</v>
      </c>
      <c r="L1172" s="11">
        <v>10.8</v>
      </c>
      <c r="M1172" s="10">
        <v>6</v>
      </c>
    </row>
    <row r="1173" spans="1:13" x14ac:dyDescent="0.3">
      <c r="A1173" s="10">
        <v>1172</v>
      </c>
      <c r="B1173" s="11">
        <v>6.8</v>
      </c>
      <c r="C1173" s="12">
        <v>0.83</v>
      </c>
      <c r="D1173" s="13">
        <v>0.09</v>
      </c>
      <c r="E1173" s="11">
        <v>1.8</v>
      </c>
      <c r="F1173" s="12">
        <v>7.3999999999999996E-2</v>
      </c>
      <c r="G1173" s="11">
        <v>4</v>
      </c>
      <c r="H1173" s="11">
        <v>25</v>
      </c>
      <c r="I1173" s="14">
        <v>0.99534</v>
      </c>
      <c r="J1173" s="13">
        <v>3.38</v>
      </c>
      <c r="K1173" s="13">
        <v>0.45</v>
      </c>
      <c r="L1173" s="11">
        <v>9.6</v>
      </c>
      <c r="M1173" s="10">
        <v>5</v>
      </c>
    </row>
    <row r="1174" spans="1:13" x14ac:dyDescent="0.3">
      <c r="A1174" s="10">
        <v>1173</v>
      </c>
      <c r="B1174" s="11">
        <v>8</v>
      </c>
      <c r="C1174" s="12">
        <v>0.6</v>
      </c>
      <c r="D1174" s="13">
        <v>0.22</v>
      </c>
      <c r="E1174" s="11">
        <v>2.1</v>
      </c>
      <c r="F1174" s="12">
        <v>0.08</v>
      </c>
      <c r="G1174" s="11">
        <v>25</v>
      </c>
      <c r="H1174" s="11">
        <v>105</v>
      </c>
      <c r="I1174" s="14">
        <v>0.99612999999999996</v>
      </c>
      <c r="J1174" s="13">
        <v>3.3</v>
      </c>
      <c r="K1174" s="13">
        <v>0.49</v>
      </c>
      <c r="L1174" s="11">
        <v>9.9</v>
      </c>
      <c r="M1174" s="10">
        <v>5</v>
      </c>
    </row>
    <row r="1175" spans="1:13" x14ac:dyDescent="0.3">
      <c r="A1175" s="10">
        <v>1174</v>
      </c>
      <c r="B1175" s="11">
        <v>7.1</v>
      </c>
      <c r="C1175" s="12">
        <v>0.755</v>
      </c>
      <c r="D1175" s="13">
        <v>0.15</v>
      </c>
      <c r="E1175" s="11">
        <v>1.8</v>
      </c>
      <c r="F1175" s="12">
        <v>0.107</v>
      </c>
      <c r="G1175" s="11">
        <v>20</v>
      </c>
      <c r="H1175" s="11">
        <v>84</v>
      </c>
      <c r="I1175" s="14">
        <v>0.99592999999999998</v>
      </c>
      <c r="J1175" s="13">
        <v>3.19</v>
      </c>
      <c r="K1175" s="13">
        <v>0.5</v>
      </c>
      <c r="L1175" s="11">
        <v>9.5</v>
      </c>
      <c r="M1175" s="10">
        <v>5</v>
      </c>
    </row>
    <row r="1176" spans="1:13" x14ac:dyDescent="0.3">
      <c r="A1176" s="10">
        <v>1175</v>
      </c>
      <c r="B1176" s="11">
        <v>8</v>
      </c>
      <c r="C1176" s="12">
        <v>0.81</v>
      </c>
      <c r="D1176" s="13">
        <v>0.25</v>
      </c>
      <c r="E1176" s="11">
        <v>3.4</v>
      </c>
      <c r="F1176" s="12">
        <v>7.5999999999999998E-2</v>
      </c>
      <c r="G1176" s="11">
        <v>34</v>
      </c>
      <c r="H1176" s="11">
        <v>85</v>
      </c>
      <c r="I1176" s="14">
        <v>0.99668000000000001</v>
      </c>
      <c r="J1176" s="13">
        <v>3.19</v>
      </c>
      <c r="K1176" s="13">
        <v>0.42</v>
      </c>
      <c r="L1176" s="11">
        <v>9.1999999999999993</v>
      </c>
      <c r="M1176" s="10">
        <v>5</v>
      </c>
    </row>
    <row r="1177" spans="1:13" x14ac:dyDescent="0.3">
      <c r="A1177" s="10">
        <v>1176</v>
      </c>
      <c r="B1177" s="11">
        <v>7.4</v>
      </c>
      <c r="C1177" s="12">
        <v>0.64</v>
      </c>
      <c r="D1177" s="13">
        <v>7.0000000000000007E-2</v>
      </c>
      <c r="E1177" s="11">
        <v>1.8</v>
      </c>
      <c r="F1177" s="12">
        <v>0.1</v>
      </c>
      <c r="G1177" s="11">
        <v>8</v>
      </c>
      <c r="H1177" s="11">
        <v>23</v>
      </c>
      <c r="I1177" s="14">
        <v>0.99609999999999999</v>
      </c>
      <c r="J1177" s="13">
        <v>3.3</v>
      </c>
      <c r="K1177" s="13">
        <v>0.57999999999999996</v>
      </c>
      <c r="L1177" s="11">
        <v>9.6</v>
      </c>
      <c r="M1177" s="10">
        <v>5</v>
      </c>
    </row>
    <row r="1178" spans="1:13" x14ac:dyDescent="0.3">
      <c r="A1178" s="10">
        <v>1177</v>
      </c>
      <c r="B1178" s="11">
        <v>6.6</v>
      </c>
      <c r="C1178" s="12">
        <v>0.64</v>
      </c>
      <c r="D1178" s="13">
        <v>0.31</v>
      </c>
      <c r="E1178" s="11">
        <v>6.1</v>
      </c>
      <c r="F1178" s="12">
        <v>8.3000000000000004E-2</v>
      </c>
      <c r="G1178" s="11">
        <v>7</v>
      </c>
      <c r="H1178" s="11">
        <v>49</v>
      </c>
      <c r="I1178" s="14">
        <v>0.99717999999999996</v>
      </c>
      <c r="J1178" s="13">
        <v>3.35</v>
      </c>
      <c r="K1178" s="13">
        <v>0.68</v>
      </c>
      <c r="L1178" s="11">
        <v>10.3</v>
      </c>
      <c r="M1178" s="10">
        <v>5</v>
      </c>
    </row>
    <row r="1179" spans="1:13" x14ac:dyDescent="0.3">
      <c r="A1179" s="10">
        <v>1178</v>
      </c>
      <c r="B1179" s="11">
        <v>6.7</v>
      </c>
      <c r="C1179" s="12">
        <v>0.48</v>
      </c>
      <c r="D1179" s="13">
        <v>0.02</v>
      </c>
      <c r="E1179" s="11">
        <v>2.2000000000000002</v>
      </c>
      <c r="F1179" s="12">
        <v>0.08</v>
      </c>
      <c r="G1179" s="11">
        <v>36</v>
      </c>
      <c r="H1179" s="11">
        <v>111</v>
      </c>
      <c r="I1179" s="14">
        <v>0.99524000000000001</v>
      </c>
      <c r="J1179" s="13">
        <v>3.1</v>
      </c>
      <c r="K1179" s="13">
        <v>0.53</v>
      </c>
      <c r="L1179" s="11">
        <v>9.6999999999999993</v>
      </c>
      <c r="M1179" s="10">
        <v>5</v>
      </c>
    </row>
    <row r="1180" spans="1:13" x14ac:dyDescent="0.3">
      <c r="A1180" s="10">
        <v>1179</v>
      </c>
      <c r="B1180" s="11">
        <v>6</v>
      </c>
      <c r="C1180" s="12">
        <v>0.49</v>
      </c>
      <c r="D1180" s="13">
        <v>0</v>
      </c>
      <c r="E1180" s="11">
        <v>2.2999999999999998</v>
      </c>
      <c r="F1180" s="12">
        <v>6.8000000000000005E-2</v>
      </c>
      <c r="G1180" s="11">
        <v>15</v>
      </c>
      <c r="H1180" s="11">
        <v>33</v>
      </c>
      <c r="I1180" s="14">
        <v>0.99292000000000002</v>
      </c>
      <c r="J1180" s="13">
        <v>3.58</v>
      </c>
      <c r="K1180" s="13">
        <v>0.59</v>
      </c>
      <c r="L1180" s="11">
        <v>12.5</v>
      </c>
      <c r="M1180" s="10">
        <v>6</v>
      </c>
    </row>
    <row r="1181" spans="1:13" x14ac:dyDescent="0.3">
      <c r="A1181" s="10">
        <v>1180</v>
      </c>
      <c r="B1181" s="11">
        <v>8</v>
      </c>
      <c r="C1181" s="12">
        <v>0.64</v>
      </c>
      <c r="D1181" s="13">
        <v>0.22</v>
      </c>
      <c r="E1181" s="11">
        <v>2.4</v>
      </c>
      <c r="F1181" s="12">
        <v>9.4E-2</v>
      </c>
      <c r="G1181" s="11">
        <v>5</v>
      </c>
      <c r="H1181" s="11">
        <v>33</v>
      </c>
      <c r="I1181" s="14">
        <v>0.99612000000000001</v>
      </c>
      <c r="J1181" s="13">
        <v>3.37</v>
      </c>
      <c r="K1181" s="13">
        <v>0.57999999999999996</v>
      </c>
      <c r="L1181" s="11">
        <v>11</v>
      </c>
      <c r="M1181" s="10">
        <v>5</v>
      </c>
    </row>
    <row r="1182" spans="1:13" x14ac:dyDescent="0.3">
      <c r="A1182" s="10">
        <v>1181</v>
      </c>
      <c r="B1182" s="11">
        <v>7.1</v>
      </c>
      <c r="C1182" s="12">
        <v>0.62</v>
      </c>
      <c r="D1182" s="13">
        <v>0.06</v>
      </c>
      <c r="E1182" s="11">
        <v>1.3</v>
      </c>
      <c r="F1182" s="12">
        <v>7.0000000000000007E-2</v>
      </c>
      <c r="G1182" s="11">
        <v>5</v>
      </c>
      <c r="H1182" s="11">
        <v>12</v>
      </c>
      <c r="I1182" s="14">
        <v>0.99419999999999997</v>
      </c>
      <c r="J1182" s="13">
        <v>3.17</v>
      </c>
      <c r="K1182" s="13">
        <v>0.48</v>
      </c>
      <c r="L1182" s="11">
        <v>9.8000000000000007</v>
      </c>
      <c r="M1182" s="10">
        <v>5</v>
      </c>
    </row>
    <row r="1183" spans="1:13" x14ac:dyDescent="0.3">
      <c r="A1183" s="10">
        <v>1182</v>
      </c>
      <c r="B1183" s="11">
        <v>8</v>
      </c>
      <c r="C1183" s="12">
        <v>0.52</v>
      </c>
      <c r="D1183" s="13">
        <v>0.25</v>
      </c>
      <c r="E1183" s="11">
        <v>2</v>
      </c>
      <c r="F1183" s="12">
        <v>7.8E-2</v>
      </c>
      <c r="G1183" s="11">
        <v>19</v>
      </c>
      <c r="H1183" s="11">
        <v>59</v>
      </c>
      <c r="I1183" s="14">
        <v>0.99612000000000001</v>
      </c>
      <c r="J1183" s="13">
        <v>3.3</v>
      </c>
      <c r="K1183" s="13">
        <v>0.48</v>
      </c>
      <c r="L1183" s="11">
        <v>10.199999999999999</v>
      </c>
      <c r="M1183" s="10">
        <v>5</v>
      </c>
    </row>
    <row r="1184" spans="1:13" x14ac:dyDescent="0.3">
      <c r="A1184" s="10">
        <v>1183</v>
      </c>
      <c r="B1184" s="11">
        <v>6.4</v>
      </c>
      <c r="C1184" s="12">
        <v>0.56999999999999995</v>
      </c>
      <c r="D1184" s="13">
        <v>0.14000000000000001</v>
      </c>
      <c r="E1184" s="11">
        <v>3.9</v>
      </c>
      <c r="F1184" s="12">
        <v>7.0000000000000007E-2</v>
      </c>
      <c r="G1184" s="11">
        <v>27</v>
      </c>
      <c r="H1184" s="11">
        <v>73</v>
      </c>
      <c r="I1184" s="14">
        <v>0.99668999999999996</v>
      </c>
      <c r="J1184" s="13">
        <v>3.32</v>
      </c>
      <c r="K1184" s="13">
        <v>0.48</v>
      </c>
      <c r="L1184" s="11">
        <v>9.1999999999999993</v>
      </c>
      <c r="M1184" s="10">
        <v>5</v>
      </c>
    </row>
    <row r="1185" spans="1:13" x14ac:dyDescent="0.3">
      <c r="A1185" s="10">
        <v>1184</v>
      </c>
      <c r="B1185" s="11">
        <v>8.6</v>
      </c>
      <c r="C1185" s="12">
        <v>0.68500000000000005</v>
      </c>
      <c r="D1185" s="13">
        <v>0.1</v>
      </c>
      <c r="E1185" s="11">
        <v>1.6</v>
      </c>
      <c r="F1185" s="12">
        <v>9.1999999999999998E-2</v>
      </c>
      <c r="G1185" s="11">
        <v>3</v>
      </c>
      <c r="H1185" s="11">
        <v>12</v>
      </c>
      <c r="I1185" s="14">
        <v>0.99744999999999995</v>
      </c>
      <c r="J1185" s="13">
        <v>3.31</v>
      </c>
      <c r="K1185" s="13">
        <v>0.65</v>
      </c>
      <c r="L1185" s="11">
        <v>9.5500000000000007</v>
      </c>
      <c r="M1185" s="10">
        <v>6</v>
      </c>
    </row>
    <row r="1186" spans="1:13" x14ac:dyDescent="0.3">
      <c r="A1186" s="10">
        <v>1185</v>
      </c>
      <c r="B1186" s="11">
        <v>8.6999999999999993</v>
      </c>
      <c r="C1186" s="12">
        <v>0.67500000000000004</v>
      </c>
      <c r="D1186" s="13">
        <v>0.1</v>
      </c>
      <c r="E1186" s="11">
        <v>1.6</v>
      </c>
      <c r="F1186" s="12">
        <v>0.09</v>
      </c>
      <c r="G1186" s="11">
        <v>4</v>
      </c>
      <c r="H1186" s="11">
        <v>11</v>
      </c>
      <c r="I1186" s="14">
        <v>0.99744999999999995</v>
      </c>
      <c r="J1186" s="13">
        <v>3.31</v>
      </c>
      <c r="K1186" s="13">
        <v>0.65</v>
      </c>
      <c r="L1186" s="11">
        <v>9.5500000000000007</v>
      </c>
      <c r="M1186" s="10">
        <v>5</v>
      </c>
    </row>
    <row r="1187" spans="1:13" x14ac:dyDescent="0.3">
      <c r="A1187" s="10">
        <v>1186</v>
      </c>
      <c r="B1187" s="11">
        <v>7.3</v>
      </c>
      <c r="C1187" s="12">
        <v>0.59</v>
      </c>
      <c r="D1187" s="13">
        <v>0.26</v>
      </c>
      <c r="E1187" s="11">
        <v>2</v>
      </c>
      <c r="F1187" s="12">
        <v>0.08</v>
      </c>
      <c r="G1187" s="11">
        <v>17</v>
      </c>
      <c r="H1187" s="11">
        <v>104</v>
      </c>
      <c r="I1187" s="14">
        <v>0.99583999999999995</v>
      </c>
      <c r="J1187" s="13">
        <v>3.28</v>
      </c>
      <c r="K1187" s="13">
        <v>0.52</v>
      </c>
      <c r="L1187" s="11">
        <v>9.9</v>
      </c>
      <c r="M1187" s="10">
        <v>5</v>
      </c>
    </row>
    <row r="1188" spans="1:13" x14ac:dyDescent="0.3">
      <c r="A1188" s="10">
        <v>1187</v>
      </c>
      <c r="B1188" s="11">
        <v>7</v>
      </c>
      <c r="C1188" s="12">
        <v>0.6</v>
      </c>
      <c r="D1188" s="13">
        <v>0.12</v>
      </c>
      <c r="E1188" s="11">
        <v>2.2000000000000002</v>
      </c>
      <c r="F1188" s="12">
        <v>8.3000000000000004E-2</v>
      </c>
      <c r="G1188" s="11">
        <v>13</v>
      </c>
      <c r="H1188" s="11">
        <v>28</v>
      </c>
      <c r="I1188" s="14">
        <v>0.99660000000000004</v>
      </c>
      <c r="J1188" s="13">
        <v>3.52</v>
      </c>
      <c r="K1188" s="13">
        <v>0.62</v>
      </c>
      <c r="L1188" s="11">
        <v>10.199999999999999</v>
      </c>
      <c r="M1188" s="10">
        <v>7</v>
      </c>
    </row>
    <row r="1189" spans="1:13" x14ac:dyDescent="0.3">
      <c r="A1189" s="10">
        <v>1188</v>
      </c>
      <c r="B1189" s="11">
        <v>7.2</v>
      </c>
      <c r="C1189" s="12">
        <v>0.67</v>
      </c>
      <c r="D1189" s="13">
        <v>0</v>
      </c>
      <c r="E1189" s="11">
        <v>2.2000000000000002</v>
      </c>
      <c r="F1189" s="12">
        <v>6.8000000000000005E-2</v>
      </c>
      <c r="G1189" s="11">
        <v>10</v>
      </c>
      <c r="H1189" s="11">
        <v>24</v>
      </c>
      <c r="I1189" s="14">
        <v>0.99560000000000004</v>
      </c>
      <c r="J1189" s="13">
        <v>3.42</v>
      </c>
      <c r="K1189" s="13">
        <v>0.72</v>
      </c>
      <c r="L1189" s="11">
        <v>11.1</v>
      </c>
      <c r="M1189" s="10">
        <v>6</v>
      </c>
    </row>
    <row r="1190" spans="1:13" x14ac:dyDescent="0.3">
      <c r="A1190" s="10">
        <v>1189</v>
      </c>
      <c r="B1190" s="11">
        <v>7.9</v>
      </c>
      <c r="C1190" s="12">
        <v>0.69</v>
      </c>
      <c r="D1190" s="13">
        <v>0.21</v>
      </c>
      <c r="E1190" s="11">
        <v>2.1</v>
      </c>
      <c r="F1190" s="12">
        <v>0.08</v>
      </c>
      <c r="G1190" s="11">
        <v>33</v>
      </c>
      <c r="H1190" s="11">
        <v>141</v>
      </c>
      <c r="I1190" s="14">
        <v>0.99619999999999997</v>
      </c>
      <c r="J1190" s="13">
        <v>3.25</v>
      </c>
      <c r="K1190" s="13">
        <v>0.51</v>
      </c>
      <c r="L1190" s="11">
        <v>9.9</v>
      </c>
      <c r="M1190" s="10">
        <v>5</v>
      </c>
    </row>
    <row r="1191" spans="1:13" x14ac:dyDescent="0.3">
      <c r="A1191" s="10">
        <v>1190</v>
      </c>
      <c r="B1191" s="11">
        <v>7.6</v>
      </c>
      <c r="C1191" s="12">
        <v>0.3</v>
      </c>
      <c r="D1191" s="13">
        <v>0.42</v>
      </c>
      <c r="E1191" s="11">
        <v>2</v>
      </c>
      <c r="F1191" s="12">
        <v>5.1999999999999998E-2</v>
      </c>
      <c r="G1191" s="11">
        <v>6</v>
      </c>
      <c r="H1191" s="11">
        <v>24</v>
      </c>
      <c r="I1191" s="14">
        <v>0.99629999999999996</v>
      </c>
      <c r="J1191" s="13">
        <v>3.44</v>
      </c>
      <c r="K1191" s="13">
        <v>0.82</v>
      </c>
      <c r="L1191" s="11">
        <v>11.9</v>
      </c>
      <c r="M1191" s="10">
        <v>6</v>
      </c>
    </row>
    <row r="1192" spans="1:13" x14ac:dyDescent="0.3">
      <c r="A1192" s="10">
        <v>1191</v>
      </c>
      <c r="B1192" s="11">
        <v>7.2</v>
      </c>
      <c r="C1192" s="12">
        <v>0.33</v>
      </c>
      <c r="D1192" s="13">
        <v>0.33</v>
      </c>
      <c r="E1192" s="11">
        <v>1.7</v>
      </c>
      <c r="F1192" s="12">
        <v>6.0999999999999999E-2</v>
      </c>
      <c r="G1192" s="11">
        <v>3</v>
      </c>
      <c r="H1192" s="11">
        <v>13</v>
      </c>
      <c r="I1192" s="14">
        <v>0.996</v>
      </c>
      <c r="J1192" s="13">
        <v>3.23</v>
      </c>
      <c r="K1192" s="13">
        <v>1.1000000000000001</v>
      </c>
      <c r="L1192" s="11">
        <v>10</v>
      </c>
      <c r="M1192" s="10">
        <v>8</v>
      </c>
    </row>
    <row r="1193" spans="1:13" x14ac:dyDescent="0.3">
      <c r="A1193" s="10">
        <v>1192</v>
      </c>
      <c r="B1193" s="11">
        <v>8</v>
      </c>
      <c r="C1193" s="12">
        <v>0.5</v>
      </c>
      <c r="D1193" s="13">
        <v>0.39</v>
      </c>
      <c r="E1193" s="11">
        <v>2.6</v>
      </c>
      <c r="F1193" s="12">
        <v>8.2000000000000003E-2</v>
      </c>
      <c r="G1193" s="11">
        <v>12</v>
      </c>
      <c r="H1193" s="11">
        <v>46</v>
      </c>
      <c r="I1193" s="14">
        <v>0.99850000000000005</v>
      </c>
      <c r="J1193" s="13">
        <v>3.43</v>
      </c>
      <c r="K1193" s="13">
        <v>0.62</v>
      </c>
      <c r="L1193" s="11">
        <v>10.7</v>
      </c>
      <c r="M1193" s="10">
        <v>6</v>
      </c>
    </row>
    <row r="1194" spans="1:13" x14ac:dyDescent="0.3">
      <c r="A1194" s="10">
        <v>1193</v>
      </c>
      <c r="B1194" s="11">
        <v>7.7</v>
      </c>
      <c r="C1194" s="12">
        <v>0.28000000000000003</v>
      </c>
      <c r="D1194" s="13">
        <v>0.3</v>
      </c>
      <c r="E1194" s="11">
        <v>2</v>
      </c>
      <c r="F1194" s="12">
        <v>6.2E-2</v>
      </c>
      <c r="G1194" s="11">
        <v>18</v>
      </c>
      <c r="H1194" s="11">
        <v>34</v>
      </c>
      <c r="I1194" s="14">
        <v>0.99519999999999997</v>
      </c>
      <c r="J1194" s="13">
        <v>3.28</v>
      </c>
      <c r="K1194" s="13">
        <v>0.9</v>
      </c>
      <c r="L1194" s="11">
        <v>11.3</v>
      </c>
      <c r="M1194" s="10">
        <v>7</v>
      </c>
    </row>
    <row r="1195" spans="1:13" x14ac:dyDescent="0.3">
      <c r="A1195" s="10">
        <v>1194</v>
      </c>
      <c r="B1195" s="11">
        <v>8.1999999999999993</v>
      </c>
      <c r="C1195" s="12">
        <v>0.24</v>
      </c>
      <c r="D1195" s="13">
        <v>0.34</v>
      </c>
      <c r="E1195" s="11">
        <v>5.0999999999999996</v>
      </c>
      <c r="F1195" s="12">
        <v>6.2E-2</v>
      </c>
      <c r="G1195" s="11">
        <v>8</v>
      </c>
      <c r="H1195" s="11">
        <v>22</v>
      </c>
      <c r="I1195" s="14">
        <v>0.99739999999999995</v>
      </c>
      <c r="J1195" s="13">
        <v>3.22</v>
      </c>
      <c r="K1195" s="13">
        <v>0.94</v>
      </c>
      <c r="L1195" s="11">
        <v>10.9</v>
      </c>
      <c r="M1195" s="10">
        <v>6</v>
      </c>
    </row>
    <row r="1196" spans="1:13" x14ac:dyDescent="0.3">
      <c r="A1196" s="10">
        <v>1195</v>
      </c>
      <c r="B1196" s="11">
        <v>6</v>
      </c>
      <c r="C1196" s="12">
        <v>0.51</v>
      </c>
      <c r="D1196" s="13">
        <v>0</v>
      </c>
      <c r="E1196" s="11">
        <v>2.1</v>
      </c>
      <c r="F1196" s="12">
        <v>6.4000000000000001E-2</v>
      </c>
      <c r="G1196" s="11">
        <v>40</v>
      </c>
      <c r="H1196" s="11">
        <v>54</v>
      </c>
      <c r="I1196" s="14">
        <v>0.995</v>
      </c>
      <c r="J1196" s="13">
        <v>3.54</v>
      </c>
      <c r="K1196" s="13">
        <v>0.93</v>
      </c>
      <c r="L1196" s="11">
        <v>10.7</v>
      </c>
      <c r="M1196" s="10">
        <v>6</v>
      </c>
    </row>
    <row r="1197" spans="1:13" x14ac:dyDescent="0.3">
      <c r="A1197" s="10">
        <v>1196</v>
      </c>
      <c r="B1197" s="11">
        <v>8.1</v>
      </c>
      <c r="C1197" s="12">
        <v>0.28999999999999998</v>
      </c>
      <c r="D1197" s="13">
        <v>0.36</v>
      </c>
      <c r="E1197" s="11">
        <v>2.2000000000000002</v>
      </c>
      <c r="F1197" s="12">
        <v>4.8000000000000001E-2</v>
      </c>
      <c r="G1197" s="11">
        <v>35</v>
      </c>
      <c r="H1197" s="11">
        <v>53</v>
      </c>
      <c r="I1197" s="14">
        <v>0.995</v>
      </c>
      <c r="J1197" s="13">
        <v>3.27</v>
      </c>
      <c r="K1197" s="13">
        <v>1.01</v>
      </c>
      <c r="L1197" s="11">
        <v>12.4</v>
      </c>
      <c r="M1197" s="10">
        <v>7</v>
      </c>
    </row>
    <row r="1198" spans="1:13" x14ac:dyDescent="0.3">
      <c r="A1198" s="10">
        <v>1197</v>
      </c>
      <c r="B1198" s="11">
        <v>6.6</v>
      </c>
      <c r="C1198" s="12">
        <v>0.96</v>
      </c>
      <c r="D1198" s="13">
        <v>0</v>
      </c>
      <c r="E1198" s="11">
        <v>1.8</v>
      </c>
      <c r="F1198" s="12">
        <v>8.2000000000000003E-2</v>
      </c>
      <c r="G1198" s="11">
        <v>5</v>
      </c>
      <c r="H1198" s="11">
        <v>16</v>
      </c>
      <c r="I1198" s="14">
        <v>0.99360000000000004</v>
      </c>
      <c r="J1198" s="13">
        <v>3.5</v>
      </c>
      <c r="K1198" s="13">
        <v>0.44</v>
      </c>
      <c r="L1198" s="11">
        <v>11.9</v>
      </c>
      <c r="M1198" s="10">
        <v>6</v>
      </c>
    </row>
    <row r="1199" spans="1:13" x14ac:dyDescent="0.3">
      <c r="A1199" s="10">
        <v>1198</v>
      </c>
      <c r="B1199" s="11">
        <v>6.4</v>
      </c>
      <c r="C1199" s="12">
        <v>0.47</v>
      </c>
      <c r="D1199" s="13">
        <v>0.4</v>
      </c>
      <c r="E1199" s="11">
        <v>2.4</v>
      </c>
      <c r="F1199" s="12">
        <v>7.0999999999999994E-2</v>
      </c>
      <c r="G1199" s="11">
        <v>8</v>
      </c>
      <c r="H1199" s="11">
        <v>19</v>
      </c>
      <c r="I1199" s="14">
        <v>0.99629999999999996</v>
      </c>
      <c r="J1199" s="13">
        <v>3.56</v>
      </c>
      <c r="K1199" s="13">
        <v>0.73</v>
      </c>
      <c r="L1199" s="11">
        <v>10.6</v>
      </c>
      <c r="M1199" s="10">
        <v>6</v>
      </c>
    </row>
    <row r="1200" spans="1:13" x14ac:dyDescent="0.3">
      <c r="A1200" s="10">
        <v>1199</v>
      </c>
      <c r="B1200" s="11">
        <v>9.9</v>
      </c>
      <c r="C1200" s="12">
        <v>0.56999999999999995</v>
      </c>
      <c r="D1200" s="13">
        <v>0.25</v>
      </c>
      <c r="E1200" s="11">
        <v>2</v>
      </c>
      <c r="F1200" s="12">
        <v>0.104</v>
      </c>
      <c r="G1200" s="11">
        <v>12</v>
      </c>
      <c r="H1200" s="11">
        <v>89</v>
      </c>
      <c r="I1200" s="14">
        <v>0.99629999999999996</v>
      </c>
      <c r="J1200" s="13">
        <v>3.04</v>
      </c>
      <c r="K1200" s="13">
        <v>0.9</v>
      </c>
      <c r="L1200" s="11">
        <v>10.1</v>
      </c>
      <c r="M1200" s="10">
        <v>5</v>
      </c>
    </row>
    <row r="1201" spans="1:13" x14ac:dyDescent="0.3">
      <c r="A1201" s="10">
        <v>1200</v>
      </c>
      <c r="B1201" s="11">
        <v>10</v>
      </c>
      <c r="C1201" s="12">
        <v>0.32</v>
      </c>
      <c r="D1201" s="13">
        <v>0.59</v>
      </c>
      <c r="E1201" s="11">
        <v>2.2000000000000002</v>
      </c>
      <c r="F1201" s="12">
        <v>7.6999999999999999E-2</v>
      </c>
      <c r="G1201" s="11">
        <v>3</v>
      </c>
      <c r="H1201" s="11">
        <v>15</v>
      </c>
      <c r="I1201" s="14">
        <v>0.99939999999999996</v>
      </c>
      <c r="J1201" s="13">
        <v>3.2</v>
      </c>
      <c r="K1201" s="13">
        <v>0.78</v>
      </c>
      <c r="L1201" s="11">
        <v>9.6</v>
      </c>
      <c r="M1201" s="10">
        <v>5</v>
      </c>
    </row>
    <row r="1202" spans="1:13" x14ac:dyDescent="0.3">
      <c r="A1202" s="10">
        <v>1201</v>
      </c>
      <c r="B1202" s="11">
        <v>6.2</v>
      </c>
      <c r="C1202" s="12">
        <v>0.57999999999999996</v>
      </c>
      <c r="D1202" s="13">
        <v>0</v>
      </c>
      <c r="E1202" s="11">
        <v>1.6</v>
      </c>
      <c r="F1202" s="12">
        <v>6.5000000000000002E-2</v>
      </c>
      <c r="G1202" s="11">
        <v>8</v>
      </c>
      <c r="H1202" s="11">
        <v>18</v>
      </c>
      <c r="I1202" s="14">
        <v>0.99660000000000004</v>
      </c>
      <c r="J1202" s="13">
        <v>3.56</v>
      </c>
      <c r="K1202" s="13">
        <v>0.84</v>
      </c>
      <c r="L1202" s="11">
        <v>9.4</v>
      </c>
      <c r="M1202" s="10">
        <v>5</v>
      </c>
    </row>
    <row r="1203" spans="1:13" x14ac:dyDescent="0.3">
      <c r="A1203" s="10">
        <v>1202</v>
      </c>
      <c r="B1203" s="11">
        <v>7.3</v>
      </c>
      <c r="C1203" s="12">
        <v>0.34</v>
      </c>
      <c r="D1203" s="13">
        <v>0.33</v>
      </c>
      <c r="E1203" s="11">
        <v>2.5</v>
      </c>
      <c r="F1203" s="12">
        <v>6.4000000000000001E-2</v>
      </c>
      <c r="G1203" s="11">
        <v>21</v>
      </c>
      <c r="H1203" s="11">
        <v>37</v>
      </c>
      <c r="I1203" s="14">
        <v>0.99519999999999997</v>
      </c>
      <c r="J1203" s="13">
        <v>3.35</v>
      </c>
      <c r="K1203" s="13">
        <v>0.77</v>
      </c>
      <c r="L1203" s="11">
        <v>12.1</v>
      </c>
      <c r="M1203" s="10">
        <v>7</v>
      </c>
    </row>
    <row r="1204" spans="1:13" x14ac:dyDescent="0.3">
      <c r="A1204" s="10">
        <v>1203</v>
      </c>
      <c r="B1204" s="11">
        <v>7.8</v>
      </c>
      <c r="C1204" s="12">
        <v>0.53</v>
      </c>
      <c r="D1204" s="13">
        <v>0.01</v>
      </c>
      <c r="E1204" s="11">
        <v>1.6</v>
      </c>
      <c r="F1204" s="12">
        <v>7.6999999999999999E-2</v>
      </c>
      <c r="G1204" s="11">
        <v>3</v>
      </c>
      <c r="H1204" s="11">
        <v>19</v>
      </c>
      <c r="I1204" s="14">
        <v>0.995</v>
      </c>
      <c r="J1204" s="13">
        <v>3.16</v>
      </c>
      <c r="K1204" s="13">
        <v>0.46</v>
      </c>
      <c r="L1204" s="11">
        <v>9.8000000000000007</v>
      </c>
      <c r="M1204" s="10">
        <v>5</v>
      </c>
    </row>
    <row r="1205" spans="1:13" x14ac:dyDescent="0.3">
      <c r="A1205" s="10">
        <v>1204</v>
      </c>
      <c r="B1205" s="11">
        <v>7.7</v>
      </c>
      <c r="C1205" s="12">
        <v>0.64</v>
      </c>
      <c r="D1205" s="13">
        <v>0.21</v>
      </c>
      <c r="E1205" s="11">
        <v>2.2000000000000002</v>
      </c>
      <c r="F1205" s="12">
        <v>7.6999999999999999E-2</v>
      </c>
      <c r="G1205" s="11">
        <v>32</v>
      </c>
      <c r="H1205" s="11">
        <v>133</v>
      </c>
      <c r="I1205" s="14">
        <v>0.99560000000000004</v>
      </c>
      <c r="J1205" s="13">
        <v>3.27</v>
      </c>
      <c r="K1205" s="13">
        <v>0.45</v>
      </c>
      <c r="L1205" s="11">
        <v>9.9</v>
      </c>
      <c r="M1205" s="10">
        <v>5</v>
      </c>
    </row>
    <row r="1206" spans="1:13" x14ac:dyDescent="0.3">
      <c r="A1206" s="10">
        <v>1205</v>
      </c>
      <c r="B1206" s="11">
        <v>7.5</v>
      </c>
      <c r="C1206" s="12">
        <v>0.4</v>
      </c>
      <c r="D1206" s="13">
        <v>0.18</v>
      </c>
      <c r="E1206" s="11">
        <v>1.6</v>
      </c>
      <c r="F1206" s="12">
        <v>7.9000000000000001E-2</v>
      </c>
      <c r="G1206" s="11">
        <v>24</v>
      </c>
      <c r="H1206" s="11">
        <v>58</v>
      </c>
      <c r="I1206" s="14">
        <v>0.99650000000000005</v>
      </c>
      <c r="J1206" s="13">
        <v>3.34</v>
      </c>
      <c r="K1206" s="13">
        <v>0.57999999999999996</v>
      </c>
      <c r="L1206" s="11">
        <v>9.4</v>
      </c>
      <c r="M1206" s="10">
        <v>5</v>
      </c>
    </row>
    <row r="1207" spans="1:13" x14ac:dyDescent="0.3">
      <c r="A1207" s="10">
        <v>1206</v>
      </c>
      <c r="B1207" s="11">
        <v>7</v>
      </c>
      <c r="C1207" s="12">
        <v>0.54</v>
      </c>
      <c r="D1207" s="13">
        <v>0</v>
      </c>
      <c r="E1207" s="11">
        <v>2.1</v>
      </c>
      <c r="F1207" s="12">
        <v>7.9000000000000001E-2</v>
      </c>
      <c r="G1207" s="11">
        <v>39</v>
      </c>
      <c r="H1207" s="11">
        <v>55</v>
      </c>
      <c r="I1207" s="14">
        <v>0.99560000000000004</v>
      </c>
      <c r="J1207" s="13">
        <v>3.39</v>
      </c>
      <c r="K1207" s="13">
        <v>0.84</v>
      </c>
      <c r="L1207" s="11">
        <v>11.4</v>
      </c>
      <c r="M1207" s="10">
        <v>6</v>
      </c>
    </row>
    <row r="1208" spans="1:13" x14ac:dyDescent="0.3">
      <c r="A1208" s="10">
        <v>1207</v>
      </c>
      <c r="B1208" s="11">
        <v>6.4</v>
      </c>
      <c r="C1208" s="12">
        <v>0.53</v>
      </c>
      <c r="D1208" s="13">
        <v>0.09</v>
      </c>
      <c r="E1208" s="11">
        <v>3.9</v>
      </c>
      <c r="F1208" s="12">
        <v>0.123</v>
      </c>
      <c r="G1208" s="11">
        <v>14</v>
      </c>
      <c r="H1208" s="11">
        <v>31</v>
      </c>
      <c r="I1208" s="14">
        <v>0.99680000000000002</v>
      </c>
      <c r="J1208" s="13">
        <v>3.5</v>
      </c>
      <c r="K1208" s="13">
        <v>0.67</v>
      </c>
      <c r="L1208" s="11">
        <v>11</v>
      </c>
      <c r="M1208" s="10">
        <v>4</v>
      </c>
    </row>
    <row r="1209" spans="1:13" x14ac:dyDescent="0.3">
      <c r="A1209" s="10">
        <v>1208</v>
      </c>
      <c r="B1209" s="11">
        <v>8.3000000000000007</v>
      </c>
      <c r="C1209" s="12">
        <v>0.26</v>
      </c>
      <c r="D1209" s="13">
        <v>0.37</v>
      </c>
      <c r="E1209" s="11">
        <v>1.4</v>
      </c>
      <c r="F1209" s="12">
        <v>7.5999999999999998E-2</v>
      </c>
      <c r="G1209" s="11">
        <v>8</v>
      </c>
      <c r="H1209" s="11">
        <v>23</v>
      </c>
      <c r="I1209" s="14">
        <v>0.99739999999999995</v>
      </c>
      <c r="J1209" s="13">
        <v>3.26</v>
      </c>
      <c r="K1209" s="13">
        <v>0.7</v>
      </c>
      <c r="L1209" s="11">
        <v>9.6</v>
      </c>
      <c r="M1209" s="10">
        <v>6</v>
      </c>
    </row>
    <row r="1210" spans="1:13" x14ac:dyDescent="0.3">
      <c r="A1210" s="10">
        <v>1209</v>
      </c>
      <c r="B1210" s="11">
        <v>7.7</v>
      </c>
      <c r="C1210" s="12">
        <v>0.23</v>
      </c>
      <c r="D1210" s="13">
        <v>0.37</v>
      </c>
      <c r="E1210" s="11">
        <v>1.8</v>
      </c>
      <c r="F1210" s="12">
        <v>4.5999999999999999E-2</v>
      </c>
      <c r="G1210" s="11">
        <v>23</v>
      </c>
      <c r="H1210" s="11">
        <v>60</v>
      </c>
      <c r="I1210" s="14">
        <v>0.99709999999999999</v>
      </c>
      <c r="J1210" s="13">
        <v>3.41</v>
      </c>
      <c r="K1210" s="13">
        <v>0.71</v>
      </c>
      <c r="L1210" s="11">
        <v>12.1</v>
      </c>
      <c r="M1210" s="10">
        <v>6</v>
      </c>
    </row>
    <row r="1211" spans="1:13" x14ac:dyDescent="0.3">
      <c r="A1211" s="10">
        <v>1210</v>
      </c>
      <c r="B1211" s="11">
        <v>7.6</v>
      </c>
      <c r="C1211" s="12">
        <v>0.41</v>
      </c>
      <c r="D1211" s="13">
        <v>0.33</v>
      </c>
      <c r="E1211" s="11">
        <v>2.5</v>
      </c>
      <c r="F1211" s="12">
        <v>7.8E-2</v>
      </c>
      <c r="G1211" s="11">
        <v>6</v>
      </c>
      <c r="H1211" s="11">
        <v>23</v>
      </c>
      <c r="I1211" s="14">
        <v>0.99570000000000003</v>
      </c>
      <c r="J1211" s="13">
        <v>3.3</v>
      </c>
      <c r="K1211" s="13">
        <v>0.57999999999999996</v>
      </c>
      <c r="L1211" s="11">
        <v>11.2</v>
      </c>
      <c r="M1211" s="10">
        <v>5</v>
      </c>
    </row>
    <row r="1212" spans="1:13" x14ac:dyDescent="0.3">
      <c r="A1212" s="10">
        <v>1211</v>
      </c>
      <c r="B1212" s="11">
        <v>7.8</v>
      </c>
      <c r="C1212" s="12">
        <v>0.64</v>
      </c>
      <c r="D1212" s="13">
        <v>0</v>
      </c>
      <c r="E1212" s="11">
        <v>1.9</v>
      </c>
      <c r="F1212" s="12">
        <v>7.1999999999999995E-2</v>
      </c>
      <c r="G1212" s="11">
        <v>27</v>
      </c>
      <c r="H1212" s="11">
        <v>55</v>
      </c>
      <c r="I1212" s="14">
        <v>0.99619999999999997</v>
      </c>
      <c r="J1212" s="13">
        <v>3.31</v>
      </c>
      <c r="K1212" s="13">
        <v>0.63</v>
      </c>
      <c r="L1212" s="11">
        <v>11</v>
      </c>
      <c r="M1212" s="10">
        <v>5</v>
      </c>
    </row>
    <row r="1213" spans="1:13" x14ac:dyDescent="0.3">
      <c r="A1213" s="10">
        <v>1212</v>
      </c>
      <c r="B1213" s="11">
        <v>7.9</v>
      </c>
      <c r="C1213" s="12">
        <v>0.18</v>
      </c>
      <c r="D1213" s="13">
        <v>0.4</v>
      </c>
      <c r="E1213" s="11">
        <v>2.2000000000000002</v>
      </c>
      <c r="F1213" s="12">
        <v>4.9000000000000002E-2</v>
      </c>
      <c r="G1213" s="11">
        <v>38</v>
      </c>
      <c r="H1213" s="11">
        <v>67</v>
      </c>
      <c r="I1213" s="14">
        <v>0.996</v>
      </c>
      <c r="J1213" s="13">
        <v>3.33</v>
      </c>
      <c r="K1213" s="13">
        <v>0.93</v>
      </c>
      <c r="L1213" s="11">
        <v>11.3</v>
      </c>
      <c r="M1213" s="10">
        <v>5</v>
      </c>
    </row>
    <row r="1214" spans="1:13" x14ac:dyDescent="0.3">
      <c r="A1214" s="10">
        <v>1213</v>
      </c>
      <c r="B1214" s="11">
        <v>7.4</v>
      </c>
      <c r="C1214" s="12">
        <v>0.41</v>
      </c>
      <c r="D1214" s="13">
        <v>0.24</v>
      </c>
      <c r="E1214" s="11">
        <v>1.8</v>
      </c>
      <c r="F1214" s="12">
        <v>6.6000000000000003E-2</v>
      </c>
      <c r="G1214" s="11">
        <v>18</v>
      </c>
      <c r="H1214" s="11">
        <v>47</v>
      </c>
      <c r="I1214" s="14">
        <v>0.99560000000000004</v>
      </c>
      <c r="J1214" s="13">
        <v>3.37</v>
      </c>
      <c r="K1214" s="13">
        <v>0.62</v>
      </c>
      <c r="L1214" s="11">
        <v>10.4</v>
      </c>
      <c r="M1214" s="10">
        <v>5</v>
      </c>
    </row>
    <row r="1215" spans="1:13" x14ac:dyDescent="0.3">
      <c r="A1215" s="10">
        <v>1214</v>
      </c>
      <c r="B1215" s="11">
        <v>7.6</v>
      </c>
      <c r="C1215" s="12">
        <v>0.43</v>
      </c>
      <c r="D1215" s="13">
        <v>0.31</v>
      </c>
      <c r="E1215" s="11">
        <v>2.1</v>
      </c>
      <c r="F1215" s="12">
        <v>6.9000000000000006E-2</v>
      </c>
      <c r="G1215" s="11">
        <v>13</v>
      </c>
      <c r="H1215" s="11">
        <v>74</v>
      </c>
      <c r="I1215" s="14">
        <v>0.99580000000000002</v>
      </c>
      <c r="J1215" s="13">
        <v>3.26</v>
      </c>
      <c r="K1215" s="13">
        <v>0.54</v>
      </c>
      <c r="L1215" s="11">
        <v>9.9</v>
      </c>
      <c r="M1215" s="10">
        <v>6</v>
      </c>
    </row>
    <row r="1216" spans="1:13" x14ac:dyDescent="0.3">
      <c r="A1216" s="10">
        <v>1215</v>
      </c>
      <c r="B1216" s="11">
        <v>5.9</v>
      </c>
      <c r="C1216" s="12">
        <v>0.44</v>
      </c>
      <c r="D1216" s="13">
        <v>0</v>
      </c>
      <c r="E1216" s="11">
        <v>1.6</v>
      </c>
      <c r="F1216" s="12">
        <v>4.2000000000000003E-2</v>
      </c>
      <c r="G1216" s="11">
        <v>3</v>
      </c>
      <c r="H1216" s="11">
        <v>11</v>
      </c>
      <c r="I1216" s="14">
        <v>0.99439999999999995</v>
      </c>
      <c r="J1216" s="13">
        <v>3.48</v>
      </c>
      <c r="K1216" s="13">
        <v>0.85</v>
      </c>
      <c r="L1216" s="11">
        <v>11.7</v>
      </c>
      <c r="M1216" s="10">
        <v>6</v>
      </c>
    </row>
    <row r="1217" spans="1:13" x14ac:dyDescent="0.3">
      <c r="A1217" s="10">
        <v>1216</v>
      </c>
      <c r="B1217" s="11">
        <v>6.1</v>
      </c>
      <c r="C1217" s="12">
        <v>0.4</v>
      </c>
      <c r="D1217" s="13">
        <v>0.16</v>
      </c>
      <c r="E1217" s="11">
        <v>1.8</v>
      </c>
      <c r="F1217" s="12">
        <v>6.9000000000000006E-2</v>
      </c>
      <c r="G1217" s="11">
        <v>11</v>
      </c>
      <c r="H1217" s="11">
        <v>25</v>
      </c>
      <c r="I1217" s="14">
        <v>0.99550000000000005</v>
      </c>
      <c r="J1217" s="13">
        <v>3.42</v>
      </c>
      <c r="K1217" s="13">
        <v>0.74</v>
      </c>
      <c r="L1217" s="11">
        <v>10.1</v>
      </c>
      <c r="M1217" s="10">
        <v>7</v>
      </c>
    </row>
    <row r="1218" spans="1:13" x14ac:dyDescent="0.3">
      <c r="A1218" s="10">
        <v>1217</v>
      </c>
      <c r="B1218" s="11">
        <v>10.199999999999999</v>
      </c>
      <c r="C1218" s="12">
        <v>0.54</v>
      </c>
      <c r="D1218" s="13">
        <v>0.37</v>
      </c>
      <c r="E1218" s="11">
        <v>15.4</v>
      </c>
      <c r="F1218" s="12">
        <v>0.214</v>
      </c>
      <c r="G1218" s="11">
        <v>55</v>
      </c>
      <c r="H1218" s="11">
        <v>95</v>
      </c>
      <c r="I1218" s="14">
        <v>1.00369</v>
      </c>
      <c r="J1218" s="13">
        <v>3.18</v>
      </c>
      <c r="K1218" s="13">
        <v>0.77</v>
      </c>
      <c r="L1218" s="11">
        <v>9</v>
      </c>
      <c r="M1218" s="10">
        <v>6</v>
      </c>
    </row>
    <row r="1219" spans="1:13" x14ac:dyDescent="0.3">
      <c r="A1219" s="10">
        <v>1218</v>
      </c>
      <c r="B1219" s="11">
        <v>10</v>
      </c>
      <c r="C1219" s="12">
        <v>0.38</v>
      </c>
      <c r="D1219" s="13">
        <v>0.38</v>
      </c>
      <c r="E1219" s="11">
        <v>1.6</v>
      </c>
      <c r="F1219" s="12">
        <v>0.16900000000000001</v>
      </c>
      <c r="G1219" s="11">
        <v>27</v>
      </c>
      <c r="H1219" s="11">
        <v>90</v>
      </c>
      <c r="I1219" s="14">
        <v>0.99914000000000003</v>
      </c>
      <c r="J1219" s="13">
        <v>3.15</v>
      </c>
      <c r="K1219" s="13">
        <v>0.65</v>
      </c>
      <c r="L1219" s="11">
        <v>8.5</v>
      </c>
      <c r="M1219" s="10">
        <v>5</v>
      </c>
    </row>
    <row r="1220" spans="1:13" x14ac:dyDescent="0.3">
      <c r="A1220" s="10">
        <v>1219</v>
      </c>
      <c r="B1220" s="11">
        <v>6.8</v>
      </c>
      <c r="C1220" s="12">
        <v>0.91500000000000004</v>
      </c>
      <c r="D1220" s="13">
        <v>0.28999999999999998</v>
      </c>
      <c r="E1220" s="11">
        <v>4.8</v>
      </c>
      <c r="F1220" s="12">
        <v>7.0000000000000007E-2</v>
      </c>
      <c r="G1220" s="11">
        <v>15</v>
      </c>
      <c r="H1220" s="11">
        <v>39</v>
      </c>
      <c r="I1220" s="14">
        <v>0.99577000000000004</v>
      </c>
      <c r="J1220" s="13">
        <v>3.53</v>
      </c>
      <c r="K1220" s="13">
        <v>0.54</v>
      </c>
      <c r="L1220" s="11">
        <v>11.1</v>
      </c>
      <c r="M1220" s="10">
        <v>5</v>
      </c>
    </row>
    <row r="1221" spans="1:13" x14ac:dyDescent="0.3">
      <c r="A1221" s="10">
        <v>1220</v>
      </c>
      <c r="B1221" s="11">
        <v>7</v>
      </c>
      <c r="C1221" s="12">
        <v>0.59</v>
      </c>
      <c r="D1221" s="13">
        <v>0</v>
      </c>
      <c r="E1221" s="11">
        <v>1.7</v>
      </c>
      <c r="F1221" s="12">
        <v>5.1999999999999998E-2</v>
      </c>
      <c r="G1221" s="11">
        <v>3</v>
      </c>
      <c r="H1221" s="11">
        <v>8</v>
      </c>
      <c r="I1221" s="14">
        <v>0.996</v>
      </c>
      <c r="J1221" s="13">
        <v>3.41</v>
      </c>
      <c r="K1221" s="13">
        <v>0.47</v>
      </c>
      <c r="L1221" s="11">
        <v>10.3</v>
      </c>
      <c r="M1221" s="10">
        <v>5</v>
      </c>
    </row>
    <row r="1222" spans="1:13" x14ac:dyDescent="0.3">
      <c r="A1222" s="10">
        <v>1221</v>
      </c>
      <c r="B1222" s="11">
        <v>7.3</v>
      </c>
      <c r="C1222" s="12">
        <v>0.67</v>
      </c>
      <c r="D1222" s="13">
        <v>0.02</v>
      </c>
      <c r="E1222" s="11">
        <v>2.2000000000000002</v>
      </c>
      <c r="F1222" s="12">
        <v>7.1999999999999995E-2</v>
      </c>
      <c r="G1222" s="11">
        <v>31</v>
      </c>
      <c r="H1222" s="11">
        <v>92</v>
      </c>
      <c r="I1222" s="14">
        <v>0.99565999999999999</v>
      </c>
      <c r="J1222" s="13">
        <v>3.32</v>
      </c>
      <c r="K1222" s="13">
        <v>0.68</v>
      </c>
      <c r="L1222" s="11">
        <v>11.0666666666667</v>
      </c>
      <c r="M1222" s="10">
        <v>6</v>
      </c>
    </row>
    <row r="1223" spans="1:13" x14ac:dyDescent="0.3">
      <c r="A1223" s="10">
        <v>1222</v>
      </c>
      <c r="B1223" s="11">
        <v>7.2</v>
      </c>
      <c r="C1223" s="12">
        <v>0.37</v>
      </c>
      <c r="D1223" s="13">
        <v>0.32</v>
      </c>
      <c r="E1223" s="11">
        <v>2</v>
      </c>
      <c r="F1223" s="12">
        <v>6.2E-2</v>
      </c>
      <c r="G1223" s="11">
        <v>15</v>
      </c>
      <c r="H1223" s="11">
        <v>28</v>
      </c>
      <c r="I1223" s="14">
        <v>0.99470000000000003</v>
      </c>
      <c r="J1223" s="13">
        <v>3.23</v>
      </c>
      <c r="K1223" s="13">
        <v>0.73</v>
      </c>
      <c r="L1223" s="11">
        <v>11.3</v>
      </c>
      <c r="M1223" s="10">
        <v>7</v>
      </c>
    </row>
    <row r="1224" spans="1:13" x14ac:dyDescent="0.3">
      <c r="A1224" s="10">
        <v>1223</v>
      </c>
      <c r="B1224" s="11">
        <v>7.4</v>
      </c>
      <c r="C1224" s="12">
        <v>0.78500000000000003</v>
      </c>
      <c r="D1224" s="13">
        <v>0.19</v>
      </c>
      <c r="E1224" s="11">
        <v>5.2</v>
      </c>
      <c r="F1224" s="12">
        <v>9.4E-2</v>
      </c>
      <c r="G1224" s="11">
        <v>19</v>
      </c>
      <c r="H1224" s="11">
        <v>98</v>
      </c>
      <c r="I1224" s="14">
        <v>0.99712999999999996</v>
      </c>
      <c r="J1224" s="13">
        <v>3.16</v>
      </c>
      <c r="K1224" s="13">
        <v>0.52</v>
      </c>
      <c r="L1224" s="11">
        <v>9.56666666666667</v>
      </c>
      <c r="M1224" s="10">
        <v>6</v>
      </c>
    </row>
    <row r="1225" spans="1:13" x14ac:dyDescent="0.3">
      <c r="A1225" s="10">
        <v>1224</v>
      </c>
      <c r="B1225" s="11">
        <v>6.9</v>
      </c>
      <c r="C1225" s="12">
        <v>0.63</v>
      </c>
      <c r="D1225" s="13">
        <v>0.02</v>
      </c>
      <c r="E1225" s="11">
        <v>1.9</v>
      </c>
      <c r="F1225" s="12">
        <v>7.8E-2</v>
      </c>
      <c r="G1225" s="11">
        <v>18</v>
      </c>
      <c r="H1225" s="11">
        <v>30</v>
      </c>
      <c r="I1225" s="14">
        <v>0.99712000000000001</v>
      </c>
      <c r="J1225" s="13">
        <v>3.4</v>
      </c>
      <c r="K1225" s="13">
        <v>0.75</v>
      </c>
      <c r="L1225" s="11">
        <v>9.8000000000000007</v>
      </c>
      <c r="M1225" s="10">
        <v>5</v>
      </c>
    </row>
    <row r="1226" spans="1:13" x14ac:dyDescent="0.3">
      <c r="A1226" s="10">
        <v>1225</v>
      </c>
      <c r="B1226" s="11">
        <v>6.9</v>
      </c>
      <c r="C1226" s="12">
        <v>0.57999999999999996</v>
      </c>
      <c r="D1226" s="13">
        <v>0.2</v>
      </c>
      <c r="E1226" s="11">
        <v>1.75</v>
      </c>
      <c r="F1226" s="12">
        <v>5.8000000000000003E-2</v>
      </c>
      <c r="G1226" s="11">
        <v>8</v>
      </c>
      <c r="H1226" s="11">
        <v>22</v>
      </c>
      <c r="I1226" s="14">
        <v>0.99321999999999999</v>
      </c>
      <c r="J1226" s="13">
        <v>3.38</v>
      </c>
      <c r="K1226" s="13">
        <v>0.49</v>
      </c>
      <c r="L1226" s="11">
        <v>11.7</v>
      </c>
      <c r="M1226" s="10">
        <v>5</v>
      </c>
    </row>
    <row r="1227" spans="1:13" x14ac:dyDescent="0.3">
      <c r="A1227" s="10">
        <v>1226</v>
      </c>
      <c r="B1227" s="11">
        <v>7.3</v>
      </c>
      <c r="C1227" s="12">
        <v>0.67</v>
      </c>
      <c r="D1227" s="13">
        <v>0.02</v>
      </c>
      <c r="E1227" s="11">
        <v>2.2000000000000002</v>
      </c>
      <c r="F1227" s="12">
        <v>7.1999999999999995E-2</v>
      </c>
      <c r="G1227" s="11">
        <v>31</v>
      </c>
      <c r="H1227" s="11">
        <v>92</v>
      </c>
      <c r="I1227" s="14">
        <v>0.99565999999999999</v>
      </c>
      <c r="J1227" s="13">
        <v>3.32</v>
      </c>
      <c r="K1227" s="13">
        <v>0.68</v>
      </c>
      <c r="L1227" s="11">
        <v>11.1</v>
      </c>
      <c r="M1227" s="10">
        <v>6</v>
      </c>
    </row>
    <row r="1228" spans="1:13" x14ac:dyDescent="0.3">
      <c r="A1228" s="10">
        <v>1227</v>
      </c>
      <c r="B1228" s="11">
        <v>7.4</v>
      </c>
      <c r="C1228" s="12">
        <v>0.78500000000000003</v>
      </c>
      <c r="D1228" s="13">
        <v>0.19</v>
      </c>
      <c r="E1228" s="11">
        <v>5.2</v>
      </c>
      <c r="F1228" s="12">
        <v>9.4E-2</v>
      </c>
      <c r="G1228" s="11">
        <v>19</v>
      </c>
      <c r="H1228" s="11">
        <v>98</v>
      </c>
      <c r="I1228" s="14">
        <v>0.99712999999999996</v>
      </c>
      <c r="J1228" s="13">
        <v>3.16</v>
      </c>
      <c r="K1228" s="13">
        <v>0.52</v>
      </c>
      <c r="L1228" s="11">
        <v>9.6</v>
      </c>
      <c r="M1228" s="10">
        <v>6</v>
      </c>
    </row>
    <row r="1229" spans="1:13" x14ac:dyDescent="0.3">
      <c r="A1229" s="10">
        <v>1228</v>
      </c>
      <c r="B1229" s="11">
        <v>6.8</v>
      </c>
      <c r="C1229" s="12">
        <v>0.67</v>
      </c>
      <c r="D1229" s="13">
        <v>0</v>
      </c>
      <c r="E1229" s="11">
        <v>1.9</v>
      </c>
      <c r="F1229" s="12">
        <v>0.08</v>
      </c>
      <c r="G1229" s="11">
        <v>22</v>
      </c>
      <c r="H1229" s="11">
        <v>39</v>
      </c>
      <c r="I1229" s="14">
        <v>0.99700999999999995</v>
      </c>
      <c r="J1229" s="13">
        <v>3.4</v>
      </c>
      <c r="K1229" s="13">
        <v>0.74</v>
      </c>
      <c r="L1229" s="11">
        <v>9.6999999999999993</v>
      </c>
      <c r="M1229" s="10">
        <v>5</v>
      </c>
    </row>
    <row r="1230" spans="1:13" x14ac:dyDescent="0.3">
      <c r="A1230" s="10">
        <v>1229</v>
      </c>
      <c r="B1230" s="11">
        <v>6.9</v>
      </c>
      <c r="C1230" s="12">
        <v>0.57999999999999996</v>
      </c>
      <c r="D1230" s="13">
        <v>0.01</v>
      </c>
      <c r="E1230" s="11">
        <v>1.9</v>
      </c>
      <c r="F1230" s="12">
        <v>0.08</v>
      </c>
      <c r="G1230" s="11">
        <v>40</v>
      </c>
      <c r="H1230" s="11">
        <v>54</v>
      </c>
      <c r="I1230" s="14">
        <v>0.99682999999999999</v>
      </c>
      <c r="J1230" s="13">
        <v>3.4</v>
      </c>
      <c r="K1230" s="13">
        <v>0.73</v>
      </c>
      <c r="L1230" s="11">
        <v>9.6999999999999993</v>
      </c>
      <c r="M1230" s="10">
        <v>5</v>
      </c>
    </row>
    <row r="1231" spans="1:13" x14ac:dyDescent="0.3">
      <c r="A1231" s="10">
        <v>1230</v>
      </c>
      <c r="B1231" s="11">
        <v>7.2</v>
      </c>
      <c r="C1231" s="12">
        <v>0.38</v>
      </c>
      <c r="D1231" s="13">
        <v>0.31</v>
      </c>
      <c r="E1231" s="11">
        <v>2</v>
      </c>
      <c r="F1231" s="12">
        <v>5.6000000000000001E-2</v>
      </c>
      <c r="G1231" s="11">
        <v>15</v>
      </c>
      <c r="H1231" s="11">
        <v>29</v>
      </c>
      <c r="I1231" s="14">
        <v>0.99472000000000005</v>
      </c>
      <c r="J1231" s="13">
        <v>3.23</v>
      </c>
      <c r="K1231" s="13">
        <v>0.76</v>
      </c>
      <c r="L1231" s="11">
        <v>11.3</v>
      </c>
      <c r="M1231" s="10">
        <v>8</v>
      </c>
    </row>
    <row r="1232" spans="1:13" x14ac:dyDescent="0.3">
      <c r="A1232" s="10">
        <v>1231</v>
      </c>
      <c r="B1232" s="11">
        <v>7.8</v>
      </c>
      <c r="C1232" s="12">
        <v>0.32</v>
      </c>
      <c r="D1232" s="13">
        <v>0.44</v>
      </c>
      <c r="E1232" s="11">
        <v>2.7</v>
      </c>
      <c r="F1232" s="12">
        <v>0.104</v>
      </c>
      <c r="G1232" s="11">
        <v>8</v>
      </c>
      <c r="H1232" s="11">
        <v>17</v>
      </c>
      <c r="I1232" s="14">
        <v>0.99731999999999998</v>
      </c>
      <c r="J1232" s="13">
        <v>3.33</v>
      </c>
      <c r="K1232" s="13">
        <v>0.78</v>
      </c>
      <c r="L1232" s="11">
        <v>11</v>
      </c>
      <c r="M1232" s="10">
        <v>7</v>
      </c>
    </row>
    <row r="1233" spans="1:13" x14ac:dyDescent="0.3">
      <c r="A1233" s="10">
        <v>1232</v>
      </c>
      <c r="B1233" s="11">
        <v>6.6</v>
      </c>
      <c r="C1233" s="12">
        <v>0.57999999999999996</v>
      </c>
      <c r="D1233" s="13">
        <v>0.02</v>
      </c>
      <c r="E1233" s="11">
        <v>2</v>
      </c>
      <c r="F1233" s="12">
        <v>6.2E-2</v>
      </c>
      <c r="G1233" s="11">
        <v>37</v>
      </c>
      <c r="H1233" s="11">
        <v>53</v>
      </c>
      <c r="I1233" s="14">
        <v>0.99373999999999996</v>
      </c>
      <c r="J1233" s="13">
        <v>3.35</v>
      </c>
      <c r="K1233" s="13">
        <v>0.76</v>
      </c>
      <c r="L1233" s="11">
        <v>11.6</v>
      </c>
      <c r="M1233" s="10">
        <v>7</v>
      </c>
    </row>
    <row r="1234" spans="1:13" x14ac:dyDescent="0.3">
      <c r="A1234" s="10">
        <v>1233</v>
      </c>
      <c r="B1234" s="11">
        <v>7.6</v>
      </c>
      <c r="C1234" s="12">
        <v>0.49</v>
      </c>
      <c r="D1234" s="13">
        <v>0.33</v>
      </c>
      <c r="E1234" s="11">
        <v>1.9</v>
      </c>
      <c r="F1234" s="12">
        <v>7.3999999999999996E-2</v>
      </c>
      <c r="G1234" s="11">
        <v>27</v>
      </c>
      <c r="H1234" s="11">
        <v>85</v>
      </c>
      <c r="I1234" s="14">
        <v>0.99705999999999995</v>
      </c>
      <c r="J1234" s="13">
        <v>3.41</v>
      </c>
      <c r="K1234" s="13">
        <v>0.57999999999999996</v>
      </c>
      <c r="L1234" s="11">
        <v>9</v>
      </c>
      <c r="M1234" s="10">
        <v>5</v>
      </c>
    </row>
    <row r="1235" spans="1:13" x14ac:dyDescent="0.3">
      <c r="A1235" s="10">
        <v>1234</v>
      </c>
      <c r="B1235" s="11">
        <v>11.7</v>
      </c>
      <c r="C1235" s="12">
        <v>0.45</v>
      </c>
      <c r="D1235" s="13">
        <v>0.63</v>
      </c>
      <c r="E1235" s="11">
        <v>2.2000000000000002</v>
      </c>
      <c r="F1235" s="12">
        <v>7.2999999999999995E-2</v>
      </c>
      <c r="G1235" s="11">
        <v>7</v>
      </c>
      <c r="H1235" s="11">
        <v>23</v>
      </c>
      <c r="I1235" s="14">
        <v>0.99973999999999996</v>
      </c>
      <c r="J1235" s="13">
        <v>3.21</v>
      </c>
      <c r="K1235" s="13">
        <v>0.69</v>
      </c>
      <c r="L1235" s="11">
        <v>10.9</v>
      </c>
      <c r="M1235" s="10">
        <v>6</v>
      </c>
    </row>
    <row r="1236" spans="1:13" x14ac:dyDescent="0.3">
      <c r="A1236" s="10">
        <v>1235</v>
      </c>
      <c r="B1236" s="11">
        <v>6.5</v>
      </c>
      <c r="C1236" s="12">
        <v>0.9</v>
      </c>
      <c r="D1236" s="13">
        <v>0</v>
      </c>
      <c r="E1236" s="11">
        <v>1.6</v>
      </c>
      <c r="F1236" s="12">
        <v>5.1999999999999998E-2</v>
      </c>
      <c r="G1236" s="11">
        <v>9</v>
      </c>
      <c r="H1236" s="11">
        <v>17</v>
      </c>
      <c r="I1236" s="14">
        <v>0.99467000000000005</v>
      </c>
      <c r="J1236" s="13">
        <v>3.5</v>
      </c>
      <c r="K1236" s="13">
        <v>0.63</v>
      </c>
      <c r="L1236" s="11">
        <v>10.9</v>
      </c>
      <c r="M1236" s="10">
        <v>6</v>
      </c>
    </row>
    <row r="1237" spans="1:13" x14ac:dyDescent="0.3">
      <c r="A1237" s="10">
        <v>1236</v>
      </c>
      <c r="B1237" s="11">
        <v>6</v>
      </c>
      <c r="C1237" s="12">
        <v>0.54</v>
      </c>
      <c r="D1237" s="13">
        <v>0.06</v>
      </c>
      <c r="E1237" s="11">
        <v>1.8</v>
      </c>
      <c r="F1237" s="12">
        <v>0.05</v>
      </c>
      <c r="G1237" s="11">
        <v>38</v>
      </c>
      <c r="H1237" s="11">
        <v>89</v>
      </c>
      <c r="I1237" s="14">
        <v>0.99236000000000002</v>
      </c>
      <c r="J1237" s="13">
        <v>3.3</v>
      </c>
      <c r="K1237" s="13">
        <v>0.5</v>
      </c>
      <c r="L1237" s="11">
        <v>10.55</v>
      </c>
      <c r="M1237" s="10">
        <v>6</v>
      </c>
    </row>
    <row r="1238" spans="1:13" x14ac:dyDescent="0.3">
      <c r="A1238" s="10">
        <v>1237</v>
      </c>
      <c r="B1238" s="11">
        <v>8.4</v>
      </c>
      <c r="C1238" s="12">
        <v>0.28999999999999998</v>
      </c>
      <c r="D1238" s="13">
        <v>0.4</v>
      </c>
      <c r="E1238" s="11">
        <v>1.7</v>
      </c>
      <c r="F1238" s="12">
        <v>6.7000000000000004E-2</v>
      </c>
      <c r="G1238" s="11">
        <v>8</v>
      </c>
      <c r="H1238" s="11">
        <v>20</v>
      </c>
      <c r="I1238" s="14">
        <v>0.99602999999999997</v>
      </c>
      <c r="J1238" s="13">
        <v>3.39</v>
      </c>
      <c r="K1238" s="13">
        <v>0.6</v>
      </c>
      <c r="L1238" s="11">
        <v>10.5</v>
      </c>
      <c r="M1238" s="10">
        <v>5</v>
      </c>
    </row>
    <row r="1239" spans="1:13" x14ac:dyDescent="0.3">
      <c r="A1239" s="10">
        <v>1238</v>
      </c>
      <c r="B1239" s="11">
        <v>7.9</v>
      </c>
      <c r="C1239" s="12">
        <v>0.2</v>
      </c>
      <c r="D1239" s="13">
        <v>0.35</v>
      </c>
      <c r="E1239" s="11">
        <v>1.7</v>
      </c>
      <c r="F1239" s="12">
        <v>5.3999999999999999E-2</v>
      </c>
      <c r="G1239" s="11">
        <v>7</v>
      </c>
      <c r="H1239" s="11">
        <v>15</v>
      </c>
      <c r="I1239" s="14">
        <v>0.99458000000000002</v>
      </c>
      <c r="J1239" s="13">
        <v>3.32</v>
      </c>
      <c r="K1239" s="13">
        <v>0.8</v>
      </c>
      <c r="L1239" s="11">
        <v>11.9</v>
      </c>
      <c r="M1239" s="10">
        <v>7</v>
      </c>
    </row>
    <row r="1240" spans="1:13" x14ac:dyDescent="0.3">
      <c r="A1240" s="10">
        <v>1239</v>
      </c>
      <c r="B1240" s="11">
        <v>6.4</v>
      </c>
      <c r="C1240" s="12">
        <v>0.42</v>
      </c>
      <c r="D1240" s="13">
        <v>0.09</v>
      </c>
      <c r="E1240" s="11">
        <v>2.2999999999999998</v>
      </c>
      <c r="F1240" s="12">
        <v>5.3999999999999999E-2</v>
      </c>
      <c r="G1240" s="11">
        <v>34</v>
      </c>
      <c r="H1240" s="11">
        <v>64</v>
      </c>
      <c r="I1240" s="14">
        <v>0.99724000000000002</v>
      </c>
      <c r="J1240" s="13">
        <v>3.41</v>
      </c>
      <c r="K1240" s="13">
        <v>0.68</v>
      </c>
      <c r="L1240" s="11">
        <v>10.4</v>
      </c>
      <c r="M1240" s="10">
        <v>6</v>
      </c>
    </row>
    <row r="1241" spans="1:13" x14ac:dyDescent="0.3">
      <c r="A1241" s="10">
        <v>1240</v>
      </c>
      <c r="B1241" s="11">
        <v>6.2</v>
      </c>
      <c r="C1241" s="12">
        <v>0.78500000000000003</v>
      </c>
      <c r="D1241" s="13">
        <v>0</v>
      </c>
      <c r="E1241" s="11">
        <v>2.1</v>
      </c>
      <c r="F1241" s="12">
        <v>0.06</v>
      </c>
      <c r="G1241" s="11">
        <v>6</v>
      </c>
      <c r="H1241" s="11">
        <v>13</v>
      </c>
      <c r="I1241" s="14">
        <v>0.99663999999999997</v>
      </c>
      <c r="J1241" s="13">
        <v>3.59</v>
      </c>
      <c r="K1241" s="13">
        <v>0.61</v>
      </c>
      <c r="L1241" s="11">
        <v>10</v>
      </c>
      <c r="M1241" s="10">
        <v>4</v>
      </c>
    </row>
    <row r="1242" spans="1:13" x14ac:dyDescent="0.3">
      <c r="A1242" s="10">
        <v>1241</v>
      </c>
      <c r="B1242" s="11">
        <v>6.8</v>
      </c>
      <c r="C1242" s="12">
        <v>0.64</v>
      </c>
      <c r="D1242" s="13">
        <v>0.03</v>
      </c>
      <c r="E1242" s="11">
        <v>2.2999999999999998</v>
      </c>
      <c r="F1242" s="12">
        <v>7.4999999999999997E-2</v>
      </c>
      <c r="G1242" s="11">
        <v>14</v>
      </c>
      <c r="H1242" s="11">
        <v>31</v>
      </c>
      <c r="I1242" s="14">
        <v>0.99544999999999995</v>
      </c>
      <c r="J1242" s="13">
        <v>3.36</v>
      </c>
      <c r="K1242" s="13">
        <v>0.57999999999999996</v>
      </c>
      <c r="L1242" s="11">
        <v>10.4</v>
      </c>
      <c r="M1242" s="10">
        <v>6</v>
      </c>
    </row>
    <row r="1243" spans="1:13" x14ac:dyDescent="0.3">
      <c r="A1243" s="10">
        <v>1242</v>
      </c>
      <c r="B1243" s="11">
        <v>6.9</v>
      </c>
      <c r="C1243" s="12">
        <v>0.63</v>
      </c>
      <c r="D1243" s="13">
        <v>0.01</v>
      </c>
      <c r="E1243" s="11">
        <v>2.4</v>
      </c>
      <c r="F1243" s="12">
        <v>7.5999999999999998E-2</v>
      </c>
      <c r="G1243" s="11">
        <v>14</v>
      </c>
      <c r="H1243" s="11">
        <v>39</v>
      </c>
      <c r="I1243" s="14">
        <v>0.99521999999999999</v>
      </c>
      <c r="J1243" s="13">
        <v>3.34</v>
      </c>
      <c r="K1243" s="13">
        <v>0.53</v>
      </c>
      <c r="L1243" s="11">
        <v>10.8</v>
      </c>
      <c r="M1243" s="10">
        <v>6</v>
      </c>
    </row>
    <row r="1244" spans="1:13" x14ac:dyDescent="0.3">
      <c r="A1244" s="10">
        <v>1243</v>
      </c>
      <c r="B1244" s="11">
        <v>6.8</v>
      </c>
      <c r="C1244" s="12">
        <v>0.59</v>
      </c>
      <c r="D1244" s="13">
        <v>0.1</v>
      </c>
      <c r="E1244" s="11">
        <v>1.7</v>
      </c>
      <c r="F1244" s="12">
        <v>6.3E-2</v>
      </c>
      <c r="G1244" s="11">
        <v>34</v>
      </c>
      <c r="H1244" s="11">
        <v>53</v>
      </c>
      <c r="I1244" s="14">
        <v>0.99580000000000002</v>
      </c>
      <c r="J1244" s="13">
        <v>3.41</v>
      </c>
      <c r="K1244" s="13">
        <v>0.67</v>
      </c>
      <c r="L1244" s="11">
        <v>9.6999999999999993</v>
      </c>
      <c r="M1244" s="10">
        <v>5</v>
      </c>
    </row>
    <row r="1245" spans="1:13" x14ac:dyDescent="0.3">
      <c r="A1245" s="10">
        <v>1244</v>
      </c>
      <c r="B1245" s="11">
        <v>7.3</v>
      </c>
      <c r="C1245" s="12">
        <v>0.48</v>
      </c>
      <c r="D1245" s="13">
        <v>0.32</v>
      </c>
      <c r="E1245" s="11">
        <v>2.1</v>
      </c>
      <c r="F1245" s="12">
        <v>6.2E-2</v>
      </c>
      <c r="G1245" s="11">
        <v>31</v>
      </c>
      <c r="H1245" s="11">
        <v>54</v>
      </c>
      <c r="I1245" s="14">
        <v>0.99728000000000006</v>
      </c>
      <c r="J1245" s="13">
        <v>3.3</v>
      </c>
      <c r="K1245" s="13">
        <v>0.65</v>
      </c>
      <c r="L1245" s="11">
        <v>10</v>
      </c>
      <c r="M1245" s="10">
        <v>7</v>
      </c>
    </row>
    <row r="1246" spans="1:13" x14ac:dyDescent="0.3">
      <c r="A1246" s="10">
        <v>1245</v>
      </c>
      <c r="B1246" s="11">
        <v>6.7</v>
      </c>
      <c r="C1246" s="12">
        <v>1.04</v>
      </c>
      <c r="D1246" s="13">
        <v>0.08</v>
      </c>
      <c r="E1246" s="11">
        <v>2.2999999999999998</v>
      </c>
      <c r="F1246" s="12">
        <v>6.7000000000000004E-2</v>
      </c>
      <c r="G1246" s="11">
        <v>19</v>
      </c>
      <c r="H1246" s="11">
        <v>32</v>
      </c>
      <c r="I1246" s="14">
        <v>0.99648000000000003</v>
      </c>
      <c r="J1246" s="13">
        <v>3.52</v>
      </c>
      <c r="K1246" s="13">
        <v>0.56999999999999995</v>
      </c>
      <c r="L1246" s="11">
        <v>11</v>
      </c>
      <c r="M1246" s="10">
        <v>4</v>
      </c>
    </row>
    <row r="1247" spans="1:13" x14ac:dyDescent="0.3">
      <c r="A1247" s="10">
        <v>1246</v>
      </c>
      <c r="B1247" s="11">
        <v>7.3</v>
      </c>
      <c r="C1247" s="12">
        <v>0.98</v>
      </c>
      <c r="D1247" s="13">
        <v>0.05</v>
      </c>
      <c r="E1247" s="11">
        <v>2.1</v>
      </c>
      <c r="F1247" s="12">
        <v>6.0999999999999999E-2</v>
      </c>
      <c r="G1247" s="11">
        <v>20</v>
      </c>
      <c r="H1247" s="11">
        <v>49</v>
      </c>
      <c r="I1247" s="14">
        <v>0.99704999999999999</v>
      </c>
      <c r="J1247" s="13">
        <v>3.31</v>
      </c>
      <c r="K1247" s="13">
        <v>0.55000000000000004</v>
      </c>
      <c r="L1247" s="11">
        <v>9.6999999999999993</v>
      </c>
      <c r="M1247" s="10">
        <v>3</v>
      </c>
    </row>
    <row r="1248" spans="1:13" x14ac:dyDescent="0.3">
      <c r="A1248" s="10">
        <v>1247</v>
      </c>
      <c r="B1248" s="11">
        <v>10</v>
      </c>
      <c r="C1248" s="12">
        <v>0.69</v>
      </c>
      <c r="D1248" s="13">
        <v>0.11</v>
      </c>
      <c r="E1248" s="11">
        <v>1.4</v>
      </c>
      <c r="F1248" s="12">
        <v>8.4000000000000005E-2</v>
      </c>
      <c r="G1248" s="11">
        <v>8</v>
      </c>
      <c r="H1248" s="11">
        <v>24</v>
      </c>
      <c r="I1248" s="14">
        <v>0.99578</v>
      </c>
      <c r="J1248" s="13">
        <v>2.88</v>
      </c>
      <c r="K1248" s="13">
        <v>0.47</v>
      </c>
      <c r="L1248" s="11">
        <v>9.6999999999999993</v>
      </c>
      <c r="M1248" s="10">
        <v>5</v>
      </c>
    </row>
    <row r="1249" spans="1:13" x14ac:dyDescent="0.3">
      <c r="A1249" s="10">
        <v>1248</v>
      </c>
      <c r="B1249" s="11">
        <v>6.7</v>
      </c>
      <c r="C1249" s="12">
        <v>0.7</v>
      </c>
      <c r="D1249" s="13">
        <v>0.08</v>
      </c>
      <c r="E1249" s="11">
        <v>3.75</v>
      </c>
      <c r="F1249" s="12">
        <v>6.7000000000000004E-2</v>
      </c>
      <c r="G1249" s="11">
        <v>8</v>
      </c>
      <c r="H1249" s="11">
        <v>16</v>
      </c>
      <c r="I1249" s="14">
        <v>0.99334</v>
      </c>
      <c r="J1249" s="13">
        <v>3.43</v>
      </c>
      <c r="K1249" s="13">
        <v>0.52</v>
      </c>
      <c r="L1249" s="11">
        <v>12.6</v>
      </c>
      <c r="M1249" s="10">
        <v>5</v>
      </c>
    </row>
    <row r="1250" spans="1:13" x14ac:dyDescent="0.3">
      <c r="A1250" s="10">
        <v>1249</v>
      </c>
      <c r="B1250" s="11">
        <v>7.6</v>
      </c>
      <c r="C1250" s="12">
        <v>0.35</v>
      </c>
      <c r="D1250" s="13">
        <v>0.6</v>
      </c>
      <c r="E1250" s="11">
        <v>2.6</v>
      </c>
      <c r="F1250" s="12">
        <v>7.2999999999999995E-2</v>
      </c>
      <c r="G1250" s="11">
        <v>23</v>
      </c>
      <c r="H1250" s="11">
        <v>44</v>
      </c>
      <c r="I1250" s="14">
        <v>0.99656</v>
      </c>
      <c r="J1250" s="13">
        <v>3.38</v>
      </c>
      <c r="K1250" s="13">
        <v>0.79</v>
      </c>
      <c r="L1250" s="11">
        <v>11.1</v>
      </c>
      <c r="M1250" s="10">
        <v>6</v>
      </c>
    </row>
    <row r="1251" spans="1:13" x14ac:dyDescent="0.3">
      <c r="A1251" s="10">
        <v>1250</v>
      </c>
      <c r="B1251" s="11">
        <v>6.1</v>
      </c>
      <c r="C1251" s="12">
        <v>0.6</v>
      </c>
      <c r="D1251" s="13">
        <v>0.08</v>
      </c>
      <c r="E1251" s="11">
        <v>1.8</v>
      </c>
      <c r="F1251" s="12">
        <v>7.0999999999999994E-2</v>
      </c>
      <c r="G1251" s="11">
        <v>14</v>
      </c>
      <c r="H1251" s="11">
        <v>45</v>
      </c>
      <c r="I1251" s="14">
        <v>0.99336000000000002</v>
      </c>
      <c r="J1251" s="13">
        <v>3.38</v>
      </c>
      <c r="K1251" s="13">
        <v>0.54</v>
      </c>
      <c r="L1251" s="11">
        <v>11</v>
      </c>
      <c r="M1251" s="10">
        <v>5</v>
      </c>
    </row>
    <row r="1252" spans="1:13" x14ac:dyDescent="0.3">
      <c r="A1252" s="10">
        <v>1251</v>
      </c>
      <c r="B1252" s="11">
        <v>9.9</v>
      </c>
      <c r="C1252" s="12">
        <v>0.5</v>
      </c>
      <c r="D1252" s="13">
        <v>0.5</v>
      </c>
      <c r="E1252" s="11">
        <v>13.8</v>
      </c>
      <c r="F1252" s="12">
        <v>0.20499999999999999</v>
      </c>
      <c r="G1252" s="11">
        <v>48</v>
      </c>
      <c r="H1252" s="11">
        <v>82</v>
      </c>
      <c r="I1252" s="14">
        <v>1.0024200000000001</v>
      </c>
      <c r="J1252" s="13">
        <v>3.16</v>
      </c>
      <c r="K1252" s="13">
        <v>0.75</v>
      </c>
      <c r="L1252" s="11">
        <v>8.8000000000000007</v>
      </c>
      <c r="M1252" s="10">
        <v>5</v>
      </c>
    </row>
    <row r="1253" spans="1:13" x14ac:dyDescent="0.3">
      <c r="A1253" s="10">
        <v>1252</v>
      </c>
      <c r="B1253" s="11">
        <v>5.3</v>
      </c>
      <c r="C1253" s="12">
        <v>0.47</v>
      </c>
      <c r="D1253" s="13">
        <v>0.11</v>
      </c>
      <c r="E1253" s="11">
        <v>2.2000000000000002</v>
      </c>
      <c r="F1253" s="12">
        <v>4.8000000000000001E-2</v>
      </c>
      <c r="G1253" s="11">
        <v>16</v>
      </c>
      <c r="H1253" s="11">
        <v>89</v>
      </c>
      <c r="I1253" s="14">
        <v>0.99182000000000003</v>
      </c>
      <c r="J1253" s="13">
        <v>3.54</v>
      </c>
      <c r="K1253" s="13">
        <v>0.88</v>
      </c>
      <c r="L1253" s="11">
        <v>13.5666666666667</v>
      </c>
      <c r="M1253" s="10">
        <v>7</v>
      </c>
    </row>
    <row r="1254" spans="1:13" x14ac:dyDescent="0.3">
      <c r="A1254" s="10">
        <v>1253</v>
      </c>
      <c r="B1254" s="11">
        <v>5.3</v>
      </c>
      <c r="C1254" s="12">
        <v>0.47</v>
      </c>
      <c r="D1254" s="13">
        <v>0.11</v>
      </c>
      <c r="E1254" s="11">
        <v>2.2000000000000002</v>
      </c>
      <c r="F1254" s="12">
        <v>4.8000000000000001E-2</v>
      </c>
      <c r="G1254" s="11">
        <v>16</v>
      </c>
      <c r="H1254" s="11">
        <v>89</v>
      </c>
      <c r="I1254" s="14">
        <v>0.99182000000000003</v>
      </c>
      <c r="J1254" s="13">
        <v>3.54</v>
      </c>
      <c r="K1254" s="13">
        <v>0.88</v>
      </c>
      <c r="L1254" s="11">
        <v>13.6</v>
      </c>
      <c r="M1254" s="10">
        <v>7</v>
      </c>
    </row>
    <row r="1255" spans="1:13" x14ac:dyDescent="0.3">
      <c r="A1255" s="10">
        <v>1254</v>
      </c>
      <c r="B1255" s="11">
        <v>7.1</v>
      </c>
      <c r="C1255" s="12">
        <v>0.875</v>
      </c>
      <c r="D1255" s="13">
        <v>0.05</v>
      </c>
      <c r="E1255" s="11">
        <v>5.7</v>
      </c>
      <c r="F1255" s="12">
        <v>8.2000000000000003E-2</v>
      </c>
      <c r="G1255" s="11">
        <v>3</v>
      </c>
      <c r="H1255" s="11">
        <v>14</v>
      </c>
      <c r="I1255" s="14">
        <v>0.99807999999999997</v>
      </c>
      <c r="J1255" s="13">
        <v>3.4</v>
      </c>
      <c r="K1255" s="13">
        <v>0.52</v>
      </c>
      <c r="L1255" s="11">
        <v>10.199999999999999</v>
      </c>
      <c r="M1255" s="10">
        <v>3</v>
      </c>
    </row>
    <row r="1256" spans="1:13" x14ac:dyDescent="0.3">
      <c r="A1256" s="10">
        <v>1255</v>
      </c>
      <c r="B1256" s="11">
        <v>8.1999999999999993</v>
      </c>
      <c r="C1256" s="12">
        <v>0.28000000000000003</v>
      </c>
      <c r="D1256" s="13">
        <v>0.6</v>
      </c>
      <c r="E1256" s="11">
        <v>3</v>
      </c>
      <c r="F1256" s="12">
        <v>0.104</v>
      </c>
      <c r="G1256" s="11">
        <v>10</v>
      </c>
      <c r="H1256" s="11">
        <v>22</v>
      </c>
      <c r="I1256" s="14">
        <v>0.99827999999999995</v>
      </c>
      <c r="J1256" s="13">
        <v>3.39</v>
      </c>
      <c r="K1256" s="13">
        <v>0.68</v>
      </c>
      <c r="L1256" s="11">
        <v>10.6</v>
      </c>
      <c r="M1256" s="10">
        <v>5</v>
      </c>
    </row>
    <row r="1257" spans="1:13" x14ac:dyDescent="0.3">
      <c r="A1257" s="10">
        <v>1256</v>
      </c>
      <c r="B1257" s="11">
        <v>5.6</v>
      </c>
      <c r="C1257" s="12">
        <v>0.62</v>
      </c>
      <c r="D1257" s="13">
        <v>0.03</v>
      </c>
      <c r="E1257" s="11">
        <v>1.5</v>
      </c>
      <c r="F1257" s="12">
        <v>0.08</v>
      </c>
      <c r="G1257" s="11">
        <v>6</v>
      </c>
      <c r="H1257" s="11">
        <v>13</v>
      </c>
      <c r="I1257" s="14">
        <v>0.99497999999999998</v>
      </c>
      <c r="J1257" s="13">
        <v>3.66</v>
      </c>
      <c r="K1257" s="13">
        <v>0.62</v>
      </c>
      <c r="L1257" s="11">
        <v>10.1</v>
      </c>
      <c r="M1257" s="10">
        <v>4</v>
      </c>
    </row>
    <row r="1258" spans="1:13" x14ac:dyDescent="0.3">
      <c r="A1258" s="10">
        <v>1257</v>
      </c>
      <c r="B1258" s="11">
        <v>7.2</v>
      </c>
      <c r="C1258" s="12">
        <v>0.57999999999999996</v>
      </c>
      <c r="D1258" s="13">
        <v>0.54</v>
      </c>
      <c r="E1258" s="11">
        <v>2.1</v>
      </c>
      <c r="F1258" s="12">
        <v>0.114</v>
      </c>
      <c r="G1258" s="11">
        <v>3</v>
      </c>
      <c r="H1258" s="11">
        <v>9</v>
      </c>
      <c r="I1258" s="14">
        <v>0.99719000000000002</v>
      </c>
      <c r="J1258" s="13">
        <v>3.33</v>
      </c>
      <c r="K1258" s="13">
        <v>0.56999999999999995</v>
      </c>
      <c r="L1258" s="11">
        <v>10.3</v>
      </c>
      <c r="M1258" s="10">
        <v>4</v>
      </c>
    </row>
    <row r="1259" spans="1:13" x14ac:dyDescent="0.3">
      <c r="A1259" s="10">
        <v>1258</v>
      </c>
      <c r="B1259" s="11">
        <v>8.1</v>
      </c>
      <c r="C1259" s="12">
        <v>0.33</v>
      </c>
      <c r="D1259" s="13">
        <v>0.44</v>
      </c>
      <c r="E1259" s="11">
        <v>1.5</v>
      </c>
      <c r="F1259" s="12">
        <v>4.2000000000000003E-2</v>
      </c>
      <c r="G1259" s="11">
        <v>6</v>
      </c>
      <c r="H1259" s="11">
        <v>12</v>
      </c>
      <c r="I1259" s="14">
        <v>0.99541999999999997</v>
      </c>
      <c r="J1259" s="13">
        <v>3.35</v>
      </c>
      <c r="K1259" s="13">
        <v>0.61</v>
      </c>
      <c r="L1259" s="11">
        <v>10.7</v>
      </c>
      <c r="M1259" s="10">
        <v>5</v>
      </c>
    </row>
    <row r="1260" spans="1:13" x14ac:dyDescent="0.3">
      <c r="A1260" s="10">
        <v>1259</v>
      </c>
      <c r="B1260" s="11">
        <v>6.8</v>
      </c>
      <c r="C1260" s="12">
        <v>0.91</v>
      </c>
      <c r="D1260" s="13">
        <v>0.06</v>
      </c>
      <c r="E1260" s="11">
        <v>2</v>
      </c>
      <c r="F1260" s="12">
        <v>0.06</v>
      </c>
      <c r="G1260" s="11">
        <v>4</v>
      </c>
      <c r="H1260" s="11">
        <v>11</v>
      </c>
      <c r="I1260" s="14">
        <v>0.99592000000000003</v>
      </c>
      <c r="J1260" s="13">
        <v>3.53</v>
      </c>
      <c r="K1260" s="13">
        <v>0.64</v>
      </c>
      <c r="L1260" s="11">
        <v>10.9</v>
      </c>
      <c r="M1260" s="10">
        <v>4</v>
      </c>
    </row>
    <row r="1261" spans="1:13" x14ac:dyDescent="0.3">
      <c r="A1261" s="10">
        <v>1260</v>
      </c>
      <c r="B1261" s="11">
        <v>7</v>
      </c>
      <c r="C1261" s="12">
        <v>0.65500000000000003</v>
      </c>
      <c r="D1261" s="13">
        <v>0.16</v>
      </c>
      <c r="E1261" s="11">
        <v>2.1</v>
      </c>
      <c r="F1261" s="12">
        <v>7.3999999999999996E-2</v>
      </c>
      <c r="G1261" s="11">
        <v>8</v>
      </c>
      <c r="H1261" s="11">
        <v>25</v>
      </c>
      <c r="I1261" s="14">
        <v>0.99605999999999995</v>
      </c>
      <c r="J1261" s="13">
        <v>3.37</v>
      </c>
      <c r="K1261" s="13">
        <v>0.55000000000000004</v>
      </c>
      <c r="L1261" s="11">
        <v>9.6999999999999993</v>
      </c>
      <c r="M1261" s="10">
        <v>5</v>
      </c>
    </row>
    <row r="1262" spans="1:13" x14ac:dyDescent="0.3">
      <c r="A1262" s="10">
        <v>1261</v>
      </c>
      <c r="B1262" s="11">
        <v>6.8</v>
      </c>
      <c r="C1262" s="12">
        <v>0.68</v>
      </c>
      <c r="D1262" s="13">
        <v>0.21</v>
      </c>
      <c r="E1262" s="11">
        <v>2.1</v>
      </c>
      <c r="F1262" s="12">
        <v>7.0000000000000007E-2</v>
      </c>
      <c r="G1262" s="11">
        <v>9</v>
      </c>
      <c r="H1262" s="11">
        <v>23</v>
      </c>
      <c r="I1262" s="14">
        <v>0.99546000000000001</v>
      </c>
      <c r="J1262" s="13">
        <v>3.38</v>
      </c>
      <c r="K1262" s="13">
        <v>0.6</v>
      </c>
      <c r="L1262" s="11">
        <v>10.3</v>
      </c>
      <c r="M1262" s="10">
        <v>5</v>
      </c>
    </row>
    <row r="1263" spans="1:13" x14ac:dyDescent="0.3">
      <c r="A1263" s="10">
        <v>1262</v>
      </c>
      <c r="B1263" s="11">
        <v>6</v>
      </c>
      <c r="C1263" s="12">
        <v>0.64</v>
      </c>
      <c r="D1263" s="13">
        <v>0.05</v>
      </c>
      <c r="E1263" s="11">
        <v>1.9</v>
      </c>
      <c r="F1263" s="12">
        <v>6.6000000000000003E-2</v>
      </c>
      <c r="G1263" s="11">
        <v>9</v>
      </c>
      <c r="H1263" s="11">
        <v>17</v>
      </c>
      <c r="I1263" s="14">
        <v>0.99495999999999996</v>
      </c>
      <c r="J1263" s="13">
        <v>3.52</v>
      </c>
      <c r="K1263" s="13">
        <v>0.78</v>
      </c>
      <c r="L1263" s="11">
        <v>10.6</v>
      </c>
      <c r="M1263" s="10">
        <v>5</v>
      </c>
    </row>
    <row r="1264" spans="1:13" x14ac:dyDescent="0.3">
      <c r="A1264" s="10">
        <v>1263</v>
      </c>
      <c r="B1264" s="11">
        <v>5.6</v>
      </c>
      <c r="C1264" s="12">
        <v>0.54</v>
      </c>
      <c r="D1264" s="13">
        <v>0.04</v>
      </c>
      <c r="E1264" s="11">
        <v>1.7</v>
      </c>
      <c r="F1264" s="12">
        <v>4.9000000000000002E-2</v>
      </c>
      <c r="G1264" s="11">
        <v>5</v>
      </c>
      <c r="H1264" s="11">
        <v>13</v>
      </c>
      <c r="I1264" s="14">
        <v>0.99419999999999997</v>
      </c>
      <c r="J1264" s="13">
        <v>3.72</v>
      </c>
      <c r="K1264" s="13">
        <v>0.57999999999999996</v>
      </c>
      <c r="L1264" s="11">
        <v>11.4</v>
      </c>
      <c r="M1264" s="10">
        <v>5</v>
      </c>
    </row>
    <row r="1265" spans="1:13" x14ac:dyDescent="0.3">
      <c r="A1265" s="10">
        <v>1264</v>
      </c>
      <c r="B1265" s="11">
        <v>6.2</v>
      </c>
      <c r="C1265" s="12">
        <v>0.56999999999999995</v>
      </c>
      <c r="D1265" s="13">
        <v>0.1</v>
      </c>
      <c r="E1265" s="11">
        <v>2.1</v>
      </c>
      <c r="F1265" s="12">
        <v>4.8000000000000001E-2</v>
      </c>
      <c r="G1265" s="11">
        <v>4</v>
      </c>
      <c r="H1265" s="11">
        <v>11</v>
      </c>
      <c r="I1265" s="14">
        <v>0.99448000000000003</v>
      </c>
      <c r="J1265" s="13">
        <v>3.44</v>
      </c>
      <c r="K1265" s="13">
        <v>0.76</v>
      </c>
      <c r="L1265" s="11">
        <v>10.8</v>
      </c>
      <c r="M1265" s="10">
        <v>6</v>
      </c>
    </row>
    <row r="1266" spans="1:13" x14ac:dyDescent="0.3">
      <c r="A1266" s="10">
        <v>1265</v>
      </c>
      <c r="B1266" s="11">
        <v>7.1</v>
      </c>
      <c r="C1266" s="12">
        <v>0.22</v>
      </c>
      <c r="D1266" s="13">
        <v>0.49</v>
      </c>
      <c r="E1266" s="11">
        <v>1.8</v>
      </c>
      <c r="F1266" s="12">
        <v>3.9E-2</v>
      </c>
      <c r="G1266" s="11">
        <v>8</v>
      </c>
      <c r="H1266" s="11">
        <v>18</v>
      </c>
      <c r="I1266" s="14">
        <v>0.99343999999999999</v>
      </c>
      <c r="J1266" s="13">
        <v>3.39</v>
      </c>
      <c r="K1266" s="13">
        <v>0.56000000000000005</v>
      </c>
      <c r="L1266" s="11">
        <v>12.4</v>
      </c>
      <c r="M1266" s="10">
        <v>6</v>
      </c>
    </row>
    <row r="1267" spans="1:13" x14ac:dyDescent="0.3">
      <c r="A1267" s="10">
        <v>1266</v>
      </c>
      <c r="B1267" s="11">
        <v>6.2</v>
      </c>
      <c r="C1267" s="12">
        <v>0.65</v>
      </c>
      <c r="D1267" s="13">
        <v>0.06</v>
      </c>
      <c r="E1267" s="11">
        <v>1.6</v>
      </c>
      <c r="F1267" s="12">
        <v>0.05</v>
      </c>
      <c r="G1267" s="11">
        <v>6</v>
      </c>
      <c r="H1267" s="11">
        <v>18</v>
      </c>
      <c r="I1267" s="14">
        <v>0.99348000000000003</v>
      </c>
      <c r="J1267" s="13">
        <v>3.57</v>
      </c>
      <c r="K1267" s="13">
        <v>0.54</v>
      </c>
      <c r="L1267" s="11">
        <v>11.95</v>
      </c>
      <c r="M1267" s="10">
        <v>5</v>
      </c>
    </row>
    <row r="1268" spans="1:13" x14ac:dyDescent="0.3">
      <c r="A1268" s="10">
        <v>1267</v>
      </c>
      <c r="B1268" s="11">
        <v>7.7</v>
      </c>
      <c r="C1268" s="12">
        <v>0.54</v>
      </c>
      <c r="D1268" s="13">
        <v>0.26</v>
      </c>
      <c r="E1268" s="11">
        <v>1.9</v>
      </c>
      <c r="F1268" s="12">
        <v>8.8999999999999996E-2</v>
      </c>
      <c r="G1268" s="11">
        <v>23</v>
      </c>
      <c r="H1268" s="11">
        <v>147</v>
      </c>
      <c r="I1268" s="14">
        <v>0.99636000000000002</v>
      </c>
      <c r="J1268" s="13">
        <v>3.26</v>
      </c>
      <c r="K1268" s="13">
        <v>0.59</v>
      </c>
      <c r="L1268" s="11">
        <v>9.6999999999999993</v>
      </c>
      <c r="M1268" s="10">
        <v>5</v>
      </c>
    </row>
    <row r="1269" spans="1:13" x14ac:dyDescent="0.3">
      <c r="A1269" s="10">
        <v>1268</v>
      </c>
      <c r="B1269" s="11">
        <v>6.4</v>
      </c>
      <c r="C1269" s="12">
        <v>0.31</v>
      </c>
      <c r="D1269" s="13">
        <v>0.09</v>
      </c>
      <c r="E1269" s="11">
        <v>1.4</v>
      </c>
      <c r="F1269" s="12">
        <v>6.6000000000000003E-2</v>
      </c>
      <c r="G1269" s="11">
        <v>15</v>
      </c>
      <c r="H1269" s="11">
        <v>28</v>
      </c>
      <c r="I1269" s="14">
        <v>0.99458999999999997</v>
      </c>
      <c r="J1269" s="13">
        <v>3.42</v>
      </c>
      <c r="K1269" s="13">
        <v>0.7</v>
      </c>
      <c r="L1269" s="11">
        <v>10</v>
      </c>
      <c r="M1269" s="10">
        <v>7</v>
      </c>
    </row>
    <row r="1270" spans="1:13" x14ac:dyDescent="0.3">
      <c r="A1270" s="10">
        <v>1269</v>
      </c>
      <c r="B1270" s="11">
        <v>7</v>
      </c>
      <c r="C1270" s="12">
        <v>0.43</v>
      </c>
      <c r="D1270" s="13">
        <v>0.02</v>
      </c>
      <c r="E1270" s="11">
        <v>1.9</v>
      </c>
      <c r="F1270" s="12">
        <v>0.08</v>
      </c>
      <c r="G1270" s="11">
        <v>15</v>
      </c>
      <c r="H1270" s="11">
        <v>28</v>
      </c>
      <c r="I1270" s="14">
        <v>0.99492000000000003</v>
      </c>
      <c r="J1270" s="13">
        <v>3.35</v>
      </c>
      <c r="K1270" s="13">
        <v>0.81</v>
      </c>
      <c r="L1270" s="11">
        <v>10.6</v>
      </c>
      <c r="M1270" s="10">
        <v>6</v>
      </c>
    </row>
    <row r="1271" spans="1:13" x14ac:dyDescent="0.3">
      <c r="A1271" s="10">
        <v>1270</v>
      </c>
      <c r="B1271" s="11">
        <v>6.9</v>
      </c>
      <c r="C1271" s="12">
        <v>0.74</v>
      </c>
      <c r="D1271" s="13">
        <v>0.03</v>
      </c>
      <c r="E1271" s="11">
        <v>2.2999999999999998</v>
      </c>
      <c r="F1271" s="12">
        <v>5.3999999999999999E-2</v>
      </c>
      <c r="G1271" s="11">
        <v>7</v>
      </c>
      <c r="H1271" s="11">
        <v>16</v>
      </c>
      <c r="I1271" s="14">
        <v>0.99507999999999996</v>
      </c>
      <c r="J1271" s="13">
        <v>3.45</v>
      </c>
      <c r="K1271" s="13">
        <v>0.63</v>
      </c>
      <c r="L1271" s="11">
        <v>11.5</v>
      </c>
      <c r="M1271" s="10">
        <v>6</v>
      </c>
    </row>
    <row r="1272" spans="1:13" x14ac:dyDescent="0.3">
      <c r="A1272" s="10">
        <v>1271</v>
      </c>
      <c r="B1272" s="11">
        <v>6.6</v>
      </c>
      <c r="C1272" s="12">
        <v>0.89500000000000002</v>
      </c>
      <c r="D1272" s="13">
        <v>0.04</v>
      </c>
      <c r="E1272" s="11">
        <v>2.2999999999999998</v>
      </c>
      <c r="F1272" s="12">
        <v>6.8000000000000005E-2</v>
      </c>
      <c r="G1272" s="11">
        <v>7</v>
      </c>
      <c r="H1272" s="11">
        <v>13</v>
      </c>
      <c r="I1272" s="14">
        <v>0.99582000000000004</v>
      </c>
      <c r="J1272" s="13">
        <v>3.53</v>
      </c>
      <c r="K1272" s="13">
        <v>0.57999999999999996</v>
      </c>
      <c r="L1272" s="11">
        <v>10.8</v>
      </c>
      <c r="M1272" s="10">
        <v>6</v>
      </c>
    </row>
    <row r="1273" spans="1:13" x14ac:dyDescent="0.3">
      <c r="A1273" s="10">
        <v>1272</v>
      </c>
      <c r="B1273" s="11">
        <v>7.5</v>
      </c>
      <c r="C1273" s="12">
        <v>0.72499999999999998</v>
      </c>
      <c r="D1273" s="13">
        <v>0.04</v>
      </c>
      <c r="E1273" s="11">
        <v>1.5</v>
      </c>
      <c r="F1273" s="12">
        <v>7.5999999999999998E-2</v>
      </c>
      <c r="G1273" s="11">
        <v>8</v>
      </c>
      <c r="H1273" s="11">
        <v>15</v>
      </c>
      <c r="I1273" s="14">
        <v>0.99507999999999996</v>
      </c>
      <c r="J1273" s="13">
        <v>3.26</v>
      </c>
      <c r="K1273" s="13">
        <v>0.53</v>
      </c>
      <c r="L1273" s="11">
        <v>9.6</v>
      </c>
      <c r="M1273" s="10">
        <v>5</v>
      </c>
    </row>
    <row r="1274" spans="1:13" x14ac:dyDescent="0.3">
      <c r="A1274" s="10">
        <v>1273</v>
      </c>
      <c r="B1274" s="11">
        <v>7.8</v>
      </c>
      <c r="C1274" s="12">
        <v>0.82</v>
      </c>
      <c r="D1274" s="13">
        <v>0.28999999999999998</v>
      </c>
      <c r="E1274" s="11">
        <v>4.3</v>
      </c>
      <c r="F1274" s="12">
        <v>8.3000000000000004E-2</v>
      </c>
      <c r="G1274" s="11">
        <v>21</v>
      </c>
      <c r="H1274" s="11">
        <v>64</v>
      </c>
      <c r="I1274" s="14">
        <v>0.99641999999999997</v>
      </c>
      <c r="J1274" s="13">
        <v>3.16</v>
      </c>
      <c r="K1274" s="13">
        <v>0.53</v>
      </c>
      <c r="L1274" s="11">
        <v>9.4</v>
      </c>
      <c r="M1274" s="10">
        <v>5</v>
      </c>
    </row>
    <row r="1275" spans="1:13" x14ac:dyDescent="0.3">
      <c r="A1275" s="10">
        <v>1274</v>
      </c>
      <c r="B1275" s="11">
        <v>7.3</v>
      </c>
      <c r="C1275" s="12">
        <v>0.58499999999999996</v>
      </c>
      <c r="D1275" s="13">
        <v>0.18</v>
      </c>
      <c r="E1275" s="11">
        <v>2.4</v>
      </c>
      <c r="F1275" s="12">
        <v>7.8E-2</v>
      </c>
      <c r="G1275" s="11">
        <v>15</v>
      </c>
      <c r="H1275" s="11">
        <v>60</v>
      </c>
      <c r="I1275" s="14">
        <v>0.99638000000000004</v>
      </c>
      <c r="J1275" s="13">
        <v>3.31</v>
      </c>
      <c r="K1275" s="13">
        <v>0.54</v>
      </c>
      <c r="L1275" s="11">
        <v>9.8000000000000007</v>
      </c>
      <c r="M1275" s="10">
        <v>5</v>
      </c>
    </row>
    <row r="1276" spans="1:13" x14ac:dyDescent="0.3">
      <c r="A1276" s="10">
        <v>1275</v>
      </c>
      <c r="B1276" s="11">
        <v>6.2</v>
      </c>
      <c r="C1276" s="12">
        <v>0.44</v>
      </c>
      <c r="D1276" s="13">
        <v>0.39</v>
      </c>
      <c r="E1276" s="11">
        <v>2.5</v>
      </c>
      <c r="F1276" s="12">
        <v>7.6999999999999999E-2</v>
      </c>
      <c r="G1276" s="11">
        <v>6</v>
      </c>
      <c r="H1276" s="11">
        <v>14</v>
      </c>
      <c r="I1276" s="14">
        <v>0.99555000000000005</v>
      </c>
      <c r="J1276" s="13">
        <v>3.51</v>
      </c>
      <c r="K1276" s="13">
        <v>0.69</v>
      </c>
      <c r="L1276" s="11">
        <v>11</v>
      </c>
      <c r="M1276" s="10">
        <v>6</v>
      </c>
    </row>
    <row r="1277" spans="1:13" x14ac:dyDescent="0.3">
      <c r="A1277" s="10">
        <v>1276</v>
      </c>
      <c r="B1277" s="11">
        <v>7.5</v>
      </c>
      <c r="C1277" s="12">
        <v>0.38</v>
      </c>
      <c r="D1277" s="13">
        <v>0.56999999999999995</v>
      </c>
      <c r="E1277" s="11">
        <v>2.2999999999999998</v>
      </c>
      <c r="F1277" s="12">
        <v>0.106</v>
      </c>
      <c r="G1277" s="11">
        <v>5</v>
      </c>
      <c r="H1277" s="11">
        <v>12</v>
      </c>
      <c r="I1277" s="14">
        <v>0.99604999999999999</v>
      </c>
      <c r="J1277" s="13">
        <v>3.36</v>
      </c>
      <c r="K1277" s="13">
        <v>0.55000000000000004</v>
      </c>
      <c r="L1277" s="11">
        <v>11.4</v>
      </c>
      <c r="M1277" s="10">
        <v>6</v>
      </c>
    </row>
    <row r="1278" spans="1:13" x14ac:dyDescent="0.3">
      <c r="A1278" s="10">
        <v>1277</v>
      </c>
      <c r="B1278" s="11">
        <v>6.7</v>
      </c>
      <c r="C1278" s="12">
        <v>0.76</v>
      </c>
      <c r="D1278" s="13">
        <v>0.02</v>
      </c>
      <c r="E1278" s="11">
        <v>1.8</v>
      </c>
      <c r="F1278" s="12">
        <v>7.8E-2</v>
      </c>
      <c r="G1278" s="11">
        <v>6</v>
      </c>
      <c r="H1278" s="11">
        <v>12</v>
      </c>
      <c r="I1278" s="14">
        <v>0.996</v>
      </c>
      <c r="J1278" s="13">
        <v>3.55</v>
      </c>
      <c r="K1278" s="13">
        <v>0.63</v>
      </c>
      <c r="L1278" s="11">
        <v>9.9499999999999993</v>
      </c>
      <c r="M1278" s="10">
        <v>3</v>
      </c>
    </row>
    <row r="1279" spans="1:13" x14ac:dyDescent="0.3">
      <c r="A1279" s="10">
        <v>1278</v>
      </c>
      <c r="B1279" s="11">
        <v>6.8</v>
      </c>
      <c r="C1279" s="12">
        <v>0.81</v>
      </c>
      <c r="D1279" s="13">
        <v>0.05</v>
      </c>
      <c r="E1279" s="11">
        <v>2</v>
      </c>
      <c r="F1279" s="12">
        <v>7.0000000000000007E-2</v>
      </c>
      <c r="G1279" s="11">
        <v>6</v>
      </c>
      <c r="H1279" s="11">
        <v>14</v>
      </c>
      <c r="I1279" s="14">
        <v>0.99561999999999995</v>
      </c>
      <c r="J1279" s="13">
        <v>3.51</v>
      </c>
      <c r="K1279" s="13">
        <v>0.66</v>
      </c>
      <c r="L1279" s="11">
        <v>10.8</v>
      </c>
      <c r="M1279" s="10">
        <v>6</v>
      </c>
    </row>
    <row r="1280" spans="1:13" x14ac:dyDescent="0.3">
      <c r="A1280" s="10">
        <v>1279</v>
      </c>
      <c r="B1280" s="11">
        <v>7.1</v>
      </c>
      <c r="C1280" s="12">
        <v>0.27</v>
      </c>
      <c r="D1280" s="13">
        <v>0.6</v>
      </c>
      <c r="E1280" s="11">
        <v>2.1</v>
      </c>
      <c r="F1280" s="12">
        <v>7.3999999999999996E-2</v>
      </c>
      <c r="G1280" s="11">
        <v>17</v>
      </c>
      <c r="H1280" s="11">
        <v>25</v>
      </c>
      <c r="I1280" s="14">
        <v>0.99814000000000003</v>
      </c>
      <c r="J1280" s="13">
        <v>3.38</v>
      </c>
      <c r="K1280" s="13">
        <v>0.72</v>
      </c>
      <c r="L1280" s="11">
        <v>10.6</v>
      </c>
      <c r="M1280" s="10">
        <v>6</v>
      </c>
    </row>
    <row r="1281" spans="1:13" x14ac:dyDescent="0.3">
      <c r="A1281" s="10">
        <v>1280</v>
      </c>
      <c r="B1281" s="11">
        <v>7.9</v>
      </c>
      <c r="C1281" s="12">
        <v>0.18</v>
      </c>
      <c r="D1281" s="13">
        <v>0.4</v>
      </c>
      <c r="E1281" s="11">
        <v>1.8</v>
      </c>
      <c r="F1281" s="12">
        <v>6.2E-2</v>
      </c>
      <c r="G1281" s="11">
        <v>7</v>
      </c>
      <c r="H1281" s="11">
        <v>20</v>
      </c>
      <c r="I1281" s="14">
        <v>0.99409999999999998</v>
      </c>
      <c r="J1281" s="13">
        <v>3.28</v>
      </c>
      <c r="K1281" s="13">
        <v>0.7</v>
      </c>
      <c r="L1281" s="11">
        <v>11.1</v>
      </c>
      <c r="M1281" s="10">
        <v>5</v>
      </c>
    </row>
    <row r="1282" spans="1:13" x14ac:dyDescent="0.3">
      <c r="A1282" s="10">
        <v>1281</v>
      </c>
      <c r="B1282" s="11">
        <v>6.4</v>
      </c>
      <c r="C1282" s="12">
        <v>0.36</v>
      </c>
      <c r="D1282" s="13">
        <v>0.21</v>
      </c>
      <c r="E1282" s="11">
        <v>2.2000000000000002</v>
      </c>
      <c r="F1282" s="12">
        <v>4.7E-2</v>
      </c>
      <c r="G1282" s="11">
        <v>26</v>
      </c>
      <c r="H1282" s="11">
        <v>48</v>
      </c>
      <c r="I1282" s="14">
        <v>0.99661</v>
      </c>
      <c r="J1282" s="13">
        <v>3.47</v>
      </c>
      <c r="K1282" s="13">
        <v>0.77</v>
      </c>
      <c r="L1282" s="11">
        <v>9.6999999999999993</v>
      </c>
      <c r="M1282" s="10">
        <v>6</v>
      </c>
    </row>
    <row r="1283" spans="1:13" x14ac:dyDescent="0.3">
      <c r="A1283" s="10">
        <v>1282</v>
      </c>
      <c r="B1283" s="11">
        <v>7.1</v>
      </c>
      <c r="C1283" s="12">
        <v>0.69</v>
      </c>
      <c r="D1283" s="13">
        <v>0.04</v>
      </c>
      <c r="E1283" s="11">
        <v>2.1</v>
      </c>
      <c r="F1283" s="12">
        <v>6.8000000000000005E-2</v>
      </c>
      <c r="G1283" s="11">
        <v>19</v>
      </c>
      <c r="H1283" s="11">
        <v>27</v>
      </c>
      <c r="I1283" s="14">
        <v>0.99712000000000001</v>
      </c>
      <c r="J1283" s="13">
        <v>3.44</v>
      </c>
      <c r="K1283" s="13">
        <v>0.67</v>
      </c>
      <c r="L1283" s="11">
        <v>9.8000000000000007</v>
      </c>
      <c r="M1283" s="10">
        <v>5</v>
      </c>
    </row>
    <row r="1284" spans="1:13" x14ac:dyDescent="0.3">
      <c r="A1284" s="10">
        <v>1283</v>
      </c>
      <c r="B1284" s="11">
        <v>6.4</v>
      </c>
      <c r="C1284" s="12">
        <v>0.79</v>
      </c>
      <c r="D1284" s="13">
        <v>0.04</v>
      </c>
      <c r="E1284" s="11">
        <v>2.2000000000000002</v>
      </c>
      <c r="F1284" s="12">
        <v>6.0999999999999999E-2</v>
      </c>
      <c r="G1284" s="11">
        <v>11</v>
      </c>
      <c r="H1284" s="11">
        <v>17</v>
      </c>
      <c r="I1284" s="14">
        <v>0.99587999999999999</v>
      </c>
      <c r="J1284" s="13">
        <v>3.53</v>
      </c>
      <c r="K1284" s="13">
        <v>0.65</v>
      </c>
      <c r="L1284" s="11">
        <v>10.4</v>
      </c>
      <c r="M1284" s="10">
        <v>6</v>
      </c>
    </row>
    <row r="1285" spans="1:13" x14ac:dyDescent="0.3">
      <c r="A1285" s="10">
        <v>1284</v>
      </c>
      <c r="B1285" s="11">
        <v>6.4</v>
      </c>
      <c r="C1285" s="12">
        <v>0.56000000000000005</v>
      </c>
      <c r="D1285" s="13">
        <v>0.15</v>
      </c>
      <c r="E1285" s="11">
        <v>1.8</v>
      </c>
      <c r="F1285" s="12">
        <v>7.8E-2</v>
      </c>
      <c r="G1285" s="11">
        <v>17</v>
      </c>
      <c r="H1285" s="11">
        <v>65</v>
      </c>
      <c r="I1285" s="14">
        <v>0.99294000000000004</v>
      </c>
      <c r="J1285" s="13">
        <v>3.33</v>
      </c>
      <c r="K1285" s="13">
        <v>0.6</v>
      </c>
      <c r="L1285" s="11">
        <v>10.5</v>
      </c>
      <c r="M1285" s="10">
        <v>6</v>
      </c>
    </row>
    <row r="1286" spans="1:13" x14ac:dyDescent="0.3">
      <c r="A1286" s="10">
        <v>1285</v>
      </c>
      <c r="B1286" s="11">
        <v>6.9</v>
      </c>
      <c r="C1286" s="12">
        <v>0.84</v>
      </c>
      <c r="D1286" s="13">
        <v>0.21</v>
      </c>
      <c r="E1286" s="11">
        <v>4.0999999999999996</v>
      </c>
      <c r="F1286" s="12">
        <v>7.3999999999999996E-2</v>
      </c>
      <c r="G1286" s="11">
        <v>16</v>
      </c>
      <c r="H1286" s="11">
        <v>65</v>
      </c>
      <c r="I1286" s="14">
        <v>0.99841999999999997</v>
      </c>
      <c r="J1286" s="13">
        <v>3.53</v>
      </c>
      <c r="K1286" s="13">
        <v>0.72</v>
      </c>
      <c r="L1286" s="11">
        <v>9.2333333333333307</v>
      </c>
      <c r="M1286" s="10">
        <v>6</v>
      </c>
    </row>
    <row r="1287" spans="1:13" x14ac:dyDescent="0.3">
      <c r="A1287" s="10">
        <v>1286</v>
      </c>
      <c r="B1287" s="11">
        <v>6.9</v>
      </c>
      <c r="C1287" s="12">
        <v>0.84</v>
      </c>
      <c r="D1287" s="13">
        <v>0.21</v>
      </c>
      <c r="E1287" s="11">
        <v>4.0999999999999996</v>
      </c>
      <c r="F1287" s="12">
        <v>7.3999999999999996E-2</v>
      </c>
      <c r="G1287" s="11">
        <v>16</v>
      </c>
      <c r="H1287" s="11">
        <v>65</v>
      </c>
      <c r="I1287" s="14">
        <v>0.99841999999999997</v>
      </c>
      <c r="J1287" s="13">
        <v>3.53</v>
      </c>
      <c r="K1287" s="13">
        <v>0.72</v>
      </c>
      <c r="L1287" s="11">
        <v>9.25</v>
      </c>
      <c r="M1287" s="10">
        <v>6</v>
      </c>
    </row>
    <row r="1288" spans="1:13" x14ac:dyDescent="0.3">
      <c r="A1288" s="10">
        <v>1287</v>
      </c>
      <c r="B1288" s="11">
        <v>6.1</v>
      </c>
      <c r="C1288" s="12">
        <v>0.32</v>
      </c>
      <c r="D1288" s="13">
        <v>0.25</v>
      </c>
      <c r="E1288" s="11">
        <v>2.2999999999999998</v>
      </c>
      <c r="F1288" s="12">
        <v>7.0999999999999994E-2</v>
      </c>
      <c r="G1288" s="11">
        <v>23</v>
      </c>
      <c r="H1288" s="11">
        <v>58</v>
      </c>
      <c r="I1288" s="14">
        <v>0.99633000000000005</v>
      </c>
      <c r="J1288" s="13">
        <v>3.42</v>
      </c>
      <c r="K1288" s="13">
        <v>0.97</v>
      </c>
      <c r="L1288" s="11">
        <v>10.6</v>
      </c>
      <c r="M1288" s="10">
        <v>5</v>
      </c>
    </row>
    <row r="1289" spans="1:13" x14ac:dyDescent="0.3">
      <c r="A1289" s="10">
        <v>1288</v>
      </c>
      <c r="B1289" s="11">
        <v>6.5</v>
      </c>
      <c r="C1289" s="12">
        <v>0.53</v>
      </c>
      <c r="D1289" s="13">
        <v>0.06</v>
      </c>
      <c r="E1289" s="11">
        <v>2</v>
      </c>
      <c r="F1289" s="12">
        <v>6.3E-2</v>
      </c>
      <c r="G1289" s="11">
        <v>29</v>
      </c>
      <c r="H1289" s="11">
        <v>44</v>
      </c>
      <c r="I1289" s="14">
        <v>0.99489000000000005</v>
      </c>
      <c r="J1289" s="13">
        <v>3.38</v>
      </c>
      <c r="K1289" s="13">
        <v>0.83</v>
      </c>
      <c r="L1289" s="11">
        <v>10.3</v>
      </c>
      <c r="M1289" s="10">
        <v>6</v>
      </c>
    </row>
    <row r="1290" spans="1:13" x14ac:dyDescent="0.3">
      <c r="A1290" s="10">
        <v>1289</v>
      </c>
      <c r="B1290" s="11">
        <v>7.4</v>
      </c>
      <c r="C1290" s="12">
        <v>0.47</v>
      </c>
      <c r="D1290" s="13">
        <v>0.46</v>
      </c>
      <c r="E1290" s="11">
        <v>2.2000000000000002</v>
      </c>
      <c r="F1290" s="12">
        <v>0.114</v>
      </c>
      <c r="G1290" s="11">
        <v>7</v>
      </c>
      <c r="H1290" s="11">
        <v>20</v>
      </c>
      <c r="I1290" s="14">
        <v>0.99646999999999997</v>
      </c>
      <c r="J1290" s="13">
        <v>3.32</v>
      </c>
      <c r="K1290" s="13">
        <v>0.63</v>
      </c>
      <c r="L1290" s="11">
        <v>10.5</v>
      </c>
      <c r="M1290" s="10">
        <v>5</v>
      </c>
    </row>
    <row r="1291" spans="1:13" x14ac:dyDescent="0.3">
      <c r="A1291" s="10">
        <v>1290</v>
      </c>
      <c r="B1291" s="11">
        <v>6.6</v>
      </c>
      <c r="C1291" s="12">
        <v>0.7</v>
      </c>
      <c r="D1291" s="13">
        <v>0.08</v>
      </c>
      <c r="E1291" s="11">
        <v>2.6</v>
      </c>
      <c r="F1291" s="12">
        <v>0.106</v>
      </c>
      <c r="G1291" s="11">
        <v>14</v>
      </c>
      <c r="H1291" s="11">
        <v>27</v>
      </c>
      <c r="I1291" s="14">
        <v>0.99665000000000004</v>
      </c>
      <c r="J1291" s="13">
        <v>3.44</v>
      </c>
      <c r="K1291" s="13">
        <v>0.57999999999999996</v>
      </c>
      <c r="L1291" s="11">
        <v>10.199999999999999</v>
      </c>
      <c r="M1291" s="10">
        <v>5</v>
      </c>
    </row>
    <row r="1292" spans="1:13" x14ac:dyDescent="0.3">
      <c r="A1292" s="10">
        <v>1291</v>
      </c>
      <c r="B1292" s="11">
        <v>6.9</v>
      </c>
      <c r="C1292" s="12">
        <v>0.48</v>
      </c>
      <c r="D1292" s="13">
        <v>0.2</v>
      </c>
      <c r="E1292" s="11">
        <v>1.9</v>
      </c>
      <c r="F1292" s="12">
        <v>8.2000000000000003E-2</v>
      </c>
      <c r="G1292" s="11">
        <v>9</v>
      </c>
      <c r="H1292" s="11">
        <v>23</v>
      </c>
      <c r="I1292" s="14">
        <v>0.99585000000000001</v>
      </c>
      <c r="J1292" s="13">
        <v>3.39</v>
      </c>
      <c r="K1292" s="13">
        <v>0.43</v>
      </c>
      <c r="L1292" s="11">
        <v>9.0500000000000007</v>
      </c>
      <c r="M1292" s="10">
        <v>4</v>
      </c>
    </row>
    <row r="1293" spans="1:13" x14ac:dyDescent="0.3">
      <c r="A1293" s="10">
        <v>1292</v>
      </c>
      <c r="B1293" s="11">
        <v>6.8</v>
      </c>
      <c r="C1293" s="12">
        <v>0.48</v>
      </c>
      <c r="D1293" s="13">
        <v>0.25</v>
      </c>
      <c r="E1293" s="11">
        <v>2</v>
      </c>
      <c r="F1293" s="12">
        <v>7.5999999999999998E-2</v>
      </c>
      <c r="G1293" s="11">
        <v>29</v>
      </c>
      <c r="H1293" s="11">
        <v>61</v>
      </c>
      <c r="I1293" s="14">
        <v>0.99529999999999996</v>
      </c>
      <c r="J1293" s="13">
        <v>3.34</v>
      </c>
      <c r="K1293" s="13">
        <v>0.6</v>
      </c>
      <c r="L1293" s="11">
        <v>10.4</v>
      </c>
      <c r="M1293" s="10">
        <v>5</v>
      </c>
    </row>
    <row r="1294" spans="1:13" x14ac:dyDescent="0.3">
      <c r="A1294" s="10">
        <v>1293</v>
      </c>
      <c r="B1294" s="11">
        <v>6</v>
      </c>
      <c r="C1294" s="12">
        <v>0.42</v>
      </c>
      <c r="D1294" s="13">
        <v>0.19</v>
      </c>
      <c r="E1294" s="11">
        <v>2</v>
      </c>
      <c r="F1294" s="12">
        <v>7.4999999999999997E-2</v>
      </c>
      <c r="G1294" s="11">
        <v>22</v>
      </c>
      <c r="H1294" s="11">
        <v>47</v>
      </c>
      <c r="I1294" s="14">
        <v>0.99521999999999999</v>
      </c>
      <c r="J1294" s="13">
        <v>3.39</v>
      </c>
      <c r="K1294" s="13">
        <v>0.78</v>
      </c>
      <c r="L1294" s="11">
        <v>10</v>
      </c>
      <c r="M1294" s="10">
        <v>6</v>
      </c>
    </row>
    <row r="1295" spans="1:13" x14ac:dyDescent="0.3">
      <c r="A1295" s="10">
        <v>1294</v>
      </c>
      <c r="B1295" s="11">
        <v>6.7</v>
      </c>
      <c r="C1295" s="12">
        <v>0.48</v>
      </c>
      <c r="D1295" s="13">
        <v>0.08</v>
      </c>
      <c r="E1295" s="11">
        <v>2.1</v>
      </c>
      <c r="F1295" s="12">
        <v>6.4000000000000001E-2</v>
      </c>
      <c r="G1295" s="11">
        <v>18</v>
      </c>
      <c r="H1295" s="11">
        <v>34</v>
      </c>
      <c r="I1295" s="14">
        <v>0.99551999999999996</v>
      </c>
      <c r="J1295" s="13">
        <v>3.33</v>
      </c>
      <c r="K1295" s="13">
        <v>0.64</v>
      </c>
      <c r="L1295" s="11">
        <v>9.6999999999999993</v>
      </c>
      <c r="M1295" s="10">
        <v>5</v>
      </c>
    </row>
    <row r="1296" spans="1:13" x14ac:dyDescent="0.3">
      <c r="A1296" s="10">
        <v>1295</v>
      </c>
      <c r="B1296" s="11">
        <v>6.8</v>
      </c>
      <c r="C1296" s="12">
        <v>0.47</v>
      </c>
      <c r="D1296" s="13">
        <v>0.08</v>
      </c>
      <c r="E1296" s="11">
        <v>2.2000000000000002</v>
      </c>
      <c r="F1296" s="12">
        <v>6.4000000000000001E-2</v>
      </c>
      <c r="G1296" s="11">
        <v>18</v>
      </c>
      <c r="H1296" s="11">
        <v>38</v>
      </c>
      <c r="I1296" s="14">
        <v>0.99553000000000003</v>
      </c>
      <c r="J1296" s="13">
        <v>3.3</v>
      </c>
      <c r="K1296" s="13">
        <v>0.65</v>
      </c>
      <c r="L1296" s="11">
        <v>9.6</v>
      </c>
      <c r="M1296" s="10">
        <v>6</v>
      </c>
    </row>
    <row r="1297" spans="1:13" x14ac:dyDescent="0.3">
      <c r="A1297" s="10">
        <v>1296</v>
      </c>
      <c r="B1297" s="11">
        <v>7.1</v>
      </c>
      <c r="C1297" s="12">
        <v>0.53</v>
      </c>
      <c r="D1297" s="13">
        <v>7.0000000000000007E-2</v>
      </c>
      <c r="E1297" s="11">
        <v>1.7</v>
      </c>
      <c r="F1297" s="12">
        <v>7.0999999999999994E-2</v>
      </c>
      <c r="G1297" s="11">
        <v>15</v>
      </c>
      <c r="H1297" s="11">
        <v>24</v>
      </c>
      <c r="I1297" s="14">
        <v>0.99509999999999998</v>
      </c>
      <c r="J1297" s="13">
        <v>3.29</v>
      </c>
      <c r="K1297" s="13">
        <v>0.66</v>
      </c>
      <c r="L1297" s="11">
        <v>10.8</v>
      </c>
      <c r="M1297" s="10">
        <v>6</v>
      </c>
    </row>
    <row r="1298" spans="1:13" x14ac:dyDescent="0.3">
      <c r="A1298" s="10">
        <v>1297</v>
      </c>
      <c r="B1298" s="11">
        <v>7.9</v>
      </c>
      <c r="C1298" s="12">
        <v>0.28999999999999998</v>
      </c>
      <c r="D1298" s="13">
        <v>0.49</v>
      </c>
      <c r="E1298" s="11">
        <v>2.2000000000000002</v>
      </c>
      <c r="F1298" s="12">
        <v>9.6000000000000002E-2</v>
      </c>
      <c r="G1298" s="11">
        <v>21</v>
      </c>
      <c r="H1298" s="11">
        <v>59</v>
      </c>
      <c r="I1298" s="14">
        <v>0.99714000000000003</v>
      </c>
      <c r="J1298" s="13">
        <v>3.31</v>
      </c>
      <c r="K1298" s="13">
        <v>0.67</v>
      </c>
      <c r="L1298" s="11">
        <v>10.1</v>
      </c>
      <c r="M1298" s="10">
        <v>6</v>
      </c>
    </row>
    <row r="1299" spans="1:13" x14ac:dyDescent="0.3">
      <c r="A1299" s="10">
        <v>1298</v>
      </c>
      <c r="B1299" s="11">
        <v>7.1</v>
      </c>
      <c r="C1299" s="12">
        <v>0.69</v>
      </c>
      <c r="D1299" s="13">
        <v>0.08</v>
      </c>
      <c r="E1299" s="11">
        <v>2.1</v>
      </c>
      <c r="F1299" s="12">
        <v>6.3E-2</v>
      </c>
      <c r="G1299" s="11">
        <v>42</v>
      </c>
      <c r="H1299" s="11">
        <v>52</v>
      </c>
      <c r="I1299" s="14">
        <v>0.99607999999999997</v>
      </c>
      <c r="J1299" s="13">
        <v>3.42</v>
      </c>
      <c r="K1299" s="13">
        <v>0.6</v>
      </c>
      <c r="L1299" s="11">
        <v>10.199999999999999</v>
      </c>
      <c r="M1299" s="10">
        <v>6</v>
      </c>
    </row>
    <row r="1300" spans="1:13" x14ac:dyDescent="0.3">
      <c r="A1300" s="10">
        <v>1299</v>
      </c>
      <c r="B1300" s="11">
        <v>6.6</v>
      </c>
      <c r="C1300" s="12">
        <v>0.44</v>
      </c>
      <c r="D1300" s="13">
        <v>0.09</v>
      </c>
      <c r="E1300" s="11">
        <v>2.2000000000000002</v>
      </c>
      <c r="F1300" s="12">
        <v>6.3E-2</v>
      </c>
      <c r="G1300" s="11">
        <v>9</v>
      </c>
      <c r="H1300" s="11">
        <v>18</v>
      </c>
      <c r="I1300" s="14">
        <v>0.99443999999999999</v>
      </c>
      <c r="J1300" s="13">
        <v>3.42</v>
      </c>
      <c r="K1300" s="13">
        <v>0.69</v>
      </c>
      <c r="L1300" s="11">
        <v>11.3</v>
      </c>
      <c r="M1300" s="10">
        <v>6</v>
      </c>
    </row>
    <row r="1301" spans="1:13" x14ac:dyDescent="0.3">
      <c r="A1301" s="10">
        <v>1300</v>
      </c>
      <c r="B1301" s="11">
        <v>6.1</v>
      </c>
      <c r="C1301" s="12">
        <v>0.70499999999999996</v>
      </c>
      <c r="D1301" s="13">
        <v>0.1</v>
      </c>
      <c r="E1301" s="11">
        <v>2.8</v>
      </c>
      <c r="F1301" s="12">
        <v>8.1000000000000003E-2</v>
      </c>
      <c r="G1301" s="11">
        <v>13</v>
      </c>
      <c r="H1301" s="11">
        <v>28</v>
      </c>
      <c r="I1301" s="14">
        <v>0.99631000000000003</v>
      </c>
      <c r="J1301" s="13">
        <v>3.6</v>
      </c>
      <c r="K1301" s="13">
        <v>0.66</v>
      </c>
      <c r="L1301" s="11">
        <v>10.199999999999999</v>
      </c>
      <c r="M1301" s="10">
        <v>5</v>
      </c>
    </row>
    <row r="1302" spans="1:13" x14ac:dyDescent="0.3">
      <c r="A1302" s="10">
        <v>1301</v>
      </c>
      <c r="B1302" s="11">
        <v>7.2</v>
      </c>
      <c r="C1302" s="12">
        <v>0.53</v>
      </c>
      <c r="D1302" s="13">
        <v>0.13</v>
      </c>
      <c r="E1302" s="11">
        <v>2</v>
      </c>
      <c r="F1302" s="12">
        <v>5.8000000000000003E-2</v>
      </c>
      <c r="G1302" s="11">
        <v>18</v>
      </c>
      <c r="H1302" s="11">
        <v>22</v>
      </c>
      <c r="I1302" s="14">
        <v>0.99573</v>
      </c>
      <c r="J1302" s="13">
        <v>3.21</v>
      </c>
      <c r="K1302" s="13">
        <v>0.68</v>
      </c>
      <c r="L1302" s="11">
        <v>9.9</v>
      </c>
      <c r="M1302" s="10">
        <v>6</v>
      </c>
    </row>
    <row r="1303" spans="1:13" x14ac:dyDescent="0.3">
      <c r="A1303" s="10">
        <v>1302</v>
      </c>
      <c r="B1303" s="11">
        <v>8</v>
      </c>
      <c r="C1303" s="12">
        <v>0.39</v>
      </c>
      <c r="D1303" s="13">
        <v>0.3</v>
      </c>
      <c r="E1303" s="11">
        <v>1.9</v>
      </c>
      <c r="F1303" s="12">
        <v>7.3999999999999996E-2</v>
      </c>
      <c r="G1303" s="11">
        <v>32</v>
      </c>
      <c r="H1303" s="11">
        <v>84</v>
      </c>
      <c r="I1303" s="14">
        <v>0.99717</v>
      </c>
      <c r="J1303" s="13">
        <v>3.39</v>
      </c>
      <c r="K1303" s="13">
        <v>0.61</v>
      </c>
      <c r="L1303" s="11">
        <v>9</v>
      </c>
      <c r="M1303" s="10">
        <v>5</v>
      </c>
    </row>
    <row r="1304" spans="1:13" x14ac:dyDescent="0.3">
      <c r="A1304" s="10">
        <v>1303</v>
      </c>
      <c r="B1304" s="11">
        <v>6.6</v>
      </c>
      <c r="C1304" s="12">
        <v>0.56000000000000005</v>
      </c>
      <c r="D1304" s="13">
        <v>0.14000000000000001</v>
      </c>
      <c r="E1304" s="11">
        <v>2.4</v>
      </c>
      <c r="F1304" s="12">
        <v>6.4000000000000001E-2</v>
      </c>
      <c r="G1304" s="11">
        <v>13</v>
      </c>
      <c r="H1304" s="11">
        <v>29</v>
      </c>
      <c r="I1304" s="14">
        <v>0.99397000000000002</v>
      </c>
      <c r="J1304" s="13">
        <v>3.42</v>
      </c>
      <c r="K1304" s="13">
        <v>0.62</v>
      </c>
      <c r="L1304" s="11">
        <v>11.7</v>
      </c>
      <c r="M1304" s="10">
        <v>7</v>
      </c>
    </row>
    <row r="1305" spans="1:13" x14ac:dyDescent="0.3">
      <c r="A1305" s="10">
        <v>1304</v>
      </c>
      <c r="B1305" s="11">
        <v>7</v>
      </c>
      <c r="C1305" s="12">
        <v>0.55000000000000004</v>
      </c>
      <c r="D1305" s="13">
        <v>0.13</v>
      </c>
      <c r="E1305" s="11">
        <v>2.2000000000000002</v>
      </c>
      <c r="F1305" s="12">
        <v>7.4999999999999997E-2</v>
      </c>
      <c r="G1305" s="11">
        <v>15</v>
      </c>
      <c r="H1305" s="11">
        <v>35</v>
      </c>
      <c r="I1305" s="14">
        <v>0.99590000000000001</v>
      </c>
      <c r="J1305" s="13">
        <v>3.36</v>
      </c>
      <c r="K1305" s="13">
        <v>0.59</v>
      </c>
      <c r="L1305" s="11">
        <v>9.6999999999999993</v>
      </c>
      <c r="M1305" s="10">
        <v>6</v>
      </c>
    </row>
    <row r="1306" spans="1:13" x14ac:dyDescent="0.3">
      <c r="A1306" s="10">
        <v>1305</v>
      </c>
      <c r="B1306" s="11">
        <v>6.1</v>
      </c>
      <c r="C1306" s="12">
        <v>0.53</v>
      </c>
      <c r="D1306" s="13">
        <v>0.08</v>
      </c>
      <c r="E1306" s="11">
        <v>1.9</v>
      </c>
      <c r="F1306" s="12">
        <v>7.6999999999999999E-2</v>
      </c>
      <c r="G1306" s="11">
        <v>24</v>
      </c>
      <c r="H1306" s="11">
        <v>45</v>
      </c>
      <c r="I1306" s="14">
        <v>0.99528000000000005</v>
      </c>
      <c r="J1306" s="13">
        <v>3.6</v>
      </c>
      <c r="K1306" s="13">
        <v>0.68</v>
      </c>
      <c r="L1306" s="11">
        <v>10.3</v>
      </c>
      <c r="M1306" s="10">
        <v>6</v>
      </c>
    </row>
    <row r="1307" spans="1:13" x14ac:dyDescent="0.3">
      <c r="A1307" s="10">
        <v>1306</v>
      </c>
      <c r="B1307" s="11">
        <v>5.4</v>
      </c>
      <c r="C1307" s="12">
        <v>0.57999999999999996</v>
      </c>
      <c r="D1307" s="13">
        <v>0.08</v>
      </c>
      <c r="E1307" s="11">
        <v>1.9</v>
      </c>
      <c r="F1307" s="12">
        <v>5.8999999999999997E-2</v>
      </c>
      <c r="G1307" s="11">
        <v>20</v>
      </c>
      <c r="H1307" s="11">
        <v>31</v>
      </c>
      <c r="I1307" s="14">
        <v>0.99483999999999995</v>
      </c>
      <c r="J1307" s="13">
        <v>3.5</v>
      </c>
      <c r="K1307" s="13">
        <v>0.64</v>
      </c>
      <c r="L1307" s="11">
        <v>10.199999999999999</v>
      </c>
      <c r="M1307" s="10">
        <v>6</v>
      </c>
    </row>
    <row r="1308" spans="1:13" x14ac:dyDescent="0.3">
      <c r="A1308" s="10">
        <v>1307</v>
      </c>
      <c r="B1308" s="11">
        <v>6.2</v>
      </c>
      <c r="C1308" s="12">
        <v>0.64</v>
      </c>
      <c r="D1308" s="13">
        <v>0.09</v>
      </c>
      <c r="E1308" s="11">
        <v>2.5</v>
      </c>
      <c r="F1308" s="12">
        <v>8.1000000000000003E-2</v>
      </c>
      <c r="G1308" s="11">
        <v>15</v>
      </c>
      <c r="H1308" s="11">
        <v>26</v>
      </c>
      <c r="I1308" s="14">
        <v>0.99538000000000004</v>
      </c>
      <c r="J1308" s="13">
        <v>3.57</v>
      </c>
      <c r="K1308" s="13">
        <v>0.63</v>
      </c>
      <c r="L1308" s="11">
        <v>12</v>
      </c>
      <c r="M1308" s="10">
        <v>5</v>
      </c>
    </row>
    <row r="1309" spans="1:13" x14ac:dyDescent="0.3">
      <c r="A1309" s="10">
        <v>1308</v>
      </c>
      <c r="B1309" s="11">
        <v>7.2</v>
      </c>
      <c r="C1309" s="12">
        <v>0.39</v>
      </c>
      <c r="D1309" s="13">
        <v>0.32</v>
      </c>
      <c r="E1309" s="11">
        <v>1.8</v>
      </c>
      <c r="F1309" s="12">
        <v>6.5000000000000002E-2</v>
      </c>
      <c r="G1309" s="11">
        <v>34</v>
      </c>
      <c r="H1309" s="11">
        <v>60</v>
      </c>
      <c r="I1309" s="14">
        <v>0.99714000000000003</v>
      </c>
      <c r="J1309" s="13">
        <v>3.46</v>
      </c>
      <c r="K1309" s="13">
        <v>0.78</v>
      </c>
      <c r="L1309" s="11">
        <v>9.9</v>
      </c>
      <c r="M1309" s="10">
        <v>5</v>
      </c>
    </row>
    <row r="1310" spans="1:13" x14ac:dyDescent="0.3">
      <c r="A1310" s="10">
        <v>1309</v>
      </c>
      <c r="B1310" s="11">
        <v>6.2</v>
      </c>
      <c r="C1310" s="12">
        <v>0.52</v>
      </c>
      <c r="D1310" s="13">
        <v>0.08</v>
      </c>
      <c r="E1310" s="11">
        <v>4.4000000000000004</v>
      </c>
      <c r="F1310" s="12">
        <v>7.0999999999999994E-2</v>
      </c>
      <c r="G1310" s="11">
        <v>11</v>
      </c>
      <c r="H1310" s="11">
        <v>32</v>
      </c>
      <c r="I1310" s="14">
        <v>0.99646000000000001</v>
      </c>
      <c r="J1310" s="13">
        <v>3.56</v>
      </c>
      <c r="K1310" s="13">
        <v>0.63</v>
      </c>
      <c r="L1310" s="11">
        <v>11.6</v>
      </c>
      <c r="M1310" s="10">
        <v>6</v>
      </c>
    </row>
    <row r="1311" spans="1:13" x14ac:dyDescent="0.3">
      <c r="A1311" s="10">
        <v>1310</v>
      </c>
      <c r="B1311" s="11">
        <v>7.4</v>
      </c>
      <c r="C1311" s="12">
        <v>0.25</v>
      </c>
      <c r="D1311" s="13">
        <v>0.28999999999999998</v>
      </c>
      <c r="E1311" s="11">
        <v>2.2000000000000002</v>
      </c>
      <c r="F1311" s="12">
        <v>5.3999999999999999E-2</v>
      </c>
      <c r="G1311" s="11">
        <v>19</v>
      </c>
      <c r="H1311" s="11">
        <v>49</v>
      </c>
      <c r="I1311" s="14">
        <v>0.99665999999999999</v>
      </c>
      <c r="J1311" s="13">
        <v>3.4</v>
      </c>
      <c r="K1311" s="13">
        <v>0.76</v>
      </c>
      <c r="L1311" s="11">
        <v>10.9</v>
      </c>
      <c r="M1311" s="10">
        <v>7</v>
      </c>
    </row>
    <row r="1312" spans="1:13" x14ac:dyDescent="0.3">
      <c r="A1312" s="10">
        <v>1311</v>
      </c>
      <c r="B1312" s="11">
        <v>6.7</v>
      </c>
      <c r="C1312" s="12">
        <v>0.85499999999999998</v>
      </c>
      <c r="D1312" s="13">
        <v>0.02</v>
      </c>
      <c r="E1312" s="11">
        <v>1.9</v>
      </c>
      <c r="F1312" s="12">
        <v>6.4000000000000001E-2</v>
      </c>
      <c r="G1312" s="11">
        <v>29</v>
      </c>
      <c r="H1312" s="11">
        <v>38</v>
      </c>
      <c r="I1312" s="14">
        <v>0.99472000000000005</v>
      </c>
      <c r="J1312" s="13">
        <v>3.3</v>
      </c>
      <c r="K1312" s="13">
        <v>0.56000000000000005</v>
      </c>
      <c r="L1312" s="11">
        <v>10.75</v>
      </c>
      <c r="M1312" s="10">
        <v>6</v>
      </c>
    </row>
    <row r="1313" spans="1:13" x14ac:dyDescent="0.3">
      <c r="A1313" s="10">
        <v>1312</v>
      </c>
      <c r="B1313" s="11">
        <v>11.1</v>
      </c>
      <c r="C1313" s="12">
        <v>0.44</v>
      </c>
      <c r="D1313" s="13">
        <v>0.42</v>
      </c>
      <c r="E1313" s="11">
        <v>2.2000000000000002</v>
      </c>
      <c r="F1313" s="12">
        <v>6.4000000000000001E-2</v>
      </c>
      <c r="G1313" s="11">
        <v>14</v>
      </c>
      <c r="H1313" s="11">
        <v>19</v>
      </c>
      <c r="I1313" s="14">
        <v>0.99758000000000002</v>
      </c>
      <c r="J1313" s="13">
        <v>3.25</v>
      </c>
      <c r="K1313" s="13">
        <v>0.56999999999999995</v>
      </c>
      <c r="L1313" s="11">
        <v>10.4</v>
      </c>
      <c r="M1313" s="10">
        <v>6</v>
      </c>
    </row>
    <row r="1314" spans="1:13" x14ac:dyDescent="0.3">
      <c r="A1314" s="10">
        <v>1313</v>
      </c>
      <c r="B1314" s="11">
        <v>8.4</v>
      </c>
      <c r="C1314" s="12">
        <v>0.37</v>
      </c>
      <c r="D1314" s="13">
        <v>0.43</v>
      </c>
      <c r="E1314" s="11">
        <v>2.2999999999999998</v>
      </c>
      <c r="F1314" s="12">
        <v>6.3E-2</v>
      </c>
      <c r="G1314" s="11">
        <v>12</v>
      </c>
      <c r="H1314" s="11">
        <v>19</v>
      </c>
      <c r="I1314" s="14">
        <v>0.99550000000000005</v>
      </c>
      <c r="J1314" s="13">
        <v>3.17</v>
      </c>
      <c r="K1314" s="13">
        <v>0.81</v>
      </c>
      <c r="L1314" s="11">
        <v>11.2</v>
      </c>
      <c r="M1314" s="10">
        <v>7</v>
      </c>
    </row>
    <row r="1315" spans="1:13" x14ac:dyDescent="0.3">
      <c r="A1315" s="10">
        <v>1314</v>
      </c>
      <c r="B1315" s="11">
        <v>6.5</v>
      </c>
      <c r="C1315" s="12">
        <v>0.63</v>
      </c>
      <c r="D1315" s="13">
        <v>0.33</v>
      </c>
      <c r="E1315" s="11">
        <v>1.8</v>
      </c>
      <c r="F1315" s="12">
        <v>5.8999999999999997E-2</v>
      </c>
      <c r="G1315" s="11">
        <v>16</v>
      </c>
      <c r="H1315" s="11">
        <v>28</v>
      </c>
      <c r="I1315" s="14">
        <v>0.99531000000000003</v>
      </c>
      <c r="J1315" s="13">
        <v>3.36</v>
      </c>
      <c r="K1315" s="13">
        <v>0.64</v>
      </c>
      <c r="L1315" s="11">
        <v>10.1</v>
      </c>
      <c r="M1315" s="10">
        <v>6</v>
      </c>
    </row>
    <row r="1316" spans="1:13" x14ac:dyDescent="0.3">
      <c r="A1316" s="10">
        <v>1315</v>
      </c>
      <c r="B1316" s="11">
        <v>7</v>
      </c>
      <c r="C1316" s="12">
        <v>0.56999999999999995</v>
      </c>
      <c r="D1316" s="13">
        <v>0.02</v>
      </c>
      <c r="E1316" s="11">
        <v>2</v>
      </c>
      <c r="F1316" s="12">
        <v>7.1999999999999995E-2</v>
      </c>
      <c r="G1316" s="11">
        <v>17</v>
      </c>
      <c r="H1316" s="11">
        <v>26</v>
      </c>
      <c r="I1316" s="14">
        <v>0.99575000000000002</v>
      </c>
      <c r="J1316" s="13">
        <v>3.36</v>
      </c>
      <c r="K1316" s="13">
        <v>0.61</v>
      </c>
      <c r="L1316" s="11">
        <v>10.199999999999999</v>
      </c>
      <c r="M1316" s="10">
        <v>5</v>
      </c>
    </row>
    <row r="1317" spans="1:13" x14ac:dyDescent="0.3">
      <c r="A1317" s="10">
        <v>1316</v>
      </c>
      <c r="B1317" s="11">
        <v>6.3</v>
      </c>
      <c r="C1317" s="12">
        <v>0.6</v>
      </c>
      <c r="D1317" s="13">
        <v>0.1</v>
      </c>
      <c r="E1317" s="11">
        <v>1.6</v>
      </c>
      <c r="F1317" s="12">
        <v>4.8000000000000001E-2</v>
      </c>
      <c r="G1317" s="11">
        <v>12</v>
      </c>
      <c r="H1317" s="11">
        <v>26</v>
      </c>
      <c r="I1317" s="14">
        <v>0.99306000000000005</v>
      </c>
      <c r="J1317" s="13">
        <v>3.55</v>
      </c>
      <c r="K1317" s="13">
        <v>0.51</v>
      </c>
      <c r="L1317" s="11">
        <v>12.1</v>
      </c>
      <c r="M1317" s="10">
        <v>5</v>
      </c>
    </row>
    <row r="1318" spans="1:13" x14ac:dyDescent="0.3">
      <c r="A1318" s="10">
        <v>1317</v>
      </c>
      <c r="B1318" s="11">
        <v>11.2</v>
      </c>
      <c r="C1318" s="12">
        <v>0.4</v>
      </c>
      <c r="D1318" s="13">
        <v>0.5</v>
      </c>
      <c r="E1318" s="11">
        <v>2</v>
      </c>
      <c r="F1318" s="12">
        <v>9.9000000000000005E-2</v>
      </c>
      <c r="G1318" s="11">
        <v>19</v>
      </c>
      <c r="H1318" s="11">
        <v>50</v>
      </c>
      <c r="I1318" s="14">
        <v>0.99782999999999999</v>
      </c>
      <c r="J1318" s="13">
        <v>3.1</v>
      </c>
      <c r="K1318" s="13">
        <v>0.57999999999999996</v>
      </c>
      <c r="L1318" s="11">
        <v>10.4</v>
      </c>
      <c r="M1318" s="10">
        <v>5</v>
      </c>
    </row>
    <row r="1319" spans="1:13" x14ac:dyDescent="0.3">
      <c r="A1319" s="10">
        <v>1318</v>
      </c>
      <c r="B1319" s="11">
        <v>7.4</v>
      </c>
      <c r="C1319" s="12">
        <v>0.36</v>
      </c>
      <c r="D1319" s="13">
        <v>0.3</v>
      </c>
      <c r="E1319" s="11">
        <v>1.8</v>
      </c>
      <c r="F1319" s="12">
        <v>7.3999999999999996E-2</v>
      </c>
      <c r="G1319" s="11">
        <v>17</v>
      </c>
      <c r="H1319" s="11">
        <v>24</v>
      </c>
      <c r="I1319" s="14">
        <v>0.99419000000000002</v>
      </c>
      <c r="J1319" s="13">
        <v>3.24</v>
      </c>
      <c r="K1319" s="13">
        <v>0.7</v>
      </c>
      <c r="L1319" s="11">
        <v>11.4</v>
      </c>
      <c r="M1319" s="10">
        <v>8</v>
      </c>
    </row>
    <row r="1320" spans="1:13" x14ac:dyDescent="0.3">
      <c r="A1320" s="10">
        <v>1319</v>
      </c>
      <c r="B1320" s="11">
        <v>7.1</v>
      </c>
      <c r="C1320" s="12">
        <v>0.68</v>
      </c>
      <c r="D1320" s="13">
        <v>0</v>
      </c>
      <c r="E1320" s="11">
        <v>2.2999999999999998</v>
      </c>
      <c r="F1320" s="12">
        <v>8.6999999999999994E-2</v>
      </c>
      <c r="G1320" s="11">
        <v>17</v>
      </c>
      <c r="H1320" s="11">
        <v>26</v>
      </c>
      <c r="I1320" s="14">
        <v>0.99782999999999999</v>
      </c>
      <c r="J1320" s="13">
        <v>3.45</v>
      </c>
      <c r="K1320" s="13">
        <v>0.53</v>
      </c>
      <c r="L1320" s="11">
        <v>9.5</v>
      </c>
      <c r="M1320" s="10">
        <v>5</v>
      </c>
    </row>
    <row r="1321" spans="1:13" x14ac:dyDescent="0.3">
      <c r="A1321" s="10">
        <v>1320</v>
      </c>
      <c r="B1321" s="11">
        <v>7.1</v>
      </c>
      <c r="C1321" s="12">
        <v>0.67</v>
      </c>
      <c r="D1321" s="13">
        <v>0</v>
      </c>
      <c r="E1321" s="11">
        <v>2.2999999999999998</v>
      </c>
      <c r="F1321" s="12">
        <v>8.3000000000000004E-2</v>
      </c>
      <c r="G1321" s="11">
        <v>18</v>
      </c>
      <c r="H1321" s="11">
        <v>27</v>
      </c>
      <c r="I1321" s="14">
        <v>0.99768000000000001</v>
      </c>
      <c r="J1321" s="13">
        <v>3.44</v>
      </c>
      <c r="K1321" s="13">
        <v>0.54</v>
      </c>
      <c r="L1321" s="11">
        <v>9.4</v>
      </c>
      <c r="M1321" s="10">
        <v>5</v>
      </c>
    </row>
    <row r="1322" spans="1:13" x14ac:dyDescent="0.3">
      <c r="A1322" s="10">
        <v>1321</v>
      </c>
      <c r="B1322" s="11">
        <v>6.3</v>
      </c>
      <c r="C1322" s="12">
        <v>0.68</v>
      </c>
      <c r="D1322" s="13">
        <v>0.01</v>
      </c>
      <c r="E1322" s="11">
        <v>3.7</v>
      </c>
      <c r="F1322" s="12">
        <v>0.10299999999999999</v>
      </c>
      <c r="G1322" s="11">
        <v>32</v>
      </c>
      <c r="H1322" s="11">
        <v>54</v>
      </c>
      <c r="I1322" s="14">
        <v>0.99585999999999997</v>
      </c>
      <c r="J1322" s="13">
        <v>3.51</v>
      </c>
      <c r="K1322" s="13">
        <v>0.66</v>
      </c>
      <c r="L1322" s="11">
        <v>11.3</v>
      </c>
      <c r="M1322" s="10">
        <v>6</v>
      </c>
    </row>
    <row r="1323" spans="1:13" x14ac:dyDescent="0.3">
      <c r="A1323" s="10">
        <v>1322</v>
      </c>
      <c r="B1323" s="11">
        <v>7.3</v>
      </c>
      <c r="C1323" s="12">
        <v>0.73499999999999999</v>
      </c>
      <c r="D1323" s="13">
        <v>0</v>
      </c>
      <c r="E1323" s="11">
        <v>2.2000000000000002</v>
      </c>
      <c r="F1323" s="12">
        <v>0.08</v>
      </c>
      <c r="G1323" s="11">
        <v>18</v>
      </c>
      <c r="H1323" s="11">
        <v>28</v>
      </c>
      <c r="I1323" s="14">
        <v>0.99765000000000004</v>
      </c>
      <c r="J1323" s="13">
        <v>3.41</v>
      </c>
      <c r="K1323" s="13">
        <v>0.6</v>
      </c>
      <c r="L1323" s="11">
        <v>9.4</v>
      </c>
      <c r="M1323" s="10">
        <v>5</v>
      </c>
    </row>
    <row r="1324" spans="1:13" x14ac:dyDescent="0.3">
      <c r="A1324" s="10">
        <v>1323</v>
      </c>
      <c r="B1324" s="11">
        <v>6.6</v>
      </c>
      <c r="C1324" s="12">
        <v>0.85499999999999998</v>
      </c>
      <c r="D1324" s="13">
        <v>0.02</v>
      </c>
      <c r="E1324" s="11">
        <v>2.4</v>
      </c>
      <c r="F1324" s="12">
        <v>6.2E-2</v>
      </c>
      <c r="G1324" s="11">
        <v>15</v>
      </c>
      <c r="H1324" s="11">
        <v>23</v>
      </c>
      <c r="I1324" s="14">
        <v>0.99626999999999999</v>
      </c>
      <c r="J1324" s="13">
        <v>3.54</v>
      </c>
      <c r="K1324" s="13">
        <v>0.6</v>
      </c>
      <c r="L1324" s="11">
        <v>11</v>
      </c>
      <c r="M1324" s="10">
        <v>6</v>
      </c>
    </row>
    <row r="1325" spans="1:13" x14ac:dyDescent="0.3">
      <c r="A1325" s="10">
        <v>1324</v>
      </c>
      <c r="B1325" s="11">
        <v>7</v>
      </c>
      <c r="C1325" s="12">
        <v>0.56000000000000005</v>
      </c>
      <c r="D1325" s="13">
        <v>0.17</v>
      </c>
      <c r="E1325" s="11">
        <v>1.7</v>
      </c>
      <c r="F1325" s="12">
        <v>6.5000000000000002E-2</v>
      </c>
      <c r="G1325" s="11">
        <v>15</v>
      </c>
      <c r="H1325" s="11">
        <v>24</v>
      </c>
      <c r="I1325" s="14">
        <v>0.99514000000000002</v>
      </c>
      <c r="J1325" s="13">
        <v>3.44</v>
      </c>
      <c r="K1325" s="13">
        <v>0.68</v>
      </c>
      <c r="L1325" s="11">
        <v>10.55</v>
      </c>
      <c r="M1325" s="10">
        <v>7</v>
      </c>
    </row>
    <row r="1326" spans="1:13" x14ac:dyDescent="0.3">
      <c r="A1326" s="10">
        <v>1325</v>
      </c>
      <c r="B1326" s="11">
        <v>6.6</v>
      </c>
      <c r="C1326" s="12">
        <v>0.88</v>
      </c>
      <c r="D1326" s="13">
        <v>0.04</v>
      </c>
      <c r="E1326" s="11">
        <v>2.2000000000000002</v>
      </c>
      <c r="F1326" s="12">
        <v>6.6000000000000003E-2</v>
      </c>
      <c r="G1326" s="11">
        <v>12</v>
      </c>
      <c r="H1326" s="11">
        <v>20</v>
      </c>
      <c r="I1326" s="14">
        <v>0.99636000000000002</v>
      </c>
      <c r="J1326" s="13">
        <v>3.53</v>
      </c>
      <c r="K1326" s="13">
        <v>0.56000000000000005</v>
      </c>
      <c r="L1326" s="11">
        <v>9.9</v>
      </c>
      <c r="M1326" s="10">
        <v>5</v>
      </c>
    </row>
    <row r="1327" spans="1:13" x14ac:dyDescent="0.3">
      <c r="A1327" s="10">
        <v>1326</v>
      </c>
      <c r="B1327" s="11">
        <v>6.9</v>
      </c>
      <c r="C1327" s="12">
        <v>0.63</v>
      </c>
      <c r="D1327" s="13">
        <v>0.33</v>
      </c>
      <c r="E1327" s="11">
        <v>6.7</v>
      </c>
      <c r="F1327" s="12">
        <v>0.23499999999999999</v>
      </c>
      <c r="G1327" s="11">
        <v>66</v>
      </c>
      <c r="H1327" s="11">
        <v>115</v>
      </c>
      <c r="I1327" s="14">
        <v>0.99787000000000003</v>
      </c>
      <c r="J1327" s="13">
        <v>3.22</v>
      </c>
      <c r="K1327" s="13">
        <v>0.56000000000000005</v>
      </c>
      <c r="L1327" s="11">
        <v>9.5</v>
      </c>
      <c r="M1327" s="10">
        <v>5</v>
      </c>
    </row>
    <row r="1328" spans="1:13" x14ac:dyDescent="0.3">
      <c r="A1328" s="10">
        <v>1327</v>
      </c>
      <c r="B1328" s="11">
        <v>7.8</v>
      </c>
      <c r="C1328" s="12">
        <v>0.6</v>
      </c>
      <c r="D1328" s="13">
        <v>0.26</v>
      </c>
      <c r="E1328" s="11">
        <v>2</v>
      </c>
      <c r="F1328" s="12">
        <v>0.08</v>
      </c>
      <c r="G1328" s="11">
        <v>31</v>
      </c>
      <c r="H1328" s="11">
        <v>131</v>
      </c>
      <c r="I1328" s="14">
        <v>0.99621999999999999</v>
      </c>
      <c r="J1328" s="13">
        <v>3.21</v>
      </c>
      <c r="K1328" s="13">
        <v>0.52</v>
      </c>
      <c r="L1328" s="11">
        <v>9.9</v>
      </c>
      <c r="M1328" s="10">
        <v>5</v>
      </c>
    </row>
    <row r="1329" spans="1:13" x14ac:dyDescent="0.3">
      <c r="A1329" s="10">
        <v>1328</v>
      </c>
      <c r="B1329" s="11">
        <v>7.2</v>
      </c>
      <c r="C1329" s="12">
        <v>0.69499999999999995</v>
      </c>
      <c r="D1329" s="13">
        <v>0.13</v>
      </c>
      <c r="E1329" s="11">
        <v>2</v>
      </c>
      <c r="F1329" s="12">
        <v>7.5999999999999998E-2</v>
      </c>
      <c r="G1329" s="11">
        <v>12</v>
      </c>
      <c r="H1329" s="11">
        <v>20</v>
      </c>
      <c r="I1329" s="14">
        <v>0.99546000000000001</v>
      </c>
      <c r="J1329" s="13">
        <v>3.29</v>
      </c>
      <c r="K1329" s="13">
        <v>0.54</v>
      </c>
      <c r="L1329" s="11">
        <v>10.1</v>
      </c>
      <c r="M1329" s="10">
        <v>5</v>
      </c>
    </row>
    <row r="1330" spans="1:13" x14ac:dyDescent="0.3">
      <c r="A1330" s="10">
        <v>1329</v>
      </c>
      <c r="B1330" s="11">
        <v>6.7</v>
      </c>
      <c r="C1330" s="12">
        <v>0.67</v>
      </c>
      <c r="D1330" s="13">
        <v>0.02</v>
      </c>
      <c r="E1330" s="11">
        <v>1.9</v>
      </c>
      <c r="F1330" s="12">
        <v>6.0999999999999999E-2</v>
      </c>
      <c r="G1330" s="11">
        <v>26</v>
      </c>
      <c r="H1330" s="11">
        <v>42</v>
      </c>
      <c r="I1330" s="14">
        <v>0.99489000000000005</v>
      </c>
      <c r="J1330" s="13">
        <v>3.39</v>
      </c>
      <c r="K1330" s="13">
        <v>0.82</v>
      </c>
      <c r="L1330" s="11">
        <v>10.9</v>
      </c>
      <c r="M1330" s="10">
        <v>6</v>
      </c>
    </row>
    <row r="1331" spans="1:13" x14ac:dyDescent="0.3">
      <c r="A1331" s="10">
        <v>1330</v>
      </c>
      <c r="B1331" s="11">
        <v>6.7</v>
      </c>
      <c r="C1331" s="12">
        <v>0.16</v>
      </c>
      <c r="D1331" s="13">
        <v>0.64</v>
      </c>
      <c r="E1331" s="11">
        <v>2.1</v>
      </c>
      <c r="F1331" s="12">
        <v>5.8999999999999997E-2</v>
      </c>
      <c r="G1331" s="11">
        <v>24</v>
      </c>
      <c r="H1331" s="11">
        <v>52</v>
      </c>
      <c r="I1331" s="14">
        <v>0.99494000000000005</v>
      </c>
      <c r="J1331" s="13">
        <v>3.34</v>
      </c>
      <c r="K1331" s="13">
        <v>0.71</v>
      </c>
      <c r="L1331" s="11">
        <v>11.2</v>
      </c>
      <c r="M1331" s="10">
        <v>6</v>
      </c>
    </row>
    <row r="1332" spans="1:13" x14ac:dyDescent="0.3">
      <c r="A1332" s="10">
        <v>1331</v>
      </c>
      <c r="B1332" s="11">
        <v>7</v>
      </c>
      <c r="C1332" s="12">
        <v>0.56000000000000005</v>
      </c>
      <c r="D1332" s="13">
        <v>0.13</v>
      </c>
      <c r="E1332" s="11">
        <v>1.6</v>
      </c>
      <c r="F1332" s="12">
        <v>7.6999999999999999E-2</v>
      </c>
      <c r="G1332" s="11">
        <v>25</v>
      </c>
      <c r="H1332" s="11">
        <v>42</v>
      </c>
      <c r="I1332" s="14">
        <v>0.99629000000000001</v>
      </c>
      <c r="J1332" s="13">
        <v>3.34</v>
      </c>
      <c r="K1332" s="13">
        <v>0.59</v>
      </c>
      <c r="L1332" s="11">
        <v>9.1999999999999993</v>
      </c>
      <c r="M1332" s="10">
        <v>5</v>
      </c>
    </row>
    <row r="1333" spans="1:13" x14ac:dyDescent="0.3">
      <c r="A1333" s="10">
        <v>1332</v>
      </c>
      <c r="B1333" s="11">
        <v>6.2</v>
      </c>
      <c r="C1333" s="12">
        <v>0.51</v>
      </c>
      <c r="D1333" s="13">
        <v>0.14000000000000001</v>
      </c>
      <c r="E1333" s="11">
        <v>1.9</v>
      </c>
      <c r="F1333" s="12">
        <v>5.6000000000000001E-2</v>
      </c>
      <c r="G1333" s="11">
        <v>15</v>
      </c>
      <c r="H1333" s="11">
        <v>34</v>
      </c>
      <c r="I1333" s="14">
        <v>0.99395999999999995</v>
      </c>
      <c r="J1333" s="13">
        <v>3.48</v>
      </c>
      <c r="K1333" s="13">
        <v>0.56999999999999995</v>
      </c>
      <c r="L1333" s="11">
        <v>11.5</v>
      </c>
      <c r="M1333" s="10">
        <v>6</v>
      </c>
    </row>
    <row r="1334" spans="1:13" x14ac:dyDescent="0.3">
      <c r="A1334" s="10">
        <v>1333</v>
      </c>
      <c r="B1334" s="11">
        <v>6.4</v>
      </c>
      <c r="C1334" s="12">
        <v>0.36</v>
      </c>
      <c r="D1334" s="13">
        <v>0.53</v>
      </c>
      <c r="E1334" s="11">
        <v>2.2000000000000002</v>
      </c>
      <c r="F1334" s="12">
        <v>0.23</v>
      </c>
      <c r="G1334" s="11">
        <v>19</v>
      </c>
      <c r="H1334" s="11">
        <v>35</v>
      </c>
      <c r="I1334" s="14">
        <v>0.99339999999999995</v>
      </c>
      <c r="J1334" s="13">
        <v>3.37</v>
      </c>
      <c r="K1334" s="13">
        <v>0.93</v>
      </c>
      <c r="L1334" s="11">
        <v>12.4</v>
      </c>
      <c r="M1334" s="10">
        <v>6</v>
      </c>
    </row>
    <row r="1335" spans="1:13" x14ac:dyDescent="0.3">
      <c r="A1335" s="10">
        <v>1334</v>
      </c>
      <c r="B1335" s="11">
        <v>6.4</v>
      </c>
      <c r="C1335" s="12">
        <v>0.38</v>
      </c>
      <c r="D1335" s="13">
        <v>0.14000000000000001</v>
      </c>
      <c r="E1335" s="11">
        <v>2.2000000000000002</v>
      </c>
      <c r="F1335" s="12">
        <v>3.7999999999999999E-2</v>
      </c>
      <c r="G1335" s="11">
        <v>15</v>
      </c>
      <c r="H1335" s="11">
        <v>25</v>
      </c>
      <c r="I1335" s="14">
        <v>0.99514000000000002</v>
      </c>
      <c r="J1335" s="13">
        <v>3.44</v>
      </c>
      <c r="K1335" s="13">
        <v>0.65</v>
      </c>
      <c r="L1335" s="11">
        <v>11.1</v>
      </c>
      <c r="M1335" s="10">
        <v>6</v>
      </c>
    </row>
    <row r="1336" spans="1:13" x14ac:dyDescent="0.3">
      <c r="A1336" s="10">
        <v>1335</v>
      </c>
      <c r="B1336" s="11">
        <v>7.3</v>
      </c>
      <c r="C1336" s="12">
        <v>0.69</v>
      </c>
      <c r="D1336" s="13">
        <v>0.32</v>
      </c>
      <c r="E1336" s="11">
        <v>2.2000000000000002</v>
      </c>
      <c r="F1336" s="12">
        <v>6.9000000000000006E-2</v>
      </c>
      <c r="G1336" s="11">
        <v>35</v>
      </c>
      <c r="H1336" s="11">
        <v>104</v>
      </c>
      <c r="I1336" s="14">
        <v>0.99631999999999998</v>
      </c>
      <c r="J1336" s="13">
        <v>3.33</v>
      </c>
      <c r="K1336" s="13">
        <v>0.51</v>
      </c>
      <c r="L1336" s="11">
        <v>9.5</v>
      </c>
      <c r="M1336" s="10">
        <v>5</v>
      </c>
    </row>
    <row r="1337" spans="1:13" x14ac:dyDescent="0.3">
      <c r="A1337" s="10">
        <v>1336</v>
      </c>
      <c r="B1337" s="11">
        <v>6</v>
      </c>
      <c r="C1337" s="12">
        <v>0.57999999999999996</v>
      </c>
      <c r="D1337" s="13">
        <v>0.2</v>
      </c>
      <c r="E1337" s="11">
        <v>2.4</v>
      </c>
      <c r="F1337" s="12">
        <v>7.4999999999999997E-2</v>
      </c>
      <c r="G1337" s="11">
        <v>15</v>
      </c>
      <c r="H1337" s="11">
        <v>50</v>
      </c>
      <c r="I1337" s="14">
        <v>0.99467000000000005</v>
      </c>
      <c r="J1337" s="13">
        <v>3.58</v>
      </c>
      <c r="K1337" s="13">
        <v>0.67</v>
      </c>
      <c r="L1337" s="11">
        <v>12.5</v>
      </c>
      <c r="M1337" s="10">
        <v>6</v>
      </c>
    </row>
    <row r="1338" spans="1:13" x14ac:dyDescent="0.3">
      <c r="A1338" s="10">
        <v>1337</v>
      </c>
      <c r="B1338" s="11">
        <v>5.6</v>
      </c>
      <c r="C1338" s="12">
        <v>0.31</v>
      </c>
      <c r="D1338" s="13">
        <v>0.78</v>
      </c>
      <c r="E1338" s="11">
        <v>13.9</v>
      </c>
      <c r="F1338" s="12">
        <v>7.3999999999999996E-2</v>
      </c>
      <c r="G1338" s="11">
        <v>23</v>
      </c>
      <c r="H1338" s="11">
        <v>92</v>
      </c>
      <c r="I1338" s="14">
        <v>0.99677000000000004</v>
      </c>
      <c r="J1338" s="13">
        <v>3.39</v>
      </c>
      <c r="K1338" s="13">
        <v>0.48</v>
      </c>
      <c r="L1338" s="11">
        <v>10.5</v>
      </c>
      <c r="M1338" s="10">
        <v>6</v>
      </c>
    </row>
    <row r="1339" spans="1:13" x14ac:dyDescent="0.3">
      <c r="A1339" s="10">
        <v>1338</v>
      </c>
      <c r="B1339" s="11">
        <v>7.5</v>
      </c>
      <c r="C1339" s="12">
        <v>0.52</v>
      </c>
      <c r="D1339" s="13">
        <v>0.4</v>
      </c>
      <c r="E1339" s="11">
        <v>2.2000000000000002</v>
      </c>
      <c r="F1339" s="12">
        <v>0.06</v>
      </c>
      <c r="G1339" s="11">
        <v>12</v>
      </c>
      <c r="H1339" s="11">
        <v>20</v>
      </c>
      <c r="I1339" s="14">
        <v>0.99473999999999996</v>
      </c>
      <c r="J1339" s="13">
        <v>3.26</v>
      </c>
      <c r="K1339" s="13">
        <v>0.64</v>
      </c>
      <c r="L1339" s="11">
        <v>11.8</v>
      </c>
      <c r="M1339" s="10">
        <v>6</v>
      </c>
    </row>
    <row r="1340" spans="1:13" x14ac:dyDescent="0.3">
      <c r="A1340" s="10">
        <v>1339</v>
      </c>
      <c r="B1340" s="11">
        <v>8</v>
      </c>
      <c r="C1340" s="12">
        <v>0.3</v>
      </c>
      <c r="D1340" s="13">
        <v>0.63</v>
      </c>
      <c r="E1340" s="11">
        <v>1.6</v>
      </c>
      <c r="F1340" s="12">
        <v>8.1000000000000003E-2</v>
      </c>
      <c r="G1340" s="11">
        <v>16</v>
      </c>
      <c r="H1340" s="11">
        <v>29</v>
      </c>
      <c r="I1340" s="14">
        <v>0.99587999999999999</v>
      </c>
      <c r="J1340" s="13">
        <v>3.3</v>
      </c>
      <c r="K1340" s="13">
        <v>0.78</v>
      </c>
      <c r="L1340" s="11">
        <v>10.8</v>
      </c>
      <c r="M1340" s="10">
        <v>6</v>
      </c>
    </row>
    <row r="1341" spans="1:13" x14ac:dyDescent="0.3">
      <c r="A1341" s="10">
        <v>1340</v>
      </c>
      <c r="B1341" s="11">
        <v>6.2</v>
      </c>
      <c r="C1341" s="12">
        <v>0.7</v>
      </c>
      <c r="D1341" s="13">
        <v>0.15</v>
      </c>
      <c r="E1341" s="11">
        <v>5.0999999999999996</v>
      </c>
      <c r="F1341" s="12">
        <v>7.5999999999999998E-2</v>
      </c>
      <c r="G1341" s="11">
        <v>13</v>
      </c>
      <c r="H1341" s="11">
        <v>27</v>
      </c>
      <c r="I1341" s="14">
        <v>0.99621999999999999</v>
      </c>
      <c r="J1341" s="13">
        <v>3.54</v>
      </c>
      <c r="K1341" s="13">
        <v>0.6</v>
      </c>
      <c r="L1341" s="11">
        <v>11.9</v>
      </c>
      <c r="M1341" s="10">
        <v>6</v>
      </c>
    </row>
    <row r="1342" spans="1:13" x14ac:dyDescent="0.3">
      <c r="A1342" s="10">
        <v>1341</v>
      </c>
      <c r="B1342" s="11">
        <v>6.8</v>
      </c>
      <c r="C1342" s="12">
        <v>0.67</v>
      </c>
      <c r="D1342" s="13">
        <v>0.15</v>
      </c>
      <c r="E1342" s="11">
        <v>1.8</v>
      </c>
      <c r="F1342" s="12">
        <v>0.11799999999999999</v>
      </c>
      <c r="G1342" s="11">
        <v>13</v>
      </c>
      <c r="H1342" s="11">
        <v>20</v>
      </c>
      <c r="I1342" s="14">
        <v>0.99539999999999995</v>
      </c>
      <c r="J1342" s="13">
        <v>3.42</v>
      </c>
      <c r="K1342" s="13">
        <v>0.67</v>
      </c>
      <c r="L1342" s="11">
        <v>11.3</v>
      </c>
      <c r="M1342" s="10">
        <v>6</v>
      </c>
    </row>
    <row r="1343" spans="1:13" x14ac:dyDescent="0.3">
      <c r="A1343" s="10">
        <v>1342</v>
      </c>
      <c r="B1343" s="11">
        <v>6.2</v>
      </c>
      <c r="C1343" s="12">
        <v>0.56000000000000005</v>
      </c>
      <c r="D1343" s="13">
        <v>0.09</v>
      </c>
      <c r="E1343" s="11">
        <v>1.7</v>
      </c>
      <c r="F1343" s="12">
        <v>5.2999999999999999E-2</v>
      </c>
      <c r="G1343" s="11">
        <v>24</v>
      </c>
      <c r="H1343" s="11">
        <v>32</v>
      </c>
      <c r="I1343" s="14">
        <v>0.99402000000000001</v>
      </c>
      <c r="J1343" s="13">
        <v>3.54</v>
      </c>
      <c r="K1343" s="13">
        <v>0.6</v>
      </c>
      <c r="L1343" s="11">
        <v>11.3</v>
      </c>
      <c r="M1343" s="10">
        <v>5</v>
      </c>
    </row>
    <row r="1344" spans="1:13" x14ac:dyDescent="0.3">
      <c r="A1344" s="10">
        <v>1343</v>
      </c>
      <c r="B1344" s="11">
        <v>7.4</v>
      </c>
      <c r="C1344" s="12">
        <v>0.35</v>
      </c>
      <c r="D1344" s="13">
        <v>0.33</v>
      </c>
      <c r="E1344" s="11">
        <v>2.4</v>
      </c>
      <c r="F1344" s="12">
        <v>6.8000000000000005E-2</v>
      </c>
      <c r="G1344" s="11">
        <v>9</v>
      </c>
      <c r="H1344" s="11">
        <v>26</v>
      </c>
      <c r="I1344" s="14">
        <v>0.99470000000000003</v>
      </c>
      <c r="J1344" s="13">
        <v>3.36</v>
      </c>
      <c r="K1344" s="13">
        <v>0.6</v>
      </c>
      <c r="L1344" s="11">
        <v>11.9</v>
      </c>
      <c r="M1344" s="10">
        <v>6</v>
      </c>
    </row>
    <row r="1345" spans="1:13" x14ac:dyDescent="0.3">
      <c r="A1345" s="10">
        <v>1344</v>
      </c>
      <c r="B1345" s="11">
        <v>6.1</v>
      </c>
      <c r="C1345" s="12">
        <v>0.71499999999999997</v>
      </c>
      <c r="D1345" s="13">
        <v>0.1</v>
      </c>
      <c r="E1345" s="11">
        <v>2.6</v>
      </c>
      <c r="F1345" s="12">
        <v>5.2999999999999999E-2</v>
      </c>
      <c r="G1345" s="11">
        <v>13</v>
      </c>
      <c r="H1345" s="11">
        <v>27</v>
      </c>
      <c r="I1345" s="14">
        <v>0.99361999999999995</v>
      </c>
      <c r="J1345" s="13">
        <v>3.57</v>
      </c>
      <c r="K1345" s="13">
        <v>0.5</v>
      </c>
      <c r="L1345" s="11">
        <v>11.9</v>
      </c>
      <c r="M1345" s="10">
        <v>5</v>
      </c>
    </row>
    <row r="1346" spans="1:13" x14ac:dyDescent="0.3">
      <c r="A1346" s="10">
        <v>1345</v>
      </c>
      <c r="B1346" s="11">
        <v>6.2</v>
      </c>
      <c r="C1346" s="12">
        <v>0.46</v>
      </c>
      <c r="D1346" s="13">
        <v>0.28999999999999998</v>
      </c>
      <c r="E1346" s="11">
        <v>2.1</v>
      </c>
      <c r="F1346" s="12">
        <v>7.3999999999999996E-2</v>
      </c>
      <c r="G1346" s="11">
        <v>32</v>
      </c>
      <c r="H1346" s="11">
        <v>98</v>
      </c>
      <c r="I1346" s="14">
        <v>0.99578</v>
      </c>
      <c r="J1346" s="13">
        <v>3.33</v>
      </c>
      <c r="K1346" s="13">
        <v>0.62</v>
      </c>
      <c r="L1346" s="11">
        <v>9.8000000000000007</v>
      </c>
      <c r="M1346" s="10">
        <v>5</v>
      </c>
    </row>
    <row r="1347" spans="1:13" x14ac:dyDescent="0.3">
      <c r="A1347" s="10">
        <v>1346</v>
      </c>
      <c r="B1347" s="11">
        <v>6.7</v>
      </c>
      <c r="C1347" s="12">
        <v>0.32</v>
      </c>
      <c r="D1347" s="13">
        <v>0.44</v>
      </c>
      <c r="E1347" s="11">
        <v>2.4</v>
      </c>
      <c r="F1347" s="12">
        <v>6.0999999999999999E-2</v>
      </c>
      <c r="G1347" s="11">
        <v>24</v>
      </c>
      <c r="H1347" s="11">
        <v>34</v>
      </c>
      <c r="I1347" s="14">
        <v>0.99483999999999995</v>
      </c>
      <c r="J1347" s="13">
        <v>3.29</v>
      </c>
      <c r="K1347" s="13">
        <v>0.8</v>
      </c>
      <c r="L1347" s="11">
        <v>11.6</v>
      </c>
      <c r="M1347" s="10">
        <v>7</v>
      </c>
    </row>
    <row r="1348" spans="1:13" x14ac:dyDescent="0.3">
      <c r="A1348" s="10">
        <v>1347</v>
      </c>
      <c r="B1348" s="11">
        <v>7.2</v>
      </c>
      <c r="C1348" s="12">
        <v>0.39</v>
      </c>
      <c r="D1348" s="13">
        <v>0.44</v>
      </c>
      <c r="E1348" s="11">
        <v>2.6</v>
      </c>
      <c r="F1348" s="12">
        <v>6.6000000000000003E-2</v>
      </c>
      <c r="G1348" s="11">
        <v>22</v>
      </c>
      <c r="H1348" s="11">
        <v>48</v>
      </c>
      <c r="I1348" s="14">
        <v>0.99494000000000005</v>
      </c>
      <c r="J1348" s="13">
        <v>3.3</v>
      </c>
      <c r="K1348" s="13">
        <v>0.84</v>
      </c>
      <c r="L1348" s="11">
        <v>11.5</v>
      </c>
      <c r="M1348" s="10">
        <v>6</v>
      </c>
    </row>
    <row r="1349" spans="1:13" x14ac:dyDescent="0.3">
      <c r="A1349" s="10">
        <v>1348</v>
      </c>
      <c r="B1349" s="11">
        <v>7.5</v>
      </c>
      <c r="C1349" s="12">
        <v>0.31</v>
      </c>
      <c r="D1349" s="13">
        <v>0.41</v>
      </c>
      <c r="E1349" s="11">
        <v>2.4</v>
      </c>
      <c r="F1349" s="12">
        <v>6.5000000000000002E-2</v>
      </c>
      <c r="G1349" s="11">
        <v>34</v>
      </c>
      <c r="H1349" s="11">
        <v>60</v>
      </c>
      <c r="I1349" s="14">
        <v>0.99492000000000003</v>
      </c>
      <c r="J1349" s="13">
        <v>3.34</v>
      </c>
      <c r="K1349" s="13">
        <v>0.85</v>
      </c>
      <c r="L1349" s="11">
        <v>11.4</v>
      </c>
      <c r="M1349" s="10">
        <v>6</v>
      </c>
    </row>
    <row r="1350" spans="1:13" x14ac:dyDescent="0.3">
      <c r="A1350" s="10">
        <v>1349</v>
      </c>
      <c r="B1350" s="11">
        <v>5.8</v>
      </c>
      <c r="C1350" s="12">
        <v>0.61</v>
      </c>
      <c r="D1350" s="13">
        <v>0.11</v>
      </c>
      <c r="E1350" s="11">
        <v>1.8</v>
      </c>
      <c r="F1350" s="12">
        <v>6.6000000000000003E-2</v>
      </c>
      <c r="G1350" s="11">
        <v>18</v>
      </c>
      <c r="H1350" s="11">
        <v>28</v>
      </c>
      <c r="I1350" s="14">
        <v>0.99482999999999999</v>
      </c>
      <c r="J1350" s="13">
        <v>3.55</v>
      </c>
      <c r="K1350" s="13">
        <v>0.66</v>
      </c>
      <c r="L1350" s="11">
        <v>10.9</v>
      </c>
      <c r="M1350" s="10">
        <v>6</v>
      </c>
    </row>
    <row r="1351" spans="1:13" x14ac:dyDescent="0.3">
      <c r="A1351" s="10">
        <v>1350</v>
      </c>
      <c r="B1351" s="11">
        <v>7.2</v>
      </c>
      <c r="C1351" s="12">
        <v>0.66</v>
      </c>
      <c r="D1351" s="13">
        <v>0.33</v>
      </c>
      <c r="E1351" s="11">
        <v>2.5</v>
      </c>
      <c r="F1351" s="12">
        <v>6.8000000000000005E-2</v>
      </c>
      <c r="G1351" s="11">
        <v>34</v>
      </c>
      <c r="H1351" s="11">
        <v>102</v>
      </c>
      <c r="I1351" s="14">
        <v>0.99414000000000002</v>
      </c>
      <c r="J1351" s="13">
        <v>3.27</v>
      </c>
      <c r="K1351" s="13">
        <v>0.78</v>
      </c>
      <c r="L1351" s="11">
        <v>12.8</v>
      </c>
      <c r="M1351" s="10">
        <v>6</v>
      </c>
    </row>
    <row r="1352" spans="1:13" x14ac:dyDescent="0.3">
      <c r="A1352" s="10">
        <v>1351</v>
      </c>
      <c r="B1352" s="11">
        <v>6.6</v>
      </c>
      <c r="C1352" s="12">
        <v>0.72499999999999998</v>
      </c>
      <c r="D1352" s="13">
        <v>0.2</v>
      </c>
      <c r="E1352" s="11">
        <v>7.8</v>
      </c>
      <c r="F1352" s="12">
        <v>7.2999999999999995E-2</v>
      </c>
      <c r="G1352" s="11">
        <v>29</v>
      </c>
      <c r="H1352" s="11">
        <v>79</v>
      </c>
      <c r="I1352" s="14">
        <v>0.99770000000000003</v>
      </c>
      <c r="J1352" s="13">
        <v>3.29</v>
      </c>
      <c r="K1352" s="13">
        <v>0.54</v>
      </c>
      <c r="L1352" s="11">
        <v>9.1999999999999993</v>
      </c>
      <c r="M1352" s="10">
        <v>5</v>
      </c>
    </row>
    <row r="1353" spans="1:13" x14ac:dyDescent="0.3">
      <c r="A1353" s="10">
        <v>1352</v>
      </c>
      <c r="B1353" s="11">
        <v>6.3</v>
      </c>
      <c r="C1353" s="12">
        <v>0.55000000000000004</v>
      </c>
      <c r="D1353" s="13">
        <v>0.15</v>
      </c>
      <c r="E1353" s="11">
        <v>1.8</v>
      </c>
      <c r="F1353" s="12">
        <v>7.6999999999999999E-2</v>
      </c>
      <c r="G1353" s="11">
        <v>26</v>
      </c>
      <c r="H1353" s="11">
        <v>35</v>
      </c>
      <c r="I1353" s="14">
        <v>0.99314000000000002</v>
      </c>
      <c r="J1353" s="13">
        <v>3.32</v>
      </c>
      <c r="K1353" s="13">
        <v>0.82</v>
      </c>
      <c r="L1353" s="11">
        <v>11.6</v>
      </c>
      <c r="M1353" s="10">
        <v>6</v>
      </c>
    </row>
    <row r="1354" spans="1:13" x14ac:dyDescent="0.3">
      <c r="A1354" s="10">
        <v>1353</v>
      </c>
      <c r="B1354" s="11">
        <v>5.4</v>
      </c>
      <c r="C1354" s="12">
        <v>0.74</v>
      </c>
      <c r="D1354" s="13">
        <v>0.09</v>
      </c>
      <c r="E1354" s="11">
        <v>1.7</v>
      </c>
      <c r="F1354" s="12">
        <v>8.8999999999999996E-2</v>
      </c>
      <c r="G1354" s="11">
        <v>16</v>
      </c>
      <c r="H1354" s="11">
        <v>26</v>
      </c>
      <c r="I1354" s="14">
        <v>0.99402000000000001</v>
      </c>
      <c r="J1354" s="13">
        <v>3.67</v>
      </c>
      <c r="K1354" s="13">
        <v>0.56000000000000005</v>
      </c>
      <c r="L1354" s="11">
        <v>11.6</v>
      </c>
      <c r="M1354" s="10">
        <v>6</v>
      </c>
    </row>
    <row r="1355" spans="1:13" x14ac:dyDescent="0.3">
      <c r="A1355" s="10">
        <v>1354</v>
      </c>
      <c r="B1355" s="11">
        <v>6.3</v>
      </c>
      <c r="C1355" s="12">
        <v>0.51</v>
      </c>
      <c r="D1355" s="13">
        <v>0.13</v>
      </c>
      <c r="E1355" s="11">
        <v>2.2999999999999998</v>
      </c>
      <c r="F1355" s="12">
        <v>7.5999999999999998E-2</v>
      </c>
      <c r="G1355" s="11">
        <v>29</v>
      </c>
      <c r="H1355" s="11">
        <v>40</v>
      </c>
      <c r="I1355" s="14">
        <v>0.99573999999999996</v>
      </c>
      <c r="J1355" s="13">
        <v>3.42</v>
      </c>
      <c r="K1355" s="13">
        <v>0.75</v>
      </c>
      <c r="L1355" s="11">
        <v>11</v>
      </c>
      <c r="M1355" s="10">
        <v>6</v>
      </c>
    </row>
    <row r="1356" spans="1:13" x14ac:dyDescent="0.3">
      <c r="A1356" s="10">
        <v>1355</v>
      </c>
      <c r="B1356" s="11">
        <v>6.8</v>
      </c>
      <c r="C1356" s="12">
        <v>0.62</v>
      </c>
      <c r="D1356" s="13">
        <v>0.08</v>
      </c>
      <c r="E1356" s="11">
        <v>1.9</v>
      </c>
      <c r="F1356" s="12">
        <v>6.8000000000000005E-2</v>
      </c>
      <c r="G1356" s="11">
        <v>28</v>
      </c>
      <c r="H1356" s="11">
        <v>38</v>
      </c>
      <c r="I1356" s="14">
        <v>0.99651000000000001</v>
      </c>
      <c r="J1356" s="13">
        <v>3.42</v>
      </c>
      <c r="K1356" s="13">
        <v>0.82</v>
      </c>
      <c r="L1356" s="11">
        <v>9.5</v>
      </c>
      <c r="M1356" s="10">
        <v>6</v>
      </c>
    </row>
    <row r="1357" spans="1:13" x14ac:dyDescent="0.3">
      <c r="A1357" s="10">
        <v>1356</v>
      </c>
      <c r="B1357" s="11">
        <v>6.2</v>
      </c>
      <c r="C1357" s="12">
        <v>0.6</v>
      </c>
      <c r="D1357" s="13">
        <v>0.08</v>
      </c>
      <c r="E1357" s="11">
        <v>2</v>
      </c>
      <c r="F1357" s="12">
        <v>0.09</v>
      </c>
      <c r="G1357" s="11">
        <v>32</v>
      </c>
      <c r="H1357" s="11">
        <v>44</v>
      </c>
      <c r="I1357" s="14">
        <v>0.99490000000000001</v>
      </c>
      <c r="J1357" s="13">
        <v>3.45</v>
      </c>
      <c r="K1357" s="13">
        <v>0.57999999999999996</v>
      </c>
      <c r="L1357" s="11">
        <v>10.5</v>
      </c>
      <c r="M1357" s="10">
        <v>5</v>
      </c>
    </row>
    <row r="1358" spans="1:13" x14ac:dyDescent="0.3">
      <c r="A1358" s="10">
        <v>1357</v>
      </c>
      <c r="B1358" s="11">
        <v>5.9</v>
      </c>
      <c r="C1358" s="12">
        <v>0.55000000000000004</v>
      </c>
      <c r="D1358" s="13">
        <v>0.1</v>
      </c>
      <c r="E1358" s="11">
        <v>2.2000000000000002</v>
      </c>
      <c r="F1358" s="12">
        <v>6.2E-2</v>
      </c>
      <c r="G1358" s="11">
        <v>39</v>
      </c>
      <c r="H1358" s="11">
        <v>51</v>
      </c>
      <c r="I1358" s="14">
        <v>0.99512</v>
      </c>
      <c r="J1358" s="13">
        <v>3.52</v>
      </c>
      <c r="K1358" s="13">
        <v>0.76</v>
      </c>
      <c r="L1358" s="11">
        <v>11.2</v>
      </c>
      <c r="M1358" s="10">
        <v>6</v>
      </c>
    </row>
    <row r="1359" spans="1:13" x14ac:dyDescent="0.3">
      <c r="A1359" s="10">
        <v>1358</v>
      </c>
      <c r="B1359" s="11">
        <v>5.9</v>
      </c>
      <c r="C1359" s="12">
        <v>0.64500000000000002</v>
      </c>
      <c r="D1359" s="13">
        <v>0.12</v>
      </c>
      <c r="E1359" s="11">
        <v>2</v>
      </c>
      <c r="F1359" s="12">
        <v>7.4999999999999997E-2</v>
      </c>
      <c r="G1359" s="11">
        <v>32</v>
      </c>
      <c r="H1359" s="11">
        <v>44</v>
      </c>
      <c r="I1359" s="14">
        <v>0.99546999999999997</v>
      </c>
      <c r="J1359" s="13">
        <v>3.57</v>
      </c>
      <c r="K1359" s="13">
        <v>0.71</v>
      </c>
      <c r="L1359" s="11">
        <v>10.199999999999999</v>
      </c>
      <c r="M1359" s="10">
        <v>5</v>
      </c>
    </row>
    <row r="1360" spans="1:13" x14ac:dyDescent="0.3">
      <c r="A1360" s="10">
        <v>1359</v>
      </c>
      <c r="B1360" s="11">
        <v>6</v>
      </c>
      <c r="C1360" s="12">
        <v>0.31</v>
      </c>
      <c r="D1360" s="13">
        <v>0.47</v>
      </c>
      <c r="E1360" s="11">
        <v>3.6</v>
      </c>
      <c r="F1360" s="12">
        <v>6.7000000000000004E-2</v>
      </c>
      <c r="G1360" s="11">
        <v>18</v>
      </c>
      <c r="H1360" s="11">
        <v>42</v>
      </c>
      <c r="I1360" s="14">
        <v>0.99548999999999999</v>
      </c>
      <c r="J1360" s="13">
        <v>3.39</v>
      </c>
      <c r="K1360" s="13">
        <v>0.66</v>
      </c>
      <c r="L1360" s="11">
        <v>11</v>
      </c>
      <c r="M1360" s="10">
        <v>6</v>
      </c>
    </row>
  </sheetData>
  <autoFilter ref="A1:M1360"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pageSetUpPr fitToPage="1"/>
  </sheetPr>
  <dimension ref="A1:H27"/>
  <sheetViews>
    <sheetView showGridLines="0" topLeftCell="D11" zoomScaleNormal="100" workbookViewId="0"/>
  </sheetViews>
  <sheetFormatPr defaultColWidth="8.6640625" defaultRowHeight="14.4" x14ac:dyDescent="0.3"/>
  <cols>
    <col min="1" max="1" width="30" customWidth="1"/>
    <col min="2" max="3" width="14" customWidth="1"/>
    <col min="4" max="6" width="12" customWidth="1"/>
    <col min="7" max="7" width="14" customWidth="1"/>
    <col min="8" max="8" width="22" customWidth="1"/>
  </cols>
  <sheetData>
    <row r="1" spans="1:8" ht="21" x14ac:dyDescent="0.4">
      <c r="A1" s="15" t="s">
        <v>24</v>
      </c>
    </row>
    <row r="2" spans="1:8" x14ac:dyDescent="0.3">
      <c r="A2" s="16" t="s">
        <v>25</v>
      </c>
    </row>
    <row r="4" spans="1:8" x14ac:dyDescent="0.3">
      <c r="A4" s="8" t="s">
        <v>26</v>
      </c>
      <c r="B4" s="8" t="s">
        <v>27</v>
      </c>
      <c r="C4" s="8" t="s">
        <v>28</v>
      </c>
    </row>
    <row r="5" spans="1:8" x14ac:dyDescent="0.3">
      <c r="A5" s="17" t="s">
        <v>29</v>
      </c>
      <c r="B5" s="18">
        <f>COUNTA('1_Raw_Data'!A2:A1600)</f>
        <v>1599</v>
      </c>
      <c r="C5" s="17" t="s">
        <v>30</v>
      </c>
    </row>
    <row r="6" spans="1:8" x14ac:dyDescent="0.3">
      <c r="A6" s="17" t="s">
        <v>31</v>
      </c>
      <c r="B6" s="18">
        <f>COUNTA('2_Clean_Data'!A2:A1360)</f>
        <v>1359</v>
      </c>
      <c r="C6" s="17" t="s">
        <v>32</v>
      </c>
    </row>
    <row r="7" spans="1:8" x14ac:dyDescent="0.3">
      <c r="A7" s="17" t="s">
        <v>33</v>
      </c>
      <c r="B7" s="18">
        <f>B5-B6</f>
        <v>240</v>
      </c>
      <c r="C7" s="17" t="s">
        <v>34</v>
      </c>
    </row>
    <row r="8" spans="1:8" x14ac:dyDescent="0.3">
      <c r="A8" s="17" t="s">
        <v>35</v>
      </c>
      <c r="B8" s="19">
        <f>B7/B5</f>
        <v>0.15009380863039401</v>
      </c>
      <c r="C8" s="17" t="s">
        <v>36</v>
      </c>
    </row>
    <row r="9" spans="1:8" x14ac:dyDescent="0.3">
      <c r="A9" s="17" t="s">
        <v>37</v>
      </c>
      <c r="B9" s="18">
        <f>COUNTBLANK('1_Raw_Data'!A2:L1600)</f>
        <v>0</v>
      </c>
      <c r="C9" s="17" t="s">
        <v>38</v>
      </c>
    </row>
    <row r="10" spans="1:8" x14ac:dyDescent="0.3">
      <c r="A10" s="17" t="s">
        <v>39</v>
      </c>
      <c r="B10" s="18">
        <f>COUNTBLANK('2_Clean_Data'!B2:M1360)</f>
        <v>0</v>
      </c>
      <c r="C10" s="17" t="s">
        <v>40</v>
      </c>
    </row>
    <row r="11" spans="1:8" x14ac:dyDescent="0.3">
      <c r="A11" s="17" t="s">
        <v>41</v>
      </c>
      <c r="B11" s="18">
        <f>ROWS('2_Clean_Data'!B2:M1360)*COLUMNS('2_Clean_Data'!B2:M1360)-COUNT('2_Clean_Data'!B2:M1360)</f>
        <v>0</v>
      </c>
      <c r="C11" s="17" t="s">
        <v>42</v>
      </c>
    </row>
    <row r="14" spans="1:8" ht="15.6" x14ac:dyDescent="0.3">
      <c r="A14" s="20" t="s">
        <v>43</v>
      </c>
    </row>
    <row r="15" spans="1:8" x14ac:dyDescent="0.3">
      <c r="A15" s="8" t="s">
        <v>44</v>
      </c>
      <c r="B15" s="8" t="s">
        <v>45</v>
      </c>
      <c r="C15" s="8" t="s">
        <v>46</v>
      </c>
      <c r="D15" s="8" t="s">
        <v>47</v>
      </c>
      <c r="E15" s="8" t="s">
        <v>48</v>
      </c>
      <c r="F15" s="8" t="s">
        <v>49</v>
      </c>
      <c r="G15" s="8" t="s">
        <v>50</v>
      </c>
      <c r="H15" s="8" t="s">
        <v>51</v>
      </c>
    </row>
    <row r="16" spans="1:8" x14ac:dyDescent="0.3">
      <c r="A16" s="17" t="s">
        <v>13</v>
      </c>
      <c r="B16" s="17">
        <f>COUNT('2_Clean_Data'!B2:B1360)</f>
        <v>1359</v>
      </c>
      <c r="C16" s="17">
        <f>COUNTBLANK('2_Clean_Data'!B2:B1360)</f>
        <v>0</v>
      </c>
      <c r="D16" s="21">
        <f>MIN('2_Clean_Data'!B2:B1360)</f>
        <v>4.5999999999999996</v>
      </c>
      <c r="E16" s="21">
        <f>MAX('2_Clean_Data'!B2:B1360)</f>
        <v>15.9</v>
      </c>
      <c r="F16" s="22">
        <f>AVERAGE('2_Clean_Data'!B2:B1360)</f>
        <v>8.3105960264900869</v>
      </c>
      <c r="G16" s="17" t="str">
        <f t="shared" ref="G16:G27" si="0">IF(AND(B16=$B$6,C16=0),"Numeric OK","CHECK")</f>
        <v>Numeric OK</v>
      </c>
      <c r="H16" s="17" t="s">
        <v>52</v>
      </c>
    </row>
    <row r="17" spans="1:8" x14ac:dyDescent="0.3">
      <c r="A17" s="17" t="s">
        <v>14</v>
      </c>
      <c r="B17" s="17">
        <f>COUNT('2_Clean_Data'!C2:C1360)</f>
        <v>1359</v>
      </c>
      <c r="C17" s="17">
        <f>COUNTBLANK('2_Clean_Data'!C2:C1360)</f>
        <v>0</v>
      </c>
      <c r="D17" s="22">
        <f>MIN('2_Clean_Data'!C2:C1360)</f>
        <v>0.12</v>
      </c>
      <c r="E17" s="22">
        <f>MAX('2_Clean_Data'!C2:C1360)</f>
        <v>1.58</v>
      </c>
      <c r="F17" s="22">
        <f>AVERAGE('2_Clean_Data'!C2:C1360)</f>
        <v>0.52947755702722576</v>
      </c>
      <c r="G17" s="17" t="str">
        <f t="shared" si="0"/>
        <v>Numeric OK</v>
      </c>
      <c r="H17" s="17" t="s">
        <v>53</v>
      </c>
    </row>
    <row r="18" spans="1:8" x14ac:dyDescent="0.3">
      <c r="A18" s="17" t="s">
        <v>15</v>
      </c>
      <c r="B18" s="17">
        <f>COUNT('2_Clean_Data'!D2:D1360)</f>
        <v>1359</v>
      </c>
      <c r="C18" s="17">
        <f>COUNTBLANK('2_Clean_Data'!D2:D1360)</f>
        <v>0</v>
      </c>
      <c r="D18" s="23">
        <f>MIN('2_Clean_Data'!D2:D1360)</f>
        <v>0</v>
      </c>
      <c r="E18" s="23">
        <f>MAX('2_Clean_Data'!D2:D1360)</f>
        <v>1</v>
      </c>
      <c r="F18" s="22">
        <f>AVERAGE('2_Clean_Data'!D2:D1360)</f>
        <v>0.27233259749815975</v>
      </c>
      <c r="G18" s="17" t="str">
        <f t="shared" si="0"/>
        <v>Numeric OK</v>
      </c>
      <c r="H18" s="17" t="s">
        <v>54</v>
      </c>
    </row>
    <row r="19" spans="1:8" x14ac:dyDescent="0.3">
      <c r="A19" s="17" t="s">
        <v>16</v>
      </c>
      <c r="B19" s="17">
        <f>COUNT('2_Clean_Data'!E2:E1360)</f>
        <v>1359</v>
      </c>
      <c r="C19" s="17">
        <f>COUNTBLANK('2_Clean_Data'!E2:E1360)</f>
        <v>0</v>
      </c>
      <c r="D19" s="21">
        <f>MIN('2_Clean_Data'!E2:E1360)</f>
        <v>0.9</v>
      </c>
      <c r="E19" s="21">
        <f>MAX('2_Clean_Data'!E2:E1360)</f>
        <v>15.5</v>
      </c>
      <c r="F19" s="22">
        <f>AVERAGE('2_Clean_Data'!E2:E1360)</f>
        <v>2.5233995584988969</v>
      </c>
      <c r="G19" s="17" t="str">
        <f t="shared" si="0"/>
        <v>Numeric OK</v>
      </c>
      <c r="H19" s="17" t="s">
        <v>52</v>
      </c>
    </row>
    <row r="20" spans="1:8" x14ac:dyDescent="0.3">
      <c r="A20" s="17" t="s">
        <v>17</v>
      </c>
      <c r="B20" s="17">
        <f>COUNT('2_Clean_Data'!F2:F1360)</f>
        <v>1359</v>
      </c>
      <c r="C20" s="17">
        <f>COUNTBLANK('2_Clean_Data'!F2:F1360)</f>
        <v>0</v>
      </c>
      <c r="D20" s="22">
        <f>MIN('2_Clean_Data'!F2:F1360)</f>
        <v>1.2E-2</v>
      </c>
      <c r="E20" s="22">
        <f>MAX('2_Clean_Data'!F2:F1360)</f>
        <v>0.61099999999999999</v>
      </c>
      <c r="F20" s="22">
        <f>AVERAGE('2_Clean_Data'!F2:F1360)</f>
        <v>8.8123620309050396E-2</v>
      </c>
      <c r="G20" s="17" t="str">
        <f t="shared" si="0"/>
        <v>Numeric OK</v>
      </c>
      <c r="H20" s="17" t="s">
        <v>53</v>
      </c>
    </row>
    <row r="21" spans="1:8" x14ac:dyDescent="0.3">
      <c r="A21" s="17" t="s">
        <v>18</v>
      </c>
      <c r="B21" s="17">
        <f>COUNT('2_Clean_Data'!G2:G1360)</f>
        <v>1359</v>
      </c>
      <c r="C21" s="17">
        <f>COUNTBLANK('2_Clean_Data'!G2:G1360)</f>
        <v>0</v>
      </c>
      <c r="D21" s="21">
        <f>MIN('2_Clean_Data'!G2:G1360)</f>
        <v>1</v>
      </c>
      <c r="E21" s="21">
        <f>MAX('2_Clean_Data'!G2:G1360)</f>
        <v>72</v>
      </c>
      <c r="F21" s="22">
        <f>AVERAGE('2_Clean_Data'!G2:G1360)</f>
        <v>15.893303899926417</v>
      </c>
      <c r="G21" s="17" t="str">
        <f t="shared" si="0"/>
        <v>Numeric OK</v>
      </c>
      <c r="H21" s="17" t="s">
        <v>52</v>
      </c>
    </row>
    <row r="22" spans="1:8" x14ac:dyDescent="0.3">
      <c r="A22" s="17" t="s">
        <v>19</v>
      </c>
      <c r="B22" s="17">
        <f>COUNT('2_Clean_Data'!H2:H1360)</f>
        <v>1359</v>
      </c>
      <c r="C22" s="17">
        <f>COUNTBLANK('2_Clean_Data'!H2:H1360)</f>
        <v>0</v>
      </c>
      <c r="D22" s="21">
        <f>MIN('2_Clean_Data'!H2:H1360)</f>
        <v>6</v>
      </c>
      <c r="E22" s="21">
        <f>MAX('2_Clean_Data'!H2:H1360)</f>
        <v>289</v>
      </c>
      <c r="F22" s="22">
        <f>AVERAGE('2_Clean_Data'!H2:H1360)</f>
        <v>46.825974981604119</v>
      </c>
      <c r="G22" s="17" t="str">
        <f t="shared" si="0"/>
        <v>Numeric OK</v>
      </c>
      <c r="H22" s="17" t="s">
        <v>52</v>
      </c>
    </row>
    <row r="23" spans="1:8" x14ac:dyDescent="0.3">
      <c r="A23" s="17" t="s">
        <v>20</v>
      </c>
      <c r="B23" s="17">
        <f>COUNT('2_Clean_Data'!I2:I1360)</f>
        <v>1359</v>
      </c>
      <c r="C23" s="17">
        <f>COUNTBLANK('2_Clean_Data'!I2:I1360)</f>
        <v>0</v>
      </c>
      <c r="D23" s="24">
        <f>MIN('2_Clean_Data'!I2:I1360)</f>
        <v>0.99007000000000001</v>
      </c>
      <c r="E23" s="24">
        <f>MAX('2_Clean_Data'!I2:I1360)</f>
        <v>1.00369</v>
      </c>
      <c r="F23" s="22">
        <f>AVERAGE('2_Clean_Data'!I2:I1360)</f>
        <v>0.99670894775570262</v>
      </c>
      <c r="G23" s="17" t="str">
        <f t="shared" si="0"/>
        <v>Numeric OK</v>
      </c>
      <c r="H23" s="17" t="s">
        <v>55</v>
      </c>
    </row>
    <row r="24" spans="1:8" x14ac:dyDescent="0.3">
      <c r="A24" s="17" t="s">
        <v>8</v>
      </c>
      <c r="B24" s="17">
        <f>COUNT('2_Clean_Data'!J2:J1360)</f>
        <v>1359</v>
      </c>
      <c r="C24" s="17">
        <f>COUNTBLANK('2_Clean_Data'!J2:J1360)</f>
        <v>0</v>
      </c>
      <c r="D24" s="23">
        <f>MIN('2_Clean_Data'!J2:J1360)</f>
        <v>2.74</v>
      </c>
      <c r="E24" s="23">
        <f>MAX('2_Clean_Data'!J2:J1360)</f>
        <v>4.01</v>
      </c>
      <c r="F24" s="22">
        <f>AVERAGE('2_Clean_Data'!J2:J1360)</f>
        <v>3.3097866077998561</v>
      </c>
      <c r="G24" s="17" t="str">
        <f t="shared" si="0"/>
        <v>Numeric OK</v>
      </c>
      <c r="H24" s="17" t="s">
        <v>54</v>
      </c>
    </row>
    <row r="25" spans="1:8" x14ac:dyDescent="0.3">
      <c r="A25" s="17" t="s">
        <v>21</v>
      </c>
      <c r="B25" s="17">
        <f>COUNT('2_Clean_Data'!K2:K1360)</f>
        <v>1359</v>
      </c>
      <c r="C25" s="17">
        <f>COUNTBLANK('2_Clean_Data'!K2:K1360)</f>
        <v>0</v>
      </c>
      <c r="D25" s="23">
        <f>MIN('2_Clean_Data'!K2:K1360)</f>
        <v>0.33</v>
      </c>
      <c r="E25" s="23">
        <f>MAX('2_Clean_Data'!K2:K1360)</f>
        <v>2</v>
      </c>
      <c r="F25" s="22">
        <f>AVERAGE('2_Clean_Data'!K2:K1360)</f>
        <v>0.65870493009565934</v>
      </c>
      <c r="G25" s="17" t="str">
        <f t="shared" si="0"/>
        <v>Numeric OK</v>
      </c>
      <c r="H25" s="17" t="s">
        <v>54</v>
      </c>
    </row>
    <row r="26" spans="1:8" x14ac:dyDescent="0.3">
      <c r="A26" s="17" t="s">
        <v>22</v>
      </c>
      <c r="B26" s="17">
        <f>COUNT('2_Clean_Data'!L2:L1360)</f>
        <v>1359</v>
      </c>
      <c r="C26" s="17">
        <f>COUNTBLANK('2_Clean_Data'!L2:L1360)</f>
        <v>0</v>
      </c>
      <c r="D26" s="21">
        <f>MIN('2_Clean_Data'!L2:L1360)</f>
        <v>8.4</v>
      </c>
      <c r="E26" s="21">
        <f>MAX('2_Clean_Data'!L2:L1360)</f>
        <v>14.9</v>
      </c>
      <c r="F26" s="22">
        <f>AVERAGE('2_Clean_Data'!L2:L1360)</f>
        <v>10.432315428010774</v>
      </c>
      <c r="G26" s="17" t="str">
        <f t="shared" si="0"/>
        <v>Numeric OK</v>
      </c>
      <c r="H26" s="17" t="s">
        <v>52</v>
      </c>
    </row>
    <row r="27" spans="1:8" x14ac:dyDescent="0.3">
      <c r="A27" s="17" t="s">
        <v>23</v>
      </c>
      <c r="B27" s="17">
        <f>COUNT('2_Clean_Data'!M2:M1360)</f>
        <v>1359</v>
      </c>
      <c r="C27" s="17">
        <f>COUNTBLANK('2_Clean_Data'!M2:M1360)</f>
        <v>0</v>
      </c>
      <c r="D27" s="18">
        <f>MIN('2_Clean_Data'!M2:M1360)</f>
        <v>3</v>
      </c>
      <c r="E27" s="18">
        <f>MAX('2_Clean_Data'!M2:M1360)</f>
        <v>8</v>
      </c>
      <c r="F27" s="22">
        <f>AVERAGE('2_Clean_Data'!M2:M1360)</f>
        <v>5.6232523914643116</v>
      </c>
      <c r="G27" s="17" t="str">
        <f t="shared" si="0"/>
        <v>Numeric OK</v>
      </c>
      <c r="H27" s="17" t="s">
        <v>56</v>
      </c>
    </row>
  </sheetData>
  <conditionalFormatting sqref="G16:G27">
    <cfRule type="cellIs" dxfId="6" priority="2" operator="equal">
      <formula>"Numeric OK"</formula>
    </cfRule>
    <cfRule type="cellIs" dxfId="5" priority="3" operator="equal">
      <formula>"CHECK"</formula>
    </cfRule>
  </conditionalFormatting>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pageSetUpPr fitToPage="1"/>
  </sheetPr>
  <dimension ref="A1:H54"/>
  <sheetViews>
    <sheetView topLeftCell="A2" zoomScaleNormal="100" workbookViewId="0">
      <selection activeCell="A2" sqref="A2"/>
    </sheetView>
  </sheetViews>
  <sheetFormatPr defaultColWidth="8.6640625" defaultRowHeight="14.4" x14ac:dyDescent="0.3"/>
  <cols>
    <col min="1" max="1" width="24" customWidth="1"/>
    <col min="2" max="11" width="25" customWidth="1"/>
  </cols>
  <sheetData>
    <row r="1" spans="1:6" ht="21" x14ac:dyDescent="0.4">
      <c r="A1" s="15" t="s">
        <v>57</v>
      </c>
    </row>
    <row r="2" spans="1:6" x14ac:dyDescent="0.3">
      <c r="A2" s="16"/>
    </row>
    <row r="4" spans="1:6" ht="15.6" x14ac:dyDescent="0.3">
      <c r="A4" s="20" t="s">
        <v>58</v>
      </c>
    </row>
    <row r="6" spans="1:6" x14ac:dyDescent="0.3">
      <c r="A6" t="s">
        <v>59</v>
      </c>
    </row>
    <row r="8" spans="1:6" x14ac:dyDescent="0.3">
      <c r="A8" s="25"/>
      <c r="B8" s="26" t="s">
        <v>60</v>
      </c>
      <c r="C8" s="27"/>
      <c r="D8" s="27"/>
      <c r="E8" s="27"/>
      <c r="F8" s="28"/>
    </row>
    <row r="9" spans="1:6" x14ac:dyDescent="0.3">
      <c r="A9" s="29" t="s">
        <v>23</v>
      </c>
      <c r="B9" s="30" t="s">
        <v>61</v>
      </c>
      <c r="C9" s="31" t="s">
        <v>62</v>
      </c>
      <c r="D9" s="31" t="s">
        <v>63</v>
      </c>
      <c r="E9" s="31" t="s">
        <v>64</v>
      </c>
      <c r="F9" s="32" t="s">
        <v>65</v>
      </c>
    </row>
    <row r="10" spans="1:6" x14ac:dyDescent="0.3">
      <c r="A10" s="33">
        <v>3</v>
      </c>
      <c r="B10" s="34">
        <v>10</v>
      </c>
      <c r="C10" s="35">
        <v>9.9550000000000001</v>
      </c>
      <c r="D10" s="36">
        <v>0.88449999999999995</v>
      </c>
      <c r="E10" s="35">
        <v>3.3980000000000001</v>
      </c>
      <c r="F10" s="37">
        <v>0.56999999999999995</v>
      </c>
    </row>
    <row r="11" spans="1:6" x14ac:dyDescent="0.3">
      <c r="A11" s="38">
        <v>4</v>
      </c>
      <c r="B11" s="39">
        <v>53</v>
      </c>
      <c r="C11" s="40">
        <v>10.2650943396226</v>
      </c>
      <c r="D11" s="41">
        <v>0.69396226415094298</v>
      </c>
      <c r="E11" s="40">
        <v>3.3815094339622598</v>
      </c>
      <c r="F11" s="42">
        <v>0.59641509433962303</v>
      </c>
    </row>
    <row r="12" spans="1:6" x14ac:dyDescent="0.3">
      <c r="A12" s="38">
        <v>5</v>
      </c>
      <c r="B12" s="39">
        <v>577</v>
      </c>
      <c r="C12" s="40">
        <v>9.8885615251299797</v>
      </c>
      <c r="D12" s="41">
        <v>0.57859618717504302</v>
      </c>
      <c r="E12" s="40">
        <v>3.3008145580589199</v>
      </c>
      <c r="F12" s="42">
        <v>0.62357019064124797</v>
      </c>
    </row>
    <row r="13" spans="1:6" x14ac:dyDescent="0.3">
      <c r="A13" s="38">
        <v>6</v>
      </c>
      <c r="B13" s="39">
        <v>535</v>
      </c>
      <c r="C13" s="40">
        <v>10.6588785046729</v>
      </c>
      <c r="D13" s="41">
        <v>0.49608411214953302</v>
      </c>
      <c r="E13" s="40">
        <v>3.3180000000000001</v>
      </c>
      <c r="F13" s="42">
        <v>0.67454205607476603</v>
      </c>
    </row>
    <row r="14" spans="1:6" x14ac:dyDescent="0.3">
      <c r="A14" s="38">
        <v>7</v>
      </c>
      <c r="B14" s="39">
        <v>167</v>
      </c>
      <c r="C14" s="40">
        <v>11.491117764471101</v>
      </c>
      <c r="D14" s="41">
        <v>0.40365269461077802</v>
      </c>
      <c r="E14" s="40">
        <v>3.2900598802395198</v>
      </c>
      <c r="F14" s="42">
        <v>0.74263473053892204</v>
      </c>
    </row>
    <row r="15" spans="1:6" x14ac:dyDescent="0.3">
      <c r="A15" s="38">
        <v>8</v>
      </c>
      <c r="B15" s="43">
        <v>17</v>
      </c>
      <c r="C15" s="44">
        <v>12.1588235294118</v>
      </c>
      <c r="D15" s="45">
        <v>0.42764705882352899</v>
      </c>
      <c r="E15" s="44">
        <v>3.2741176470588198</v>
      </c>
      <c r="F15" s="46">
        <v>0.77470588235294102</v>
      </c>
    </row>
    <row r="16" spans="1:6" x14ac:dyDescent="0.3">
      <c r="A16" s="47" t="s">
        <v>66</v>
      </c>
      <c r="B16" s="48">
        <v>1359</v>
      </c>
      <c r="C16" s="49">
        <v>10.432315428010799</v>
      </c>
      <c r="D16" s="50">
        <v>0.52947755702722599</v>
      </c>
      <c r="E16" s="49">
        <v>3.3097866077998601</v>
      </c>
      <c r="F16" s="51">
        <v>0.658704930095659</v>
      </c>
    </row>
    <row r="19" spans="1:8" ht="15.6" x14ac:dyDescent="0.3">
      <c r="A19" s="20" t="s">
        <v>67</v>
      </c>
    </row>
    <row r="21" spans="1:8" x14ac:dyDescent="0.3">
      <c r="A21" t="s">
        <v>59</v>
      </c>
    </row>
    <row r="23" spans="1:8" x14ac:dyDescent="0.3">
      <c r="A23" s="25" t="s">
        <v>61</v>
      </c>
      <c r="B23" s="26" t="s">
        <v>23</v>
      </c>
      <c r="C23" s="27"/>
      <c r="D23" s="27"/>
      <c r="E23" s="27"/>
      <c r="F23" s="27"/>
      <c r="G23" s="27"/>
      <c r="H23" s="28"/>
    </row>
    <row r="24" spans="1:8" x14ac:dyDescent="0.3">
      <c r="A24" s="29" t="s">
        <v>68</v>
      </c>
      <c r="B24" s="52">
        <v>3</v>
      </c>
      <c r="C24" s="53">
        <v>4</v>
      </c>
      <c r="D24" s="53">
        <v>5</v>
      </c>
      <c r="E24" s="53">
        <v>6</v>
      </c>
      <c r="F24" s="53">
        <v>7</v>
      </c>
      <c r="G24" s="53">
        <v>8</v>
      </c>
      <c r="H24" s="54" t="s">
        <v>66</v>
      </c>
    </row>
    <row r="25" spans="1:8" x14ac:dyDescent="0.3">
      <c r="A25" s="55" t="s">
        <v>69</v>
      </c>
      <c r="B25" s="34"/>
      <c r="C25" s="56">
        <v>5</v>
      </c>
      <c r="D25" s="56">
        <v>20</v>
      </c>
      <c r="E25" s="56">
        <v>121</v>
      </c>
      <c r="F25" s="56">
        <v>89</v>
      </c>
      <c r="G25" s="57">
        <v>12</v>
      </c>
      <c r="H25" s="58">
        <v>247</v>
      </c>
    </row>
    <row r="26" spans="1:8" x14ac:dyDescent="0.3">
      <c r="A26" s="59" t="s">
        <v>70</v>
      </c>
      <c r="B26" s="39">
        <v>6</v>
      </c>
      <c r="C26" s="60">
        <v>24</v>
      </c>
      <c r="D26" s="60">
        <v>380</v>
      </c>
      <c r="E26" s="60">
        <v>156</v>
      </c>
      <c r="F26" s="60">
        <v>9</v>
      </c>
      <c r="G26" s="61">
        <v>1</v>
      </c>
      <c r="H26" s="62">
        <v>576</v>
      </c>
    </row>
    <row r="27" spans="1:8" x14ac:dyDescent="0.3">
      <c r="A27" s="59" t="s">
        <v>71</v>
      </c>
      <c r="B27" s="43">
        <v>4</v>
      </c>
      <c r="C27" s="63">
        <v>24</v>
      </c>
      <c r="D27" s="63">
        <v>177</v>
      </c>
      <c r="E27" s="63">
        <v>258</v>
      </c>
      <c r="F27" s="63">
        <v>69</v>
      </c>
      <c r="G27" s="64">
        <v>4</v>
      </c>
      <c r="H27" s="65">
        <v>536</v>
      </c>
    </row>
    <row r="28" spans="1:8" x14ac:dyDescent="0.3">
      <c r="A28" s="66" t="s">
        <v>66</v>
      </c>
      <c r="B28" s="48">
        <v>10</v>
      </c>
      <c r="C28" s="67">
        <v>53</v>
      </c>
      <c r="D28" s="67">
        <v>577</v>
      </c>
      <c r="E28" s="67">
        <v>535</v>
      </c>
      <c r="F28" s="67">
        <v>167</v>
      </c>
      <c r="G28" s="68">
        <v>17</v>
      </c>
      <c r="H28" s="69">
        <v>1359</v>
      </c>
    </row>
    <row r="31" spans="1:8" ht="15.6" x14ac:dyDescent="0.3">
      <c r="A31" s="20" t="s">
        <v>72</v>
      </c>
    </row>
    <row r="33" spans="1:4" x14ac:dyDescent="0.3">
      <c r="A33" t="s">
        <v>59</v>
      </c>
    </row>
    <row r="35" spans="1:4" x14ac:dyDescent="0.3">
      <c r="A35" s="25"/>
      <c r="B35" s="26" t="s">
        <v>60</v>
      </c>
      <c r="C35" s="27"/>
      <c r="D35" s="28"/>
    </row>
    <row r="36" spans="1:4" x14ac:dyDescent="0.3">
      <c r="A36" s="29" t="s">
        <v>73</v>
      </c>
      <c r="B36" s="30" t="s">
        <v>61</v>
      </c>
      <c r="C36" s="31" t="s">
        <v>62</v>
      </c>
      <c r="D36" s="32" t="s">
        <v>74</v>
      </c>
    </row>
    <row r="37" spans="1:4" x14ac:dyDescent="0.3">
      <c r="A37" s="55" t="s">
        <v>75</v>
      </c>
      <c r="B37" s="34">
        <v>63</v>
      </c>
      <c r="C37" s="35">
        <v>10.215873015872999</v>
      </c>
      <c r="D37" s="37">
        <v>3.8412698412698401</v>
      </c>
    </row>
    <row r="38" spans="1:4" x14ac:dyDescent="0.3">
      <c r="A38" s="59" t="s">
        <v>76</v>
      </c>
      <c r="B38" s="39">
        <v>101</v>
      </c>
      <c r="C38" s="40">
        <v>12.3006600660066</v>
      </c>
      <c r="D38" s="42">
        <v>7.1188118811881198</v>
      </c>
    </row>
    <row r="39" spans="1:4" x14ac:dyDescent="0.3">
      <c r="A39" s="59" t="s">
        <v>77</v>
      </c>
      <c r="B39" s="39">
        <v>560</v>
      </c>
      <c r="C39" s="40">
        <v>10.6586607142857</v>
      </c>
      <c r="D39" s="42">
        <v>6.1553571428571399</v>
      </c>
    </row>
    <row r="40" spans="1:4" x14ac:dyDescent="0.3">
      <c r="A40" s="59" t="s">
        <v>78</v>
      </c>
      <c r="B40" s="43">
        <v>635</v>
      </c>
      <c r="C40" s="44">
        <v>9.9570078740157406</v>
      </c>
      <c r="D40" s="46">
        <v>5.0929133858267699</v>
      </c>
    </row>
    <row r="41" spans="1:4" x14ac:dyDescent="0.3">
      <c r="A41" s="66" t="s">
        <v>66</v>
      </c>
      <c r="B41" s="48">
        <v>1359</v>
      </c>
      <c r="C41" s="49">
        <v>10.432315428010799</v>
      </c>
      <c r="D41" s="51">
        <v>5.6232523914643098</v>
      </c>
    </row>
    <row r="43" spans="1:4" ht="15.6" x14ac:dyDescent="0.3">
      <c r="A43" s="20" t="s">
        <v>79</v>
      </c>
    </row>
    <row r="45" spans="1:4" x14ac:dyDescent="0.3">
      <c r="A45" t="s">
        <v>59</v>
      </c>
    </row>
    <row r="47" spans="1:4" x14ac:dyDescent="0.3">
      <c r="A47" s="25" t="s">
        <v>61</v>
      </c>
      <c r="B47" s="26" t="s">
        <v>80</v>
      </c>
      <c r="C47" s="27"/>
      <c r="D47" s="28"/>
    </row>
    <row r="48" spans="1:4" x14ac:dyDescent="0.3">
      <c r="A48" s="29" t="s">
        <v>81</v>
      </c>
      <c r="B48" s="30" t="s">
        <v>82</v>
      </c>
      <c r="C48" s="31" t="s">
        <v>83</v>
      </c>
      <c r="D48" s="70" t="s">
        <v>66</v>
      </c>
    </row>
    <row r="49" spans="1:4" x14ac:dyDescent="0.3">
      <c r="A49" s="55" t="s">
        <v>84</v>
      </c>
      <c r="B49" s="34">
        <v>57</v>
      </c>
      <c r="C49" s="57">
        <v>478</v>
      </c>
      <c r="D49" s="58">
        <v>535</v>
      </c>
    </row>
    <row r="50" spans="1:4" x14ac:dyDescent="0.3">
      <c r="A50" s="59" t="s">
        <v>85</v>
      </c>
      <c r="B50" s="39">
        <v>110</v>
      </c>
      <c r="C50" s="61">
        <v>467</v>
      </c>
      <c r="D50" s="62">
        <v>577</v>
      </c>
    </row>
    <row r="51" spans="1:4" x14ac:dyDescent="0.3">
      <c r="A51" s="59" t="s">
        <v>86</v>
      </c>
      <c r="B51" s="39">
        <v>1</v>
      </c>
      <c r="C51" s="61">
        <v>16</v>
      </c>
      <c r="D51" s="62">
        <v>17</v>
      </c>
    </row>
    <row r="52" spans="1:4" x14ac:dyDescent="0.3">
      <c r="A52" s="59" t="s">
        <v>87</v>
      </c>
      <c r="B52" s="39">
        <v>5</v>
      </c>
      <c r="C52" s="61">
        <v>162</v>
      </c>
      <c r="D52" s="62">
        <v>167</v>
      </c>
    </row>
    <row r="53" spans="1:4" x14ac:dyDescent="0.3">
      <c r="A53" s="59" t="s">
        <v>75</v>
      </c>
      <c r="B53" s="43">
        <v>29</v>
      </c>
      <c r="C53" s="64">
        <v>34</v>
      </c>
      <c r="D53" s="65">
        <v>63</v>
      </c>
    </row>
    <row r="54" spans="1:4" x14ac:dyDescent="0.3">
      <c r="A54" s="66" t="s">
        <v>66</v>
      </c>
      <c r="B54" s="48">
        <v>202</v>
      </c>
      <c r="C54" s="68">
        <v>1157</v>
      </c>
      <c r="D54" s="69">
        <v>1359</v>
      </c>
    </row>
  </sheetData>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pageSetUpPr fitToPage="1"/>
  </sheetPr>
  <dimension ref="A1:L34"/>
  <sheetViews>
    <sheetView showGridLines="0" zoomScaleNormal="100" workbookViewId="0">
      <selection activeCell="A2" sqref="A2"/>
    </sheetView>
  </sheetViews>
  <sheetFormatPr defaultColWidth="8.6640625" defaultRowHeight="14.4" x14ac:dyDescent="0.3"/>
  <cols>
    <col min="1" max="1" width="24" customWidth="1"/>
    <col min="2" max="10" width="15" customWidth="1"/>
  </cols>
  <sheetData>
    <row r="1" spans="1:12" ht="21" x14ac:dyDescent="0.4">
      <c r="A1" s="15" t="s">
        <v>88</v>
      </c>
    </row>
    <row r="2" spans="1:12" x14ac:dyDescent="0.3">
      <c r="A2" s="16" t="s">
        <v>89</v>
      </c>
    </row>
    <row r="3" spans="1:12" ht="15.6" x14ac:dyDescent="0.3">
      <c r="A3" s="20" t="s">
        <v>90</v>
      </c>
    </row>
    <row r="4" spans="1:12" ht="30" customHeight="1" x14ac:dyDescent="0.3">
      <c r="A4" s="8" t="s">
        <v>23</v>
      </c>
      <c r="B4" s="8" t="s">
        <v>91</v>
      </c>
      <c r="C4" s="8" t="s">
        <v>92</v>
      </c>
      <c r="D4" s="8" t="s">
        <v>93</v>
      </c>
      <c r="E4" s="8" t="s">
        <v>94</v>
      </c>
      <c r="F4" s="8" t="s">
        <v>95</v>
      </c>
      <c r="G4" s="8" t="s">
        <v>96</v>
      </c>
      <c r="H4" s="8" t="s">
        <v>97</v>
      </c>
    </row>
    <row r="5" spans="1:12" x14ac:dyDescent="0.3">
      <c r="A5" s="71">
        <v>3</v>
      </c>
      <c r="B5" s="18">
        <f>COUNTIFS(rngQuality,$A5)</f>
        <v>10</v>
      </c>
      <c r="C5" s="19">
        <f t="shared" ref="C5:C10" si="0">B5/$B$11</f>
        <v>7.3583517292126564E-3</v>
      </c>
      <c r="D5" s="23">
        <f>AVERAGEIFS(rngAlcohol,rngQuality,$A5)</f>
        <v>9.9550000000000018</v>
      </c>
      <c r="E5" s="22">
        <f>AVERAGEIFS(rngVolatile,rngQuality,$A5)</f>
        <v>0.88450000000000006</v>
      </c>
      <c r="F5" s="22">
        <f>AVERAGEIFS(rngCitric,rngQuality,$A5)</f>
        <v>0.17099999999999999</v>
      </c>
      <c r="G5" s="23">
        <f>AVERAGEIFS(rngPH,rngQuality,$A5)</f>
        <v>3.3979999999999997</v>
      </c>
      <c r="H5" s="22">
        <f>AVERAGEIFS(rngSulphates,rngQuality,$A5)</f>
        <v>0.57000000000000006</v>
      </c>
    </row>
    <row r="6" spans="1:12" x14ac:dyDescent="0.3">
      <c r="A6" s="71">
        <v>4</v>
      </c>
      <c r="B6" s="18">
        <f>COUNTIFS(rngQuality,$A6)</f>
        <v>53</v>
      </c>
      <c r="C6" s="19">
        <f t="shared" si="0"/>
        <v>3.8999264164827081E-2</v>
      </c>
      <c r="D6" s="23">
        <f>AVERAGEIFS(rngAlcohol,rngQuality,$A6)</f>
        <v>10.265094339622639</v>
      </c>
      <c r="E6" s="22">
        <f>AVERAGEIFS(rngVolatile,rngQuality,$A6)</f>
        <v>0.69396226415094286</v>
      </c>
      <c r="F6" s="22">
        <f>AVERAGEIFS(rngCitric,rngQuality,$A6)</f>
        <v>0.17415094339622639</v>
      </c>
      <c r="G6" s="23">
        <f>AVERAGEIFS(rngPH,rngQuality,$A6)</f>
        <v>3.3815094339622642</v>
      </c>
      <c r="H6" s="22">
        <f>AVERAGEIFS(rngSulphates,rngQuality,$A6)</f>
        <v>0.5964150943396227</v>
      </c>
    </row>
    <row r="7" spans="1:12" x14ac:dyDescent="0.3">
      <c r="A7" s="71">
        <v>5</v>
      </c>
      <c r="B7" s="18">
        <f>COUNTIFS(rngQuality,$A7)</f>
        <v>577</v>
      </c>
      <c r="C7" s="19">
        <f t="shared" si="0"/>
        <v>0.42457689477557026</v>
      </c>
      <c r="D7" s="23">
        <f>AVERAGEIFS(rngAlcohol,rngQuality,$A7)</f>
        <v>9.8885615251299814</v>
      </c>
      <c r="E7" s="22">
        <f>AVERAGEIFS(rngVolatile,rngQuality,$A7)</f>
        <v>0.5785961871750428</v>
      </c>
      <c r="F7" s="22">
        <f>AVERAGEIFS(rngCitric,rngQuality,$A7)</f>
        <v>0.24452339688041611</v>
      </c>
      <c r="G7" s="23">
        <f>AVERAGEIFS(rngPH,rngQuality,$A7)</f>
        <v>3.3008145580589239</v>
      </c>
      <c r="H7" s="22">
        <f>AVERAGEIFS(rngSulphates,rngQuality,$A7)</f>
        <v>0.62357019064124763</v>
      </c>
    </row>
    <row r="8" spans="1:12" x14ac:dyDescent="0.3">
      <c r="A8" s="71">
        <v>6</v>
      </c>
      <c r="B8" s="18">
        <f>COUNTIFS(rngQuality,$A8)</f>
        <v>535</v>
      </c>
      <c r="C8" s="19">
        <f t="shared" si="0"/>
        <v>0.39367181751287711</v>
      </c>
      <c r="D8" s="23">
        <f>AVERAGEIFS(rngAlcohol,rngQuality,$A8)</f>
        <v>10.658878504672899</v>
      </c>
      <c r="E8" s="22">
        <f>AVERAGEIFS(rngVolatile,rngQuality,$A8)</f>
        <v>0.49608411214953319</v>
      </c>
      <c r="F8" s="22">
        <f>AVERAGEIFS(rngCitric,rngQuality,$A8)</f>
        <v>0.27936448598130892</v>
      </c>
      <c r="G8" s="23">
        <f>AVERAGEIFS(rngPH,rngQuality,$A8)</f>
        <v>3.3179999999999996</v>
      </c>
      <c r="H8" s="22">
        <f>AVERAGEIFS(rngSulphates,rngQuality,$A8)</f>
        <v>0.67454205607476614</v>
      </c>
    </row>
    <row r="9" spans="1:12" x14ac:dyDescent="0.3">
      <c r="A9" s="71">
        <v>7</v>
      </c>
      <c r="B9" s="18">
        <f>COUNTIFS(rngQuality,$A9)</f>
        <v>167</v>
      </c>
      <c r="C9" s="19">
        <f t="shared" si="0"/>
        <v>0.12288447387785136</v>
      </c>
      <c r="D9" s="23">
        <f>AVERAGEIFS(rngAlcohol,rngQuality,$A9)</f>
        <v>11.491117764471053</v>
      </c>
      <c r="E9" s="22">
        <f>AVERAGEIFS(rngVolatile,rngQuality,$A9)</f>
        <v>0.40365269461077841</v>
      </c>
      <c r="F9" s="22">
        <f>AVERAGEIFS(rngCitric,rngQuality,$A9)</f>
        <v>0.37185628742514976</v>
      </c>
      <c r="G9" s="23">
        <f>AVERAGEIFS(rngPH,rngQuality,$A9)</f>
        <v>3.2900598802395193</v>
      </c>
      <c r="H9" s="22">
        <f>AVERAGEIFS(rngSulphates,rngQuality,$A9)</f>
        <v>0.74263473053892226</v>
      </c>
    </row>
    <row r="10" spans="1:12" x14ac:dyDescent="0.3">
      <c r="A10" s="71">
        <v>8</v>
      </c>
      <c r="B10" s="18">
        <f>COUNTIFS(rngQuality,$A10)</f>
        <v>17</v>
      </c>
      <c r="C10" s="19">
        <f t="shared" si="0"/>
        <v>1.2509197939661517E-2</v>
      </c>
      <c r="D10" s="23">
        <f>AVERAGEIFS(rngAlcohol,rngQuality,$A10)</f>
        <v>12.158823529411764</v>
      </c>
      <c r="E10" s="22">
        <f>AVERAGEIFS(rngVolatile,rngQuality,$A10)</f>
        <v>0.42764705882352944</v>
      </c>
      <c r="F10" s="22">
        <f>AVERAGEIFS(rngCitric,rngQuality,$A10)</f>
        <v>0.38294117647058823</v>
      </c>
      <c r="G10" s="23">
        <f>AVERAGEIFS(rngPH,rngQuality,$A10)</f>
        <v>3.2741176470588229</v>
      </c>
      <c r="H10" s="22">
        <f>AVERAGEIFS(rngSulphates,rngQuality,$A10)</f>
        <v>0.77470588235294113</v>
      </c>
    </row>
    <row r="11" spans="1:12" x14ac:dyDescent="0.3">
      <c r="A11" s="72" t="s">
        <v>98</v>
      </c>
      <c r="B11" s="73">
        <f>SUM(B5:B10)</f>
        <v>1359</v>
      </c>
      <c r="C11" s="74">
        <f>SUM(C5:C10)</f>
        <v>1</v>
      </c>
      <c r="D11" s="75">
        <f>AVERAGE(rngAlcohol)</f>
        <v>10.432315428010774</v>
      </c>
      <c r="E11" s="76">
        <f>AVERAGE(rngVolatile)</f>
        <v>0.52947755702722576</v>
      </c>
      <c r="F11" s="76">
        <f>AVERAGE(rngCitric)</f>
        <v>0.27233259749815975</v>
      </c>
      <c r="G11" s="75">
        <f>AVERAGE(rngPH)</f>
        <v>3.3097866077998561</v>
      </c>
      <c r="H11" s="76">
        <f>AVERAGE(rngSulphates)</f>
        <v>0.65870493009565934</v>
      </c>
    </row>
    <row r="14" spans="1:12" ht="15.6" x14ac:dyDescent="0.3">
      <c r="A14" s="20" t="s">
        <v>99</v>
      </c>
    </row>
    <row r="15" spans="1:12" x14ac:dyDescent="0.3">
      <c r="A15" s="8" t="s">
        <v>68</v>
      </c>
      <c r="B15" s="8" t="s">
        <v>100</v>
      </c>
      <c r="C15" s="8" t="s">
        <v>101</v>
      </c>
      <c r="D15" s="8">
        <v>3</v>
      </c>
      <c r="E15" s="8">
        <v>4</v>
      </c>
      <c r="F15" s="8">
        <v>5</v>
      </c>
      <c r="G15" s="8">
        <v>6</v>
      </c>
      <c r="H15" s="8">
        <v>7</v>
      </c>
      <c r="I15" s="8">
        <v>8</v>
      </c>
      <c r="J15" s="8" t="s">
        <v>102</v>
      </c>
    </row>
    <row r="16" spans="1:12" x14ac:dyDescent="0.3">
      <c r="A16" s="77" t="s">
        <v>70</v>
      </c>
      <c r="B16" s="21">
        <v>0</v>
      </c>
      <c r="C16" s="78">
        <v>10</v>
      </c>
      <c r="D16" s="18">
        <f>COUNTIFS(rngQuality,D$15,rngAlcohol,"&gt;="&amp;$B16,rngAlcohol,"&lt;"&amp;$C16)</f>
        <v>6</v>
      </c>
      <c r="E16" s="18">
        <f>COUNTIFS(rngQuality,E$15,rngAlcohol,"&gt;="&amp;$B16,rngAlcohol,"&lt;"&amp;$C16)</f>
        <v>24</v>
      </c>
      <c r="F16" s="18">
        <f>COUNTIFS(rngQuality,F$15,rngAlcohol,"&gt;="&amp;$B16,rngAlcohol,"&lt;"&amp;$C16)</f>
        <v>380</v>
      </c>
      <c r="G16" s="18">
        <f>COUNTIFS(rngQuality,G$15,rngAlcohol,"&gt;="&amp;$B16,rngAlcohol,"&lt;"&amp;$C16)</f>
        <v>156</v>
      </c>
      <c r="H16" s="18">
        <f>COUNTIFS(rngQuality,H$15,rngAlcohol,"&gt;="&amp;$B16,rngAlcohol,"&lt;"&amp;$C16)</f>
        <v>9</v>
      </c>
      <c r="I16" s="18">
        <f>COUNTIFS(rngQuality,I$15,rngAlcohol,"&gt;="&amp;$B16,rngAlcohol,"&lt;"&amp;$C16)</f>
        <v>1</v>
      </c>
      <c r="J16" s="18">
        <f>SUM(D16:I16)</f>
        <v>576</v>
      </c>
      <c r="L16" s="16" t="s">
        <v>103</v>
      </c>
    </row>
    <row r="17" spans="1:10" x14ac:dyDescent="0.3">
      <c r="A17" s="77" t="s">
        <v>71</v>
      </c>
      <c r="B17" s="21">
        <f>C16</f>
        <v>10</v>
      </c>
      <c r="C17" s="78">
        <v>11.5</v>
      </c>
      <c r="D17" s="18">
        <f>COUNTIFS(rngQuality,D$15,rngAlcohol,"&gt;="&amp;$B17,rngAlcohol,"&lt;"&amp;$C17)</f>
        <v>4</v>
      </c>
      <c r="E17" s="18">
        <f>COUNTIFS(rngQuality,E$15,rngAlcohol,"&gt;="&amp;$B17,rngAlcohol,"&lt;"&amp;$C17)</f>
        <v>24</v>
      </c>
      <c r="F17" s="18">
        <f>COUNTIFS(rngQuality,F$15,rngAlcohol,"&gt;="&amp;$B17,rngAlcohol,"&lt;"&amp;$C17)</f>
        <v>177</v>
      </c>
      <c r="G17" s="18">
        <f>COUNTIFS(rngQuality,G$15,rngAlcohol,"&gt;="&amp;$B17,rngAlcohol,"&lt;"&amp;$C17)</f>
        <v>258</v>
      </c>
      <c r="H17" s="18">
        <f>COUNTIFS(rngQuality,H$15,rngAlcohol,"&gt;="&amp;$B17,rngAlcohol,"&lt;"&amp;$C17)</f>
        <v>69</v>
      </c>
      <c r="I17" s="18">
        <f>COUNTIFS(rngQuality,I$15,rngAlcohol,"&gt;="&amp;$B17,rngAlcohol,"&lt;"&amp;$C17)</f>
        <v>4</v>
      </c>
      <c r="J17" s="18">
        <f>SUM(D17:I17)</f>
        <v>536</v>
      </c>
    </row>
    <row r="18" spans="1:10" x14ac:dyDescent="0.3">
      <c r="A18" s="77" t="s">
        <v>69</v>
      </c>
      <c r="B18" s="21">
        <f>C17</f>
        <v>11.5</v>
      </c>
      <c r="C18" s="78">
        <v>100</v>
      </c>
      <c r="D18" s="18">
        <f>COUNTIFS(rngQuality,D$15,rngAlcohol,"&gt;="&amp;$B18,rngAlcohol,"&lt;"&amp;$C18)</f>
        <v>0</v>
      </c>
      <c r="E18" s="18">
        <f>COUNTIFS(rngQuality,E$15,rngAlcohol,"&gt;="&amp;$B18,rngAlcohol,"&lt;"&amp;$C18)</f>
        <v>5</v>
      </c>
      <c r="F18" s="18">
        <f>COUNTIFS(rngQuality,F$15,rngAlcohol,"&gt;="&amp;$B18,rngAlcohol,"&lt;"&amp;$C18)</f>
        <v>20</v>
      </c>
      <c r="G18" s="18">
        <f>COUNTIFS(rngQuality,G$15,rngAlcohol,"&gt;="&amp;$B18,rngAlcohol,"&lt;"&amp;$C18)</f>
        <v>121</v>
      </c>
      <c r="H18" s="18">
        <f>COUNTIFS(rngQuality,H$15,rngAlcohol,"&gt;="&amp;$B18,rngAlcohol,"&lt;"&amp;$C18)</f>
        <v>89</v>
      </c>
      <c r="I18" s="18">
        <f>COUNTIFS(rngQuality,I$15,rngAlcohol,"&gt;="&amp;$B18,rngAlcohol,"&lt;"&amp;$C18)</f>
        <v>12</v>
      </c>
      <c r="J18" s="18">
        <f>SUM(D18:I18)</f>
        <v>247</v>
      </c>
    </row>
    <row r="19" spans="1:10" x14ac:dyDescent="0.3">
      <c r="A19" s="79" t="s">
        <v>102</v>
      </c>
      <c r="B19" s="80"/>
      <c r="C19" s="80"/>
      <c r="D19" s="73">
        <f t="shared" ref="D19:J19" si="1">SUM(D16:D18)</f>
        <v>10</v>
      </c>
      <c r="E19" s="73">
        <f t="shared" si="1"/>
        <v>53</v>
      </c>
      <c r="F19" s="73">
        <f t="shared" si="1"/>
        <v>577</v>
      </c>
      <c r="G19" s="73">
        <f t="shared" si="1"/>
        <v>535</v>
      </c>
      <c r="H19" s="73">
        <f t="shared" si="1"/>
        <v>167</v>
      </c>
      <c r="I19" s="73">
        <f t="shared" si="1"/>
        <v>17</v>
      </c>
      <c r="J19" s="73">
        <f t="shared" si="1"/>
        <v>1359</v>
      </c>
    </row>
    <row r="22" spans="1:10" ht="15.6" x14ac:dyDescent="0.3">
      <c r="A22" s="20" t="s">
        <v>104</v>
      </c>
    </row>
    <row r="23" spans="1:10" x14ac:dyDescent="0.3">
      <c r="A23" s="8" t="s">
        <v>105</v>
      </c>
      <c r="B23" s="8">
        <v>3</v>
      </c>
      <c r="C23" s="8">
        <v>4</v>
      </c>
      <c r="D23" s="8">
        <v>5</v>
      </c>
      <c r="E23" s="8">
        <v>6</v>
      </c>
      <c r="F23" s="8">
        <v>7</v>
      </c>
      <c r="G23" s="8">
        <v>8</v>
      </c>
      <c r="H23" s="8" t="s">
        <v>106</v>
      </c>
    </row>
    <row r="24" spans="1:10" x14ac:dyDescent="0.3">
      <c r="A24" s="17" t="str">
        <f>'2_Clean_Data'!B1</f>
        <v>Fixed_Acidity</v>
      </c>
      <c r="B24" s="22">
        <f>AVERAGEIFS(INDEX(rngData,0,MATCH($A24,'2_Clean_Data'!$B$1:$M$1,0)),rngQuality,B$23)</f>
        <v>8.36</v>
      </c>
      <c r="C24" s="22">
        <f>AVERAGEIFS(INDEX(rngData,0,MATCH($A24,'2_Clean_Data'!$B$1:$M$1,0)),rngQuality,C$23)</f>
        <v>7.7792452830188683</v>
      </c>
      <c r="D24" s="22">
        <f>AVERAGEIFS(INDEX(rngData,0,MATCH($A24,'2_Clean_Data'!$B$1:$M$1,0)),rngQuality,D$23)</f>
        <v>8.1712305025996468</v>
      </c>
      <c r="E24" s="22">
        <f>AVERAGEIFS(INDEX(rngData,0,MATCH($A24,'2_Clean_Data'!$B$1:$M$1,0)),rngQuality,E$23)</f>
        <v>8.3373831775700875</v>
      </c>
      <c r="F24" s="22">
        <f>AVERAGEIFS(INDEX(rngData,0,MATCH($A24,'2_Clean_Data'!$B$1:$M$1,0)),rngQuality,F$23)</f>
        <v>8.8586826347305365</v>
      </c>
      <c r="G24" s="22">
        <f>AVERAGEIFS(INDEX(rngData,0,MATCH($A24,'2_Clean_Data'!$B$1:$M$1,0)),rngQuality,G$23)</f>
        <v>8.4411764705882337</v>
      </c>
      <c r="H24" s="22">
        <f>AVERAGE(INDEX(rngData,0,MATCH($A24,'2_Clean_Data'!$B$1:$M$1,0)))</f>
        <v>8.3105960264900869</v>
      </c>
    </row>
    <row r="25" spans="1:10" x14ac:dyDescent="0.3">
      <c r="A25" s="17" t="str">
        <f>'2_Clean_Data'!C1</f>
        <v>Volatile_Acidity</v>
      </c>
      <c r="B25" s="22">
        <f>AVERAGEIFS(INDEX(rngData,0,MATCH($A25,'2_Clean_Data'!$B$1:$M$1,0)),rngQuality,B$23)</f>
        <v>0.88450000000000006</v>
      </c>
      <c r="C25" s="22">
        <f>AVERAGEIFS(INDEX(rngData,0,MATCH($A25,'2_Clean_Data'!$B$1:$M$1,0)),rngQuality,C$23)</f>
        <v>0.69396226415094286</v>
      </c>
      <c r="D25" s="22">
        <f>AVERAGEIFS(INDEX(rngData,0,MATCH($A25,'2_Clean_Data'!$B$1:$M$1,0)),rngQuality,D$23)</f>
        <v>0.5785961871750428</v>
      </c>
      <c r="E25" s="22">
        <f>AVERAGEIFS(INDEX(rngData,0,MATCH($A25,'2_Clean_Data'!$B$1:$M$1,0)),rngQuality,E$23)</f>
        <v>0.49608411214953319</v>
      </c>
      <c r="F25" s="22">
        <f>AVERAGEIFS(INDEX(rngData,0,MATCH($A25,'2_Clean_Data'!$B$1:$M$1,0)),rngQuality,F$23)</f>
        <v>0.40365269461077841</v>
      </c>
      <c r="G25" s="22">
        <f>AVERAGEIFS(INDEX(rngData,0,MATCH($A25,'2_Clean_Data'!$B$1:$M$1,0)),rngQuality,G$23)</f>
        <v>0.42764705882352944</v>
      </c>
      <c r="H25" s="22">
        <f>AVERAGE(INDEX(rngData,0,MATCH($A25,'2_Clean_Data'!$B$1:$M$1,0)))</f>
        <v>0.52947755702722576</v>
      </c>
    </row>
    <row r="26" spans="1:10" x14ac:dyDescent="0.3">
      <c r="A26" s="17" t="str">
        <f>'2_Clean_Data'!D1</f>
        <v>Citric_Acid</v>
      </c>
      <c r="B26" s="22">
        <f>AVERAGEIFS(INDEX(rngData,0,MATCH($A26,'2_Clean_Data'!$B$1:$M$1,0)),rngQuality,B$23)</f>
        <v>0.17099999999999999</v>
      </c>
      <c r="C26" s="22">
        <f>AVERAGEIFS(INDEX(rngData,0,MATCH($A26,'2_Clean_Data'!$B$1:$M$1,0)),rngQuality,C$23)</f>
        <v>0.17415094339622639</v>
      </c>
      <c r="D26" s="22">
        <f>AVERAGEIFS(INDEX(rngData,0,MATCH($A26,'2_Clean_Data'!$B$1:$M$1,0)),rngQuality,D$23)</f>
        <v>0.24452339688041611</v>
      </c>
      <c r="E26" s="22">
        <f>AVERAGEIFS(INDEX(rngData,0,MATCH($A26,'2_Clean_Data'!$B$1:$M$1,0)),rngQuality,E$23)</f>
        <v>0.27936448598130892</v>
      </c>
      <c r="F26" s="22">
        <f>AVERAGEIFS(INDEX(rngData,0,MATCH($A26,'2_Clean_Data'!$B$1:$M$1,0)),rngQuality,F$23)</f>
        <v>0.37185628742514976</v>
      </c>
      <c r="G26" s="22">
        <f>AVERAGEIFS(INDEX(rngData,0,MATCH($A26,'2_Clean_Data'!$B$1:$M$1,0)),rngQuality,G$23)</f>
        <v>0.38294117647058823</v>
      </c>
      <c r="H26" s="22">
        <f>AVERAGE(INDEX(rngData,0,MATCH($A26,'2_Clean_Data'!$B$1:$M$1,0)))</f>
        <v>0.27233259749815975</v>
      </c>
    </row>
    <row r="27" spans="1:10" x14ac:dyDescent="0.3">
      <c r="A27" s="17" t="str">
        <f>'2_Clean_Data'!E1</f>
        <v>Residual_Sugar</v>
      </c>
      <c r="B27" s="22">
        <f>AVERAGEIFS(INDEX(rngData,0,MATCH($A27,'2_Clean_Data'!$B$1:$M$1,0)),rngQuality,B$23)</f>
        <v>2.6350000000000002</v>
      </c>
      <c r="C27" s="22">
        <f>AVERAGEIFS(INDEX(rngData,0,MATCH($A27,'2_Clean_Data'!$B$1:$M$1,0)),rngQuality,C$23)</f>
        <v>2.6943396226415102</v>
      </c>
      <c r="D27" s="22">
        <f>AVERAGEIFS(INDEX(rngData,0,MATCH($A27,'2_Clean_Data'!$B$1:$M$1,0)),rngQuality,D$23)</f>
        <v>2.5095320623916795</v>
      </c>
      <c r="E27" s="22">
        <f>AVERAGEIFS(INDEX(rngData,0,MATCH($A27,'2_Clean_Data'!$B$1:$M$1,0)),rngQuality,E$23)</f>
        <v>2.4572897196261687</v>
      </c>
      <c r="F27" s="22">
        <f>AVERAGEIFS(INDEX(rngData,0,MATCH($A27,'2_Clean_Data'!$B$1:$M$1,0)),rngQuality,F$23)</f>
        <v>2.7167664670658676</v>
      </c>
      <c r="G27" s="22">
        <f>AVERAGEIFS(INDEX(rngData,0,MATCH($A27,'2_Clean_Data'!$B$1:$M$1,0)),rngQuality,G$23)</f>
        <v>2.5764705882352938</v>
      </c>
      <c r="H27" s="22">
        <f>AVERAGE(INDEX(rngData,0,MATCH($A27,'2_Clean_Data'!$B$1:$M$1,0)))</f>
        <v>2.5233995584988969</v>
      </c>
    </row>
    <row r="28" spans="1:10" x14ac:dyDescent="0.3">
      <c r="A28" s="17" t="str">
        <f>'2_Clean_Data'!F1</f>
        <v>Chlorides</v>
      </c>
      <c r="B28" s="22">
        <f>AVERAGEIFS(INDEX(rngData,0,MATCH($A28,'2_Clean_Data'!$B$1:$M$1,0)),rngQuality,B$23)</f>
        <v>0.12250000000000001</v>
      </c>
      <c r="C28" s="22">
        <f>AVERAGEIFS(INDEX(rngData,0,MATCH($A28,'2_Clean_Data'!$B$1:$M$1,0)),rngQuality,C$23)</f>
        <v>9.0679245283018836E-2</v>
      </c>
      <c r="D28" s="22">
        <f>AVERAGEIFS(INDEX(rngData,0,MATCH($A28,'2_Clean_Data'!$B$1:$M$1,0)),rngQuality,D$23)</f>
        <v>9.397053726169842E-2</v>
      </c>
      <c r="E28" s="22">
        <f>AVERAGEIFS(INDEX(rngData,0,MATCH($A28,'2_Clean_Data'!$B$1:$M$1,0)),rngQuality,E$23)</f>
        <v>8.5074766355140177E-2</v>
      </c>
      <c r="F28" s="22">
        <f>AVERAGEIFS(INDEX(rngData,0,MATCH($A28,'2_Clean_Data'!$B$1:$M$1,0)),rngQuality,F$23)</f>
        <v>7.6832335329341306E-2</v>
      </c>
      <c r="G28" s="22">
        <f>AVERAGEIFS(INDEX(rngData,0,MATCH($A28,'2_Clean_Data'!$B$1:$M$1,0)),rngQuality,G$23)</f>
        <v>6.8352941176470589E-2</v>
      </c>
      <c r="H28" s="22">
        <f>AVERAGE(INDEX(rngData,0,MATCH($A28,'2_Clean_Data'!$B$1:$M$1,0)))</f>
        <v>8.8123620309050396E-2</v>
      </c>
    </row>
    <row r="29" spans="1:10" x14ac:dyDescent="0.3">
      <c r="A29" s="17" t="str">
        <f>'2_Clean_Data'!G1</f>
        <v>Free_Sulfur_Dioxide</v>
      </c>
      <c r="B29" s="22">
        <f>AVERAGEIFS(INDEX(rngData,0,MATCH($A29,'2_Clean_Data'!$B$1:$M$1,0)),rngQuality,B$23)</f>
        <v>11</v>
      </c>
      <c r="C29" s="22">
        <f>AVERAGEIFS(INDEX(rngData,0,MATCH($A29,'2_Clean_Data'!$B$1:$M$1,0)),rngQuality,C$23)</f>
        <v>12.264150943396226</v>
      </c>
      <c r="D29" s="22">
        <f>AVERAGEIFS(INDEX(rngData,0,MATCH($A29,'2_Clean_Data'!$B$1:$M$1,0)),rngQuality,D$23)</f>
        <v>17.161178509532064</v>
      </c>
      <c r="E29" s="22">
        <f>AVERAGEIFS(INDEX(rngData,0,MATCH($A29,'2_Clean_Data'!$B$1:$M$1,0)),rngQuality,E$23)</f>
        <v>15.637383177570094</v>
      </c>
      <c r="F29" s="22">
        <f>AVERAGEIFS(INDEX(rngData,0,MATCH($A29,'2_Clean_Data'!$B$1:$M$1,0)),rngQuality,F$23)</f>
        <v>13.994011976047904</v>
      </c>
      <c r="G29" s="22">
        <f>AVERAGEIFS(INDEX(rngData,0,MATCH($A29,'2_Clean_Data'!$B$1:$M$1,0)),rngQuality,G$23)</f>
        <v>13.764705882352942</v>
      </c>
      <c r="H29" s="22">
        <f>AVERAGE(INDEX(rngData,0,MATCH($A29,'2_Clean_Data'!$B$1:$M$1,0)))</f>
        <v>15.893303899926417</v>
      </c>
    </row>
    <row r="30" spans="1:10" x14ac:dyDescent="0.3">
      <c r="A30" s="17" t="str">
        <f>'2_Clean_Data'!H1</f>
        <v>Total_Sulfur_Dioxide</v>
      </c>
      <c r="B30" s="22">
        <f>AVERAGEIFS(INDEX(rngData,0,MATCH($A30,'2_Clean_Data'!$B$1:$M$1,0)),rngQuality,B$23)</f>
        <v>24.9</v>
      </c>
      <c r="C30" s="22">
        <f>AVERAGEIFS(INDEX(rngData,0,MATCH($A30,'2_Clean_Data'!$B$1:$M$1,0)),rngQuality,C$23)</f>
        <v>36.245283018867923</v>
      </c>
      <c r="D30" s="22">
        <f>AVERAGEIFS(INDEX(rngData,0,MATCH($A30,'2_Clean_Data'!$B$1:$M$1,0)),rngQuality,D$23)</f>
        <v>57.406412478336222</v>
      </c>
      <c r="E30" s="22">
        <f>AVERAGEIFS(INDEX(rngData,0,MATCH($A30,'2_Clean_Data'!$B$1:$M$1,0)),rngQuality,E$23)</f>
        <v>40.816822429906544</v>
      </c>
      <c r="F30" s="22">
        <f>AVERAGEIFS(INDEX(rngData,0,MATCH($A30,'2_Clean_Data'!$B$1:$M$1,0)),rngQuality,F$23)</f>
        <v>35.449101796407184</v>
      </c>
      <c r="G30" s="22">
        <f>AVERAGEIFS(INDEX(rngData,0,MATCH($A30,'2_Clean_Data'!$B$1:$M$1,0)),rngQuality,G$23)</f>
        <v>34.470588235294116</v>
      </c>
      <c r="H30" s="22">
        <f>AVERAGE(INDEX(rngData,0,MATCH($A30,'2_Clean_Data'!$B$1:$M$1,0)))</f>
        <v>46.825974981604119</v>
      </c>
    </row>
    <row r="31" spans="1:10" x14ac:dyDescent="0.3">
      <c r="A31" s="17" t="str">
        <f>'2_Clean_Data'!I1</f>
        <v>Density</v>
      </c>
      <c r="B31" s="22">
        <f>AVERAGEIFS(INDEX(rngData,0,MATCH($A31,'2_Clean_Data'!$B$1:$M$1,0)),rngQuality,B$23)</f>
        <v>0.99746400000000013</v>
      </c>
      <c r="C31" s="22">
        <f>AVERAGEIFS(INDEX(rngData,0,MATCH($A31,'2_Clean_Data'!$B$1:$M$1,0)),rngQuality,C$23)</f>
        <v>0.99654245283018861</v>
      </c>
      <c r="D31" s="22">
        <f>AVERAGEIFS(INDEX(rngData,0,MATCH($A31,'2_Clean_Data'!$B$1:$M$1,0)),rngQuality,D$23)</f>
        <v>0.9970822530329293</v>
      </c>
      <c r="E31" s="22">
        <f>AVERAGEIFS(INDEX(rngData,0,MATCH($A31,'2_Clean_Data'!$B$1:$M$1,0)),rngQuality,E$23)</f>
        <v>0.99656534579439238</v>
      </c>
      <c r="F31" s="22">
        <f>AVERAGEIFS(INDEX(rngData,0,MATCH($A31,'2_Clean_Data'!$B$1:$M$1,0)),rngQuality,F$23)</f>
        <v>0.99605107784431068</v>
      </c>
      <c r="G31" s="22">
        <f>AVERAGEIFS(INDEX(rngData,0,MATCH($A31,'2_Clean_Data'!$B$1:$M$1,0)),rngQuality,G$23)</f>
        <v>0.99509529411764697</v>
      </c>
      <c r="H31" s="22">
        <f>AVERAGE(INDEX(rngData,0,MATCH($A31,'2_Clean_Data'!$B$1:$M$1,0)))</f>
        <v>0.99670894775570262</v>
      </c>
    </row>
    <row r="32" spans="1:10" x14ac:dyDescent="0.3">
      <c r="A32" s="17" t="str">
        <f>'2_Clean_Data'!J1</f>
        <v>pH</v>
      </c>
      <c r="B32" s="22">
        <f>AVERAGEIFS(INDEX(rngData,0,MATCH($A32,'2_Clean_Data'!$B$1:$M$1,0)),rngQuality,B$23)</f>
        <v>3.3979999999999997</v>
      </c>
      <c r="C32" s="22">
        <f>AVERAGEIFS(INDEX(rngData,0,MATCH($A32,'2_Clean_Data'!$B$1:$M$1,0)),rngQuality,C$23)</f>
        <v>3.3815094339622642</v>
      </c>
      <c r="D32" s="22">
        <f>AVERAGEIFS(INDEX(rngData,0,MATCH($A32,'2_Clean_Data'!$B$1:$M$1,0)),rngQuality,D$23)</f>
        <v>3.3008145580589239</v>
      </c>
      <c r="E32" s="22">
        <f>AVERAGEIFS(INDEX(rngData,0,MATCH($A32,'2_Clean_Data'!$B$1:$M$1,0)),rngQuality,E$23)</f>
        <v>3.3179999999999996</v>
      </c>
      <c r="F32" s="22">
        <f>AVERAGEIFS(INDEX(rngData,0,MATCH($A32,'2_Clean_Data'!$B$1:$M$1,0)),rngQuality,F$23)</f>
        <v>3.2900598802395193</v>
      </c>
      <c r="G32" s="22">
        <f>AVERAGEIFS(INDEX(rngData,0,MATCH($A32,'2_Clean_Data'!$B$1:$M$1,0)),rngQuality,G$23)</f>
        <v>3.2741176470588229</v>
      </c>
      <c r="H32" s="22">
        <f>AVERAGE(INDEX(rngData,0,MATCH($A32,'2_Clean_Data'!$B$1:$M$1,0)))</f>
        <v>3.3097866077998561</v>
      </c>
    </row>
    <row r="33" spans="1:8" x14ac:dyDescent="0.3">
      <c r="A33" s="17" t="str">
        <f>'2_Clean_Data'!K1</f>
        <v>Sulphates</v>
      </c>
      <c r="B33" s="22">
        <f>AVERAGEIFS(INDEX(rngData,0,MATCH($A33,'2_Clean_Data'!$B$1:$M$1,0)),rngQuality,B$23)</f>
        <v>0.57000000000000006</v>
      </c>
      <c r="C33" s="22">
        <f>AVERAGEIFS(INDEX(rngData,0,MATCH($A33,'2_Clean_Data'!$B$1:$M$1,0)),rngQuality,C$23)</f>
        <v>0.5964150943396227</v>
      </c>
      <c r="D33" s="22">
        <f>AVERAGEIFS(INDEX(rngData,0,MATCH($A33,'2_Clean_Data'!$B$1:$M$1,0)),rngQuality,D$23)</f>
        <v>0.62357019064124763</v>
      </c>
      <c r="E33" s="22">
        <f>AVERAGEIFS(INDEX(rngData,0,MATCH($A33,'2_Clean_Data'!$B$1:$M$1,0)),rngQuality,E$23)</f>
        <v>0.67454205607476614</v>
      </c>
      <c r="F33" s="22">
        <f>AVERAGEIFS(INDEX(rngData,0,MATCH($A33,'2_Clean_Data'!$B$1:$M$1,0)),rngQuality,F$23)</f>
        <v>0.74263473053892226</v>
      </c>
      <c r="G33" s="22">
        <f>AVERAGEIFS(INDEX(rngData,0,MATCH($A33,'2_Clean_Data'!$B$1:$M$1,0)),rngQuality,G$23)</f>
        <v>0.77470588235294113</v>
      </c>
      <c r="H33" s="22">
        <f>AVERAGE(INDEX(rngData,0,MATCH($A33,'2_Clean_Data'!$B$1:$M$1,0)))</f>
        <v>0.65870493009565934</v>
      </c>
    </row>
    <row r="34" spans="1:8" x14ac:dyDescent="0.3">
      <c r="A34" s="17" t="str">
        <f>'2_Clean_Data'!L1</f>
        <v>Alcohol</v>
      </c>
      <c r="B34" s="22">
        <f>AVERAGEIFS(INDEX(rngData,0,MATCH($A34,'2_Clean_Data'!$B$1:$M$1,0)),rngQuality,B$23)</f>
        <v>9.9550000000000018</v>
      </c>
      <c r="C34" s="22">
        <f>AVERAGEIFS(INDEX(rngData,0,MATCH($A34,'2_Clean_Data'!$B$1:$M$1,0)),rngQuality,C$23)</f>
        <v>10.265094339622639</v>
      </c>
      <c r="D34" s="22">
        <f>AVERAGEIFS(INDEX(rngData,0,MATCH($A34,'2_Clean_Data'!$B$1:$M$1,0)),rngQuality,D$23)</f>
        <v>9.8885615251299814</v>
      </c>
      <c r="E34" s="22">
        <f>AVERAGEIFS(INDEX(rngData,0,MATCH($A34,'2_Clean_Data'!$B$1:$M$1,0)),rngQuality,E$23)</f>
        <v>10.658878504672899</v>
      </c>
      <c r="F34" s="22">
        <f>AVERAGEIFS(INDEX(rngData,0,MATCH($A34,'2_Clean_Data'!$B$1:$M$1,0)),rngQuality,F$23)</f>
        <v>11.491117764471053</v>
      </c>
      <c r="G34" s="22">
        <f>AVERAGEIFS(INDEX(rngData,0,MATCH($A34,'2_Clean_Data'!$B$1:$M$1,0)),rngQuality,G$23)</f>
        <v>12.158823529411764</v>
      </c>
      <c r="H34" s="22">
        <f>AVERAGE(INDEX(rngData,0,MATCH($A34,'2_Clean_Data'!$B$1:$M$1,0)))</f>
        <v>10.432315428010774</v>
      </c>
    </row>
  </sheetData>
  <conditionalFormatting sqref="B5:B10">
    <cfRule type="dataBar" priority="2">
      <dataBar>
        <cfvo type="num" val="0"/>
        <cfvo type="max"/>
        <color rgb="FFC0504D"/>
      </dataBar>
      <extLst>
        <ext xmlns:x14="http://schemas.microsoft.com/office/spreadsheetml/2009/9/main" uri="{B025F937-C7B1-47D3-B67F-A62EFF666E3E}">
          <x14:id>{FC165859-C085-4110-92D5-9EFD13B16B4F}</x14:id>
        </ext>
      </extLst>
    </cfRule>
  </conditionalFormatting>
  <conditionalFormatting sqref="B24:G24">
    <cfRule type="colorScale" priority="4">
      <colorScale>
        <cfvo type="min"/>
        <cfvo type="percentile" val="50"/>
        <cfvo type="max"/>
        <color rgb="FF9FC5E8"/>
        <color rgb="FFFFFFFF"/>
        <color rgb="FFF4B183"/>
      </colorScale>
    </cfRule>
  </conditionalFormatting>
  <conditionalFormatting sqref="B25:G25">
    <cfRule type="colorScale" priority="5">
      <colorScale>
        <cfvo type="min"/>
        <cfvo type="percentile" val="50"/>
        <cfvo type="max"/>
        <color rgb="FF9FC5E8"/>
        <color rgb="FFFFFFFF"/>
        <color rgb="FFF4B183"/>
      </colorScale>
    </cfRule>
  </conditionalFormatting>
  <conditionalFormatting sqref="B26:G26">
    <cfRule type="colorScale" priority="6">
      <colorScale>
        <cfvo type="min"/>
        <cfvo type="percentile" val="50"/>
        <cfvo type="max"/>
        <color rgb="FF9FC5E8"/>
        <color rgb="FFFFFFFF"/>
        <color rgb="FFF4B183"/>
      </colorScale>
    </cfRule>
  </conditionalFormatting>
  <conditionalFormatting sqref="B27:G27">
    <cfRule type="colorScale" priority="7">
      <colorScale>
        <cfvo type="min"/>
        <cfvo type="percentile" val="50"/>
        <cfvo type="max"/>
        <color rgb="FF9FC5E8"/>
        <color rgb="FFFFFFFF"/>
        <color rgb="FFF4B183"/>
      </colorScale>
    </cfRule>
  </conditionalFormatting>
  <conditionalFormatting sqref="B28:G28">
    <cfRule type="colorScale" priority="8">
      <colorScale>
        <cfvo type="min"/>
        <cfvo type="percentile" val="50"/>
        <cfvo type="max"/>
        <color rgb="FF9FC5E8"/>
        <color rgb="FFFFFFFF"/>
        <color rgb="FFF4B183"/>
      </colorScale>
    </cfRule>
  </conditionalFormatting>
  <conditionalFormatting sqref="B29:G29">
    <cfRule type="colorScale" priority="9">
      <colorScale>
        <cfvo type="min"/>
        <cfvo type="percentile" val="50"/>
        <cfvo type="max"/>
        <color rgb="FF9FC5E8"/>
        <color rgb="FFFFFFFF"/>
        <color rgb="FFF4B183"/>
      </colorScale>
    </cfRule>
  </conditionalFormatting>
  <conditionalFormatting sqref="B30:G30">
    <cfRule type="colorScale" priority="10">
      <colorScale>
        <cfvo type="min"/>
        <cfvo type="percentile" val="50"/>
        <cfvo type="max"/>
        <color rgb="FF9FC5E8"/>
        <color rgb="FFFFFFFF"/>
        <color rgb="FFF4B183"/>
      </colorScale>
    </cfRule>
  </conditionalFormatting>
  <conditionalFormatting sqref="B31:G31">
    <cfRule type="colorScale" priority="11">
      <colorScale>
        <cfvo type="min"/>
        <cfvo type="percentile" val="50"/>
        <cfvo type="max"/>
        <color rgb="FF9FC5E8"/>
        <color rgb="FFFFFFFF"/>
        <color rgb="FFF4B183"/>
      </colorScale>
    </cfRule>
  </conditionalFormatting>
  <conditionalFormatting sqref="B32:G32">
    <cfRule type="colorScale" priority="12">
      <colorScale>
        <cfvo type="min"/>
        <cfvo type="percentile" val="50"/>
        <cfvo type="max"/>
        <color rgb="FF9FC5E8"/>
        <color rgb="FFFFFFFF"/>
        <color rgb="FFF4B183"/>
      </colorScale>
    </cfRule>
  </conditionalFormatting>
  <conditionalFormatting sqref="B33:G33">
    <cfRule type="colorScale" priority="13">
      <colorScale>
        <cfvo type="min"/>
        <cfvo type="percentile" val="50"/>
        <cfvo type="max"/>
        <color rgb="FF9FC5E8"/>
        <color rgb="FFFFFFFF"/>
        <color rgb="FFF4B183"/>
      </colorScale>
    </cfRule>
  </conditionalFormatting>
  <conditionalFormatting sqref="B34:G34">
    <cfRule type="colorScale" priority="14">
      <colorScale>
        <cfvo type="min"/>
        <cfvo type="percentile" val="50"/>
        <cfvo type="max"/>
        <color rgb="FF9FC5E8"/>
        <color rgb="FFFFFFFF"/>
        <color rgb="FFF4B183"/>
      </colorScale>
    </cfRule>
  </conditionalFormatting>
  <conditionalFormatting sqref="D16:I18">
    <cfRule type="colorScale" priority="3">
      <colorScale>
        <cfvo type="min"/>
        <cfvo type="max"/>
        <color rgb="FFFFFFFF"/>
        <color rgb="FFE06666"/>
      </colorScale>
    </cfRule>
  </conditionalFormatting>
  <pageMargins left="0.75" right="0.75" top="1" bottom="1"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FC165859-C085-4110-92D5-9EFD13B16B4F}">
            <x14:dataBar axisPosition="none">
              <x14:cfvo type="num">
                <xm:f>0</xm:f>
              </x14:cfvo>
              <x14:cfvo type="max"/>
              <x14:negativeFillColor rgb="FFC0504D"/>
            </x14:dataBar>
          </x14:cfRule>
          <xm:sqref>B5:B10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D7D31"/>
  </sheetPr>
  <dimension ref="A1:N1363"/>
  <sheetViews>
    <sheetView showGridLines="0" zoomScaleNormal="100" workbookViewId="0">
      <pane xSplit="1" ySplit="4" topLeftCell="G29" activePane="bottomRight" state="frozen"/>
      <selection pane="topRight" activeCell="B1" sqref="B1"/>
      <selection pane="bottomLeft" activeCell="A5" sqref="A5"/>
      <selection pane="bottomRight" activeCell="L5" sqref="L5"/>
    </sheetView>
  </sheetViews>
  <sheetFormatPr defaultColWidth="8.6640625" defaultRowHeight="14.4" x14ac:dyDescent="0.3"/>
  <cols>
    <col min="1" max="1" width="10" customWidth="1"/>
    <col min="2" max="2" width="16" customWidth="1"/>
    <col min="3" max="3" width="18" customWidth="1"/>
    <col min="4" max="4" width="16" customWidth="1"/>
    <col min="5" max="6" width="18" customWidth="1"/>
    <col min="7" max="8" width="16" customWidth="1"/>
    <col min="9" max="9" width="15" customWidth="1"/>
    <col min="10" max="10" width="20" customWidth="1"/>
    <col min="11" max="11" width="3" customWidth="1"/>
    <col min="12" max="12" width="36" customWidth="1"/>
    <col min="13" max="13" width="16" customWidth="1"/>
    <col min="14" max="14" width="28" customWidth="1"/>
  </cols>
  <sheetData>
    <row r="1" spans="1:14" ht="21" x14ac:dyDescent="0.4">
      <c r="A1" s="15" t="s">
        <v>107</v>
      </c>
    </row>
    <row r="2" spans="1:14" x14ac:dyDescent="0.3">
      <c r="A2" s="16" t="s">
        <v>108</v>
      </c>
    </row>
    <row r="3" spans="1:14" x14ac:dyDescent="0.3">
      <c r="A3" s="81" t="s">
        <v>109</v>
      </c>
      <c r="B3" s="81" t="s">
        <v>110</v>
      </c>
      <c r="C3" s="81" t="s">
        <v>111</v>
      </c>
      <c r="D3" s="81" t="s">
        <v>110</v>
      </c>
      <c r="E3" s="81" t="s">
        <v>112</v>
      </c>
      <c r="F3" s="81" t="s">
        <v>110</v>
      </c>
      <c r="G3" s="81" t="s">
        <v>110</v>
      </c>
      <c r="H3" s="81" t="s">
        <v>112</v>
      </c>
      <c r="I3" s="81" t="s">
        <v>113</v>
      </c>
      <c r="J3" s="81" t="s">
        <v>114</v>
      </c>
    </row>
    <row r="4" spans="1:14" ht="30" customHeight="1" x14ac:dyDescent="0.3">
      <c r="A4" s="8" t="s">
        <v>12</v>
      </c>
      <c r="B4" s="8" t="s">
        <v>23</v>
      </c>
      <c r="C4" s="8" t="s">
        <v>81</v>
      </c>
      <c r="D4" s="8" t="s">
        <v>22</v>
      </c>
      <c r="E4" s="8" t="s">
        <v>68</v>
      </c>
      <c r="F4" s="8" t="s">
        <v>14</v>
      </c>
      <c r="G4" s="8" t="s">
        <v>115</v>
      </c>
      <c r="H4" s="8" t="s">
        <v>116</v>
      </c>
      <c r="I4" s="8" t="s">
        <v>80</v>
      </c>
      <c r="J4" s="8" t="s">
        <v>73</v>
      </c>
      <c r="L4" s="20" t="s">
        <v>117</v>
      </c>
    </row>
    <row r="5" spans="1:14" x14ac:dyDescent="0.3">
      <c r="A5" s="10">
        <f>'2_Clean_Data'!A2</f>
        <v>1</v>
      </c>
      <c r="B5" s="10">
        <f>INDEX('2_Clean_Data'!$M$2:$M$1360,MATCH($A5,'2_Clean_Data'!$A$2:$A$1360,0))</f>
        <v>5</v>
      </c>
      <c r="C5" s="9" t="str">
        <f t="shared" ref="C5:C68" si="0">VLOOKUP(B5,$L$12:$N$17,2,FALSE())</f>
        <v>Average</v>
      </c>
      <c r="D5" s="11">
        <f>INDEX('2_Clean_Data'!$L$2:$L$1360,MATCH($A5,'2_Clean_Data'!$A$2:$A$1360,0))</f>
        <v>9.4</v>
      </c>
      <c r="E5" s="9" t="str">
        <f>IF(D5&lt;'3_Summary_Tables'!$C$16,"Low",IF(D5&lt;'3_Summary_Tables'!$C$17,"Medium","High"))</f>
        <v>Low</v>
      </c>
      <c r="F5" s="12">
        <f>INDEX('2_Clean_Data'!$C$2:$C$1360,MATCH($A5,'2_Clean_Data'!$A$2:$A$1360,0))</f>
        <v>0.7</v>
      </c>
      <c r="G5" s="10">
        <f>INDEX('2_Clean_Data'!$H$2:$H$1360,MATCH($A5,'2_Clean_Data'!$A$2:$A$1360,0))</f>
        <v>34</v>
      </c>
      <c r="H5" s="9" t="str">
        <f t="shared" ref="H5:H68" si="1">IF(G5&gt;$M$8,"High",IF(G5&gt;$M$7,"Moderate","Low"))</f>
        <v>Low</v>
      </c>
      <c r="I5" s="9" t="str">
        <f t="shared" ref="I5:I68" si="2">IF(F5&gt;$M$6,"Above limit","OK")</f>
        <v>OK</v>
      </c>
      <c r="J5" s="9" t="str">
        <f t="shared" ref="J5:J68" si="3">IF(AND(B5&gt;=7,E5="High"),"Premium",IF(AND(B5&gt;=6,I5="OK"),"Solid",IF(B5&lt;=4,"Poor","Standard")))</f>
        <v>Standard</v>
      </c>
      <c r="L5" s="82" t="s">
        <v>118</v>
      </c>
    </row>
    <row r="6" spans="1:14" x14ac:dyDescent="0.3">
      <c r="A6" s="10">
        <f>'2_Clean_Data'!A3</f>
        <v>2</v>
      </c>
      <c r="B6" s="10">
        <f>INDEX('2_Clean_Data'!$M$2:$M$1360,MATCH($A6,'2_Clean_Data'!$A$2:$A$1360,0))</f>
        <v>5</v>
      </c>
      <c r="C6" s="9" t="str">
        <f t="shared" si="0"/>
        <v>Average</v>
      </c>
      <c r="D6" s="11">
        <f>INDEX('2_Clean_Data'!$L$2:$L$1360,MATCH($A6,'2_Clean_Data'!$A$2:$A$1360,0))</f>
        <v>9.8000000000000007</v>
      </c>
      <c r="E6" s="9" t="str">
        <f>IF(D6&lt;'3_Summary_Tables'!$C$16,"Low",IF(D6&lt;'3_Summary_Tables'!$C$17,"Medium","High"))</f>
        <v>Low</v>
      </c>
      <c r="F6" s="12">
        <f>INDEX('2_Clean_Data'!$C$2:$C$1360,MATCH($A6,'2_Clean_Data'!$A$2:$A$1360,0))</f>
        <v>0.88</v>
      </c>
      <c r="G6" s="10">
        <f>INDEX('2_Clean_Data'!$H$2:$H$1360,MATCH($A6,'2_Clean_Data'!$A$2:$A$1360,0))</f>
        <v>67</v>
      </c>
      <c r="H6" s="9" t="str">
        <f t="shared" si="1"/>
        <v>Moderate</v>
      </c>
      <c r="I6" s="9" t="str">
        <f t="shared" si="2"/>
        <v>Above limit</v>
      </c>
      <c r="J6" s="9" t="str">
        <f t="shared" si="3"/>
        <v>Standard</v>
      </c>
      <c r="L6" s="17" t="s">
        <v>119</v>
      </c>
      <c r="M6" s="83">
        <v>0.7</v>
      </c>
    </row>
    <row r="7" spans="1:14" x14ac:dyDescent="0.3">
      <c r="A7" s="10">
        <f>'2_Clean_Data'!A4</f>
        <v>3</v>
      </c>
      <c r="B7" s="10">
        <f>INDEX('2_Clean_Data'!$M$2:$M$1360,MATCH($A7,'2_Clean_Data'!$A$2:$A$1360,0))</f>
        <v>5</v>
      </c>
      <c r="C7" s="9" t="str">
        <f t="shared" si="0"/>
        <v>Average</v>
      </c>
      <c r="D7" s="11">
        <f>INDEX('2_Clean_Data'!$L$2:$L$1360,MATCH($A7,'2_Clean_Data'!$A$2:$A$1360,0))</f>
        <v>9.8000000000000007</v>
      </c>
      <c r="E7" s="9" t="str">
        <f>IF(D7&lt;'3_Summary_Tables'!$C$16,"Low",IF(D7&lt;'3_Summary_Tables'!$C$17,"Medium","High"))</f>
        <v>Low</v>
      </c>
      <c r="F7" s="12">
        <f>INDEX('2_Clean_Data'!$C$2:$C$1360,MATCH($A7,'2_Clean_Data'!$A$2:$A$1360,0))</f>
        <v>0.76</v>
      </c>
      <c r="G7" s="10">
        <f>INDEX('2_Clean_Data'!$H$2:$H$1360,MATCH($A7,'2_Clean_Data'!$A$2:$A$1360,0))</f>
        <v>54</v>
      </c>
      <c r="H7" s="9" t="str">
        <f t="shared" si="1"/>
        <v>Moderate</v>
      </c>
      <c r="I7" s="9" t="str">
        <f t="shared" si="2"/>
        <v>Above limit</v>
      </c>
      <c r="J7" s="9" t="str">
        <f t="shared" si="3"/>
        <v>Standard</v>
      </c>
      <c r="L7" s="17" t="s">
        <v>120</v>
      </c>
      <c r="M7" s="84">
        <v>50</v>
      </c>
    </row>
    <row r="8" spans="1:14" x14ac:dyDescent="0.3">
      <c r="A8" s="10">
        <f>'2_Clean_Data'!A5</f>
        <v>4</v>
      </c>
      <c r="B8" s="10">
        <f>INDEX('2_Clean_Data'!$M$2:$M$1360,MATCH($A8,'2_Clean_Data'!$A$2:$A$1360,0))</f>
        <v>6</v>
      </c>
      <c r="C8" s="9" t="str">
        <f t="shared" si="0"/>
        <v>Above Average</v>
      </c>
      <c r="D8" s="11">
        <f>INDEX('2_Clean_Data'!$L$2:$L$1360,MATCH($A8,'2_Clean_Data'!$A$2:$A$1360,0))</f>
        <v>9.8000000000000007</v>
      </c>
      <c r="E8" s="9" t="str">
        <f>IF(D8&lt;'3_Summary_Tables'!$C$16,"Low",IF(D8&lt;'3_Summary_Tables'!$C$17,"Medium","High"))</f>
        <v>Low</v>
      </c>
      <c r="F8" s="12">
        <f>INDEX('2_Clean_Data'!$C$2:$C$1360,MATCH($A8,'2_Clean_Data'!$A$2:$A$1360,0))</f>
        <v>0.28000000000000003</v>
      </c>
      <c r="G8" s="10">
        <f>INDEX('2_Clean_Data'!$H$2:$H$1360,MATCH($A8,'2_Clean_Data'!$A$2:$A$1360,0))</f>
        <v>60</v>
      </c>
      <c r="H8" s="9" t="str">
        <f t="shared" si="1"/>
        <v>Moderate</v>
      </c>
      <c r="I8" s="9" t="str">
        <f t="shared" si="2"/>
        <v>OK</v>
      </c>
      <c r="J8" s="9" t="str">
        <f t="shared" si="3"/>
        <v>Solid</v>
      </c>
      <c r="L8" s="17" t="s">
        <v>121</v>
      </c>
      <c r="M8" s="84">
        <v>100</v>
      </c>
    </row>
    <row r="9" spans="1:14" x14ac:dyDescent="0.3">
      <c r="A9" s="10">
        <f>'2_Clean_Data'!A6</f>
        <v>5</v>
      </c>
      <c r="B9" s="10">
        <f>INDEX('2_Clean_Data'!$M$2:$M$1360,MATCH($A9,'2_Clean_Data'!$A$2:$A$1360,0))</f>
        <v>5</v>
      </c>
      <c r="C9" s="9" t="str">
        <f t="shared" si="0"/>
        <v>Average</v>
      </c>
      <c r="D9" s="11">
        <f>INDEX('2_Clean_Data'!$L$2:$L$1360,MATCH($A9,'2_Clean_Data'!$A$2:$A$1360,0))</f>
        <v>9.4</v>
      </c>
      <c r="E9" s="9" t="str">
        <f>IF(D9&lt;'3_Summary_Tables'!$C$16,"Low",IF(D9&lt;'3_Summary_Tables'!$C$17,"Medium","High"))</f>
        <v>Low</v>
      </c>
      <c r="F9" s="12">
        <f>INDEX('2_Clean_Data'!$C$2:$C$1360,MATCH($A9,'2_Clean_Data'!$A$2:$A$1360,0))</f>
        <v>0.66</v>
      </c>
      <c r="G9" s="10">
        <f>INDEX('2_Clean_Data'!$H$2:$H$1360,MATCH($A9,'2_Clean_Data'!$A$2:$A$1360,0))</f>
        <v>40</v>
      </c>
      <c r="H9" s="9" t="str">
        <f t="shared" si="1"/>
        <v>Low</v>
      </c>
      <c r="I9" s="9" t="str">
        <f t="shared" si="2"/>
        <v>OK</v>
      </c>
      <c r="J9" s="9" t="str">
        <f t="shared" si="3"/>
        <v>Standard</v>
      </c>
    </row>
    <row r="10" spans="1:14" ht="15.6" x14ac:dyDescent="0.3">
      <c r="A10" s="10">
        <f>'2_Clean_Data'!A7</f>
        <v>6</v>
      </c>
      <c r="B10" s="10">
        <f>INDEX('2_Clean_Data'!$M$2:$M$1360,MATCH($A10,'2_Clean_Data'!$A$2:$A$1360,0))</f>
        <v>5</v>
      </c>
      <c r="C10" s="9" t="str">
        <f t="shared" si="0"/>
        <v>Average</v>
      </c>
      <c r="D10" s="11">
        <f>INDEX('2_Clean_Data'!$L$2:$L$1360,MATCH($A10,'2_Clean_Data'!$A$2:$A$1360,0))</f>
        <v>9.4</v>
      </c>
      <c r="E10" s="9" t="str">
        <f>IF(D10&lt;'3_Summary_Tables'!$C$16,"Low",IF(D10&lt;'3_Summary_Tables'!$C$17,"Medium","High"))</f>
        <v>Low</v>
      </c>
      <c r="F10" s="12">
        <f>INDEX('2_Clean_Data'!$C$2:$C$1360,MATCH($A10,'2_Clean_Data'!$A$2:$A$1360,0))</f>
        <v>0.6</v>
      </c>
      <c r="G10" s="10">
        <f>INDEX('2_Clean_Data'!$H$2:$H$1360,MATCH($A10,'2_Clean_Data'!$A$2:$A$1360,0))</f>
        <v>59</v>
      </c>
      <c r="H10" s="9" t="str">
        <f t="shared" si="1"/>
        <v>Moderate</v>
      </c>
      <c r="I10" s="9" t="str">
        <f t="shared" si="2"/>
        <v>OK</v>
      </c>
      <c r="J10" s="9" t="str">
        <f t="shared" si="3"/>
        <v>Standard</v>
      </c>
      <c r="L10" s="20" t="s">
        <v>122</v>
      </c>
    </row>
    <row r="11" spans="1:14" x14ac:dyDescent="0.3">
      <c r="A11" s="10">
        <f>'2_Clean_Data'!A8</f>
        <v>7</v>
      </c>
      <c r="B11" s="10">
        <f>INDEX('2_Clean_Data'!$M$2:$M$1360,MATCH($A11,'2_Clean_Data'!$A$2:$A$1360,0))</f>
        <v>7</v>
      </c>
      <c r="C11" s="9" t="str">
        <f t="shared" si="0"/>
        <v>Good</v>
      </c>
      <c r="D11" s="11">
        <f>INDEX('2_Clean_Data'!$L$2:$L$1360,MATCH($A11,'2_Clean_Data'!$A$2:$A$1360,0))</f>
        <v>10</v>
      </c>
      <c r="E11" s="9" t="str">
        <f>IF(D11&lt;'3_Summary_Tables'!$C$16,"Low",IF(D11&lt;'3_Summary_Tables'!$C$17,"Medium","High"))</f>
        <v>Medium</v>
      </c>
      <c r="F11" s="12">
        <f>INDEX('2_Clean_Data'!$C$2:$C$1360,MATCH($A11,'2_Clean_Data'!$A$2:$A$1360,0))</f>
        <v>0.65</v>
      </c>
      <c r="G11" s="10">
        <f>INDEX('2_Clean_Data'!$H$2:$H$1360,MATCH($A11,'2_Clean_Data'!$A$2:$A$1360,0))</f>
        <v>21</v>
      </c>
      <c r="H11" s="9" t="str">
        <f t="shared" si="1"/>
        <v>Low</v>
      </c>
      <c r="I11" s="9" t="str">
        <f t="shared" si="2"/>
        <v>OK</v>
      </c>
      <c r="J11" s="9" t="str">
        <f t="shared" si="3"/>
        <v>Solid</v>
      </c>
      <c r="L11" s="8" t="s">
        <v>123</v>
      </c>
      <c r="M11" s="8" t="s">
        <v>124</v>
      </c>
      <c r="N11" s="8" t="s">
        <v>125</v>
      </c>
    </row>
    <row r="12" spans="1:14" x14ac:dyDescent="0.3">
      <c r="A12" s="10">
        <f>'2_Clean_Data'!A9</f>
        <v>8</v>
      </c>
      <c r="B12" s="10">
        <f>INDEX('2_Clean_Data'!$M$2:$M$1360,MATCH($A12,'2_Clean_Data'!$A$2:$A$1360,0))</f>
        <v>7</v>
      </c>
      <c r="C12" s="9" t="str">
        <f t="shared" si="0"/>
        <v>Good</v>
      </c>
      <c r="D12" s="11">
        <f>INDEX('2_Clean_Data'!$L$2:$L$1360,MATCH($A12,'2_Clean_Data'!$A$2:$A$1360,0))</f>
        <v>9.5</v>
      </c>
      <c r="E12" s="9" t="str">
        <f>IF(D12&lt;'3_Summary_Tables'!$C$16,"Low",IF(D12&lt;'3_Summary_Tables'!$C$17,"Medium","High"))</f>
        <v>Low</v>
      </c>
      <c r="F12" s="12">
        <f>INDEX('2_Clean_Data'!$C$2:$C$1360,MATCH($A12,'2_Clean_Data'!$A$2:$A$1360,0))</f>
        <v>0.57999999999999996</v>
      </c>
      <c r="G12" s="10">
        <f>INDEX('2_Clean_Data'!$H$2:$H$1360,MATCH($A12,'2_Clean_Data'!$A$2:$A$1360,0))</f>
        <v>18</v>
      </c>
      <c r="H12" s="9" t="str">
        <f t="shared" si="1"/>
        <v>Low</v>
      </c>
      <c r="I12" s="9" t="str">
        <f t="shared" si="2"/>
        <v>OK</v>
      </c>
      <c r="J12" s="9" t="str">
        <f t="shared" si="3"/>
        <v>Solid</v>
      </c>
      <c r="L12" s="85">
        <v>3</v>
      </c>
      <c r="M12" s="85" t="s">
        <v>75</v>
      </c>
      <c r="N12" s="85" t="s">
        <v>70</v>
      </c>
    </row>
    <row r="13" spans="1:14" x14ac:dyDescent="0.3">
      <c r="A13" s="10">
        <f>'2_Clean_Data'!A10</f>
        <v>9</v>
      </c>
      <c r="B13" s="10">
        <f>INDEX('2_Clean_Data'!$M$2:$M$1360,MATCH($A13,'2_Clean_Data'!$A$2:$A$1360,0))</f>
        <v>5</v>
      </c>
      <c r="C13" s="9" t="str">
        <f t="shared" si="0"/>
        <v>Average</v>
      </c>
      <c r="D13" s="11">
        <f>INDEX('2_Clean_Data'!$L$2:$L$1360,MATCH($A13,'2_Clean_Data'!$A$2:$A$1360,0))</f>
        <v>10.5</v>
      </c>
      <c r="E13" s="9" t="str">
        <f>IF(D13&lt;'3_Summary_Tables'!$C$16,"Low",IF(D13&lt;'3_Summary_Tables'!$C$17,"Medium","High"))</f>
        <v>Medium</v>
      </c>
      <c r="F13" s="12">
        <f>INDEX('2_Clean_Data'!$C$2:$C$1360,MATCH($A13,'2_Clean_Data'!$A$2:$A$1360,0))</f>
        <v>0.5</v>
      </c>
      <c r="G13" s="10">
        <f>INDEX('2_Clean_Data'!$H$2:$H$1360,MATCH($A13,'2_Clean_Data'!$A$2:$A$1360,0))</f>
        <v>102</v>
      </c>
      <c r="H13" s="9" t="str">
        <f t="shared" si="1"/>
        <v>High</v>
      </c>
      <c r="I13" s="9" t="str">
        <f t="shared" si="2"/>
        <v>OK</v>
      </c>
      <c r="J13" s="9" t="str">
        <f t="shared" si="3"/>
        <v>Standard</v>
      </c>
      <c r="L13" s="85">
        <v>4</v>
      </c>
      <c r="M13" s="85" t="s">
        <v>75</v>
      </c>
      <c r="N13" s="85" t="s">
        <v>70</v>
      </c>
    </row>
    <row r="14" spans="1:14" x14ac:dyDescent="0.3">
      <c r="A14" s="10">
        <f>'2_Clean_Data'!A11</f>
        <v>10</v>
      </c>
      <c r="B14" s="10">
        <f>INDEX('2_Clean_Data'!$M$2:$M$1360,MATCH($A14,'2_Clean_Data'!$A$2:$A$1360,0))</f>
        <v>5</v>
      </c>
      <c r="C14" s="9" t="str">
        <f t="shared" si="0"/>
        <v>Average</v>
      </c>
      <c r="D14" s="11">
        <f>INDEX('2_Clean_Data'!$L$2:$L$1360,MATCH($A14,'2_Clean_Data'!$A$2:$A$1360,0))</f>
        <v>9.1999999999999993</v>
      </c>
      <c r="E14" s="9" t="str">
        <f>IF(D14&lt;'3_Summary_Tables'!$C$16,"Low",IF(D14&lt;'3_Summary_Tables'!$C$17,"Medium","High"))</f>
        <v>Low</v>
      </c>
      <c r="F14" s="12">
        <f>INDEX('2_Clean_Data'!$C$2:$C$1360,MATCH($A14,'2_Clean_Data'!$A$2:$A$1360,0))</f>
        <v>0.57999999999999996</v>
      </c>
      <c r="G14" s="10">
        <f>INDEX('2_Clean_Data'!$H$2:$H$1360,MATCH($A14,'2_Clean_Data'!$A$2:$A$1360,0))</f>
        <v>65</v>
      </c>
      <c r="H14" s="9" t="str">
        <f t="shared" si="1"/>
        <v>Moderate</v>
      </c>
      <c r="I14" s="9" t="str">
        <f t="shared" si="2"/>
        <v>OK</v>
      </c>
      <c r="J14" s="9" t="str">
        <f t="shared" si="3"/>
        <v>Standard</v>
      </c>
      <c r="L14" s="85">
        <v>5</v>
      </c>
      <c r="M14" s="85" t="s">
        <v>85</v>
      </c>
      <c r="N14" s="85" t="s">
        <v>71</v>
      </c>
    </row>
    <row r="15" spans="1:14" x14ac:dyDescent="0.3">
      <c r="A15" s="10">
        <f>'2_Clean_Data'!A12</f>
        <v>11</v>
      </c>
      <c r="B15" s="10">
        <f>INDEX('2_Clean_Data'!$M$2:$M$1360,MATCH($A15,'2_Clean_Data'!$A$2:$A$1360,0))</f>
        <v>5</v>
      </c>
      <c r="C15" s="9" t="str">
        <f t="shared" si="0"/>
        <v>Average</v>
      </c>
      <c r="D15" s="11">
        <f>INDEX('2_Clean_Data'!$L$2:$L$1360,MATCH($A15,'2_Clean_Data'!$A$2:$A$1360,0))</f>
        <v>9.9</v>
      </c>
      <c r="E15" s="9" t="str">
        <f>IF(D15&lt;'3_Summary_Tables'!$C$16,"Low",IF(D15&lt;'3_Summary_Tables'!$C$17,"Medium","High"))</f>
        <v>Low</v>
      </c>
      <c r="F15" s="12">
        <f>INDEX('2_Clean_Data'!$C$2:$C$1360,MATCH($A15,'2_Clean_Data'!$A$2:$A$1360,0))</f>
        <v>0.61499999999999999</v>
      </c>
      <c r="G15" s="10">
        <f>INDEX('2_Clean_Data'!$H$2:$H$1360,MATCH($A15,'2_Clean_Data'!$A$2:$A$1360,0))</f>
        <v>59</v>
      </c>
      <c r="H15" s="9" t="str">
        <f t="shared" si="1"/>
        <v>Moderate</v>
      </c>
      <c r="I15" s="9" t="str">
        <f t="shared" si="2"/>
        <v>OK</v>
      </c>
      <c r="J15" s="9" t="str">
        <f t="shared" si="3"/>
        <v>Standard</v>
      </c>
      <c r="L15" s="85">
        <v>6</v>
      </c>
      <c r="M15" s="85" t="s">
        <v>84</v>
      </c>
      <c r="N15" s="85" t="s">
        <v>71</v>
      </c>
    </row>
    <row r="16" spans="1:14" x14ac:dyDescent="0.3">
      <c r="A16" s="10">
        <f>'2_Clean_Data'!A13</f>
        <v>12</v>
      </c>
      <c r="B16" s="10">
        <f>INDEX('2_Clean_Data'!$M$2:$M$1360,MATCH($A16,'2_Clean_Data'!$A$2:$A$1360,0))</f>
        <v>5</v>
      </c>
      <c r="C16" s="9" t="str">
        <f t="shared" si="0"/>
        <v>Average</v>
      </c>
      <c r="D16" s="11">
        <f>INDEX('2_Clean_Data'!$L$2:$L$1360,MATCH($A16,'2_Clean_Data'!$A$2:$A$1360,0))</f>
        <v>9.1</v>
      </c>
      <c r="E16" s="9" t="str">
        <f>IF(D16&lt;'3_Summary_Tables'!$C$16,"Low",IF(D16&lt;'3_Summary_Tables'!$C$17,"Medium","High"))</f>
        <v>Low</v>
      </c>
      <c r="F16" s="12">
        <f>INDEX('2_Clean_Data'!$C$2:$C$1360,MATCH($A16,'2_Clean_Data'!$A$2:$A$1360,0))</f>
        <v>0.61</v>
      </c>
      <c r="G16" s="10">
        <f>INDEX('2_Clean_Data'!$H$2:$H$1360,MATCH($A16,'2_Clean_Data'!$A$2:$A$1360,0))</f>
        <v>29</v>
      </c>
      <c r="H16" s="9" t="str">
        <f t="shared" si="1"/>
        <v>Low</v>
      </c>
      <c r="I16" s="9" t="str">
        <f t="shared" si="2"/>
        <v>OK</v>
      </c>
      <c r="J16" s="9" t="str">
        <f t="shared" si="3"/>
        <v>Standard</v>
      </c>
      <c r="L16" s="85">
        <v>7</v>
      </c>
      <c r="M16" s="85" t="s">
        <v>87</v>
      </c>
      <c r="N16" s="85" t="s">
        <v>69</v>
      </c>
    </row>
    <row r="17" spans="1:14" x14ac:dyDescent="0.3">
      <c r="A17" s="10">
        <f>'2_Clean_Data'!A14</f>
        <v>13</v>
      </c>
      <c r="B17" s="10">
        <f>INDEX('2_Clean_Data'!$M$2:$M$1360,MATCH($A17,'2_Clean_Data'!$A$2:$A$1360,0))</f>
        <v>5</v>
      </c>
      <c r="C17" s="9" t="str">
        <f t="shared" si="0"/>
        <v>Average</v>
      </c>
      <c r="D17" s="11">
        <f>INDEX('2_Clean_Data'!$L$2:$L$1360,MATCH($A17,'2_Clean_Data'!$A$2:$A$1360,0))</f>
        <v>9.1999999999999993</v>
      </c>
      <c r="E17" s="9" t="str">
        <f>IF(D17&lt;'3_Summary_Tables'!$C$16,"Low",IF(D17&lt;'3_Summary_Tables'!$C$17,"Medium","High"))</f>
        <v>Low</v>
      </c>
      <c r="F17" s="12">
        <f>INDEX('2_Clean_Data'!$C$2:$C$1360,MATCH($A17,'2_Clean_Data'!$A$2:$A$1360,0))</f>
        <v>0.62</v>
      </c>
      <c r="G17" s="10">
        <f>INDEX('2_Clean_Data'!$H$2:$H$1360,MATCH($A17,'2_Clean_Data'!$A$2:$A$1360,0))</f>
        <v>145</v>
      </c>
      <c r="H17" s="9" t="str">
        <f t="shared" si="1"/>
        <v>High</v>
      </c>
      <c r="I17" s="9" t="str">
        <f t="shared" si="2"/>
        <v>OK</v>
      </c>
      <c r="J17" s="9" t="str">
        <f t="shared" si="3"/>
        <v>Standard</v>
      </c>
      <c r="L17" s="85">
        <v>8</v>
      </c>
      <c r="M17" s="85" t="s">
        <v>86</v>
      </c>
      <c r="N17" s="85" t="s">
        <v>69</v>
      </c>
    </row>
    <row r="18" spans="1:14" x14ac:dyDescent="0.3">
      <c r="A18" s="10">
        <f>'2_Clean_Data'!A15</f>
        <v>14</v>
      </c>
      <c r="B18" s="10">
        <f>INDEX('2_Clean_Data'!$M$2:$M$1360,MATCH($A18,'2_Clean_Data'!$A$2:$A$1360,0))</f>
        <v>5</v>
      </c>
      <c r="C18" s="9" t="str">
        <f t="shared" si="0"/>
        <v>Average</v>
      </c>
      <c r="D18" s="11">
        <f>INDEX('2_Clean_Data'!$L$2:$L$1360,MATCH($A18,'2_Clean_Data'!$A$2:$A$1360,0))</f>
        <v>9.1999999999999993</v>
      </c>
      <c r="E18" s="9" t="str">
        <f>IF(D18&lt;'3_Summary_Tables'!$C$16,"Low",IF(D18&lt;'3_Summary_Tables'!$C$17,"Medium","High"))</f>
        <v>Low</v>
      </c>
      <c r="F18" s="12">
        <f>INDEX('2_Clean_Data'!$C$2:$C$1360,MATCH($A18,'2_Clean_Data'!$A$2:$A$1360,0))</f>
        <v>0.62</v>
      </c>
      <c r="G18" s="10">
        <f>INDEX('2_Clean_Data'!$H$2:$H$1360,MATCH($A18,'2_Clean_Data'!$A$2:$A$1360,0))</f>
        <v>148</v>
      </c>
      <c r="H18" s="9" t="str">
        <f t="shared" si="1"/>
        <v>High</v>
      </c>
      <c r="I18" s="9" t="str">
        <f t="shared" si="2"/>
        <v>OK</v>
      </c>
      <c r="J18" s="9" t="str">
        <f t="shared" si="3"/>
        <v>Standard</v>
      </c>
    </row>
    <row r="19" spans="1:14" x14ac:dyDescent="0.3">
      <c r="A19" s="10">
        <f>'2_Clean_Data'!A16</f>
        <v>15</v>
      </c>
      <c r="B19" s="10">
        <f>INDEX('2_Clean_Data'!$M$2:$M$1360,MATCH($A19,'2_Clean_Data'!$A$2:$A$1360,0))</f>
        <v>7</v>
      </c>
      <c r="C19" s="9" t="str">
        <f t="shared" si="0"/>
        <v>Good</v>
      </c>
      <c r="D19" s="11">
        <f>INDEX('2_Clean_Data'!$L$2:$L$1360,MATCH($A19,'2_Clean_Data'!$A$2:$A$1360,0))</f>
        <v>10.5</v>
      </c>
      <c r="E19" s="9" t="str">
        <f>IF(D19&lt;'3_Summary_Tables'!$C$16,"Low",IF(D19&lt;'3_Summary_Tables'!$C$17,"Medium","High"))</f>
        <v>Medium</v>
      </c>
      <c r="F19" s="12">
        <f>INDEX('2_Clean_Data'!$C$2:$C$1360,MATCH($A19,'2_Clean_Data'!$A$2:$A$1360,0))</f>
        <v>0.28000000000000003</v>
      </c>
      <c r="G19" s="10">
        <f>INDEX('2_Clean_Data'!$H$2:$H$1360,MATCH($A19,'2_Clean_Data'!$A$2:$A$1360,0))</f>
        <v>103</v>
      </c>
      <c r="H19" s="9" t="str">
        <f t="shared" si="1"/>
        <v>High</v>
      </c>
      <c r="I19" s="9" t="str">
        <f t="shared" si="2"/>
        <v>OK</v>
      </c>
      <c r="J19" s="9" t="str">
        <f t="shared" si="3"/>
        <v>Solid</v>
      </c>
    </row>
    <row r="20" spans="1:14" ht="15.6" x14ac:dyDescent="0.3">
      <c r="A20" s="10">
        <f>'2_Clean_Data'!A17</f>
        <v>16</v>
      </c>
      <c r="B20" s="10">
        <f>INDEX('2_Clean_Data'!$M$2:$M$1360,MATCH($A20,'2_Clean_Data'!$A$2:$A$1360,0))</f>
        <v>5</v>
      </c>
      <c r="C20" s="9" t="str">
        <f t="shared" si="0"/>
        <v>Average</v>
      </c>
      <c r="D20" s="11">
        <f>INDEX('2_Clean_Data'!$L$2:$L$1360,MATCH($A20,'2_Clean_Data'!$A$2:$A$1360,0))</f>
        <v>9.3000000000000007</v>
      </c>
      <c r="E20" s="9" t="str">
        <f>IF(D20&lt;'3_Summary_Tables'!$C$16,"Low",IF(D20&lt;'3_Summary_Tables'!$C$17,"Medium","High"))</f>
        <v>Low</v>
      </c>
      <c r="F20" s="12">
        <f>INDEX('2_Clean_Data'!$C$2:$C$1360,MATCH($A20,'2_Clean_Data'!$A$2:$A$1360,0))</f>
        <v>0.56000000000000005</v>
      </c>
      <c r="G20" s="10">
        <f>INDEX('2_Clean_Data'!$H$2:$H$1360,MATCH($A20,'2_Clean_Data'!$A$2:$A$1360,0))</f>
        <v>56</v>
      </c>
      <c r="H20" s="9" t="str">
        <f t="shared" si="1"/>
        <v>Moderate</v>
      </c>
      <c r="I20" s="9" t="str">
        <f t="shared" si="2"/>
        <v>OK</v>
      </c>
      <c r="J20" s="9" t="str">
        <f t="shared" si="3"/>
        <v>Standard</v>
      </c>
      <c r="L20" s="20" t="s">
        <v>126</v>
      </c>
    </row>
    <row r="21" spans="1:14" x14ac:dyDescent="0.3">
      <c r="A21" s="10">
        <f>'2_Clean_Data'!A18</f>
        <v>17</v>
      </c>
      <c r="B21" s="10">
        <f>INDEX('2_Clean_Data'!$M$2:$M$1360,MATCH($A21,'2_Clean_Data'!$A$2:$A$1360,0))</f>
        <v>4</v>
      </c>
      <c r="C21" s="9" t="str">
        <f t="shared" si="0"/>
        <v>Poor</v>
      </c>
      <c r="D21" s="11">
        <f>INDEX('2_Clean_Data'!$L$2:$L$1360,MATCH($A21,'2_Clean_Data'!$A$2:$A$1360,0))</f>
        <v>9</v>
      </c>
      <c r="E21" s="9" t="str">
        <f>IF(D21&lt;'3_Summary_Tables'!$C$16,"Low",IF(D21&lt;'3_Summary_Tables'!$C$17,"Medium","High"))</f>
        <v>Low</v>
      </c>
      <c r="F21" s="12">
        <f>INDEX('2_Clean_Data'!$C$2:$C$1360,MATCH($A21,'2_Clean_Data'!$A$2:$A$1360,0))</f>
        <v>0.59</v>
      </c>
      <c r="G21" s="10">
        <f>INDEX('2_Clean_Data'!$H$2:$H$1360,MATCH($A21,'2_Clean_Data'!$A$2:$A$1360,0))</f>
        <v>29</v>
      </c>
      <c r="H21" s="9" t="str">
        <f t="shared" si="1"/>
        <v>Low</v>
      </c>
      <c r="I21" s="9" t="str">
        <f t="shared" si="2"/>
        <v>OK</v>
      </c>
      <c r="J21" s="9" t="str">
        <f t="shared" si="3"/>
        <v>Poor</v>
      </c>
      <c r="L21" s="17" t="s">
        <v>127</v>
      </c>
      <c r="M21" s="86">
        <v>25</v>
      </c>
    </row>
    <row r="22" spans="1:14" x14ac:dyDescent="0.3">
      <c r="A22" s="10">
        <f>'2_Clean_Data'!A19</f>
        <v>18</v>
      </c>
      <c r="B22" s="10">
        <f>INDEX('2_Clean_Data'!$M$2:$M$1360,MATCH($A22,'2_Clean_Data'!$A$2:$A$1360,0))</f>
        <v>6</v>
      </c>
      <c r="C22" s="9" t="str">
        <f t="shared" si="0"/>
        <v>Above Average</v>
      </c>
      <c r="D22" s="11">
        <f>INDEX('2_Clean_Data'!$L$2:$L$1360,MATCH($A22,'2_Clean_Data'!$A$2:$A$1360,0))</f>
        <v>9.1999999999999993</v>
      </c>
      <c r="E22" s="9" t="str">
        <f>IF(D22&lt;'3_Summary_Tables'!$C$16,"Low",IF(D22&lt;'3_Summary_Tables'!$C$17,"Medium","High"))</f>
        <v>Low</v>
      </c>
      <c r="F22" s="12">
        <f>INDEX('2_Clean_Data'!$C$2:$C$1360,MATCH($A22,'2_Clean_Data'!$A$2:$A$1360,0))</f>
        <v>0.32</v>
      </c>
      <c r="G22" s="10">
        <f>INDEX('2_Clean_Data'!$H$2:$H$1360,MATCH($A22,'2_Clean_Data'!$A$2:$A$1360,0))</f>
        <v>56</v>
      </c>
      <c r="H22" s="9" t="str">
        <f t="shared" si="1"/>
        <v>Moderate</v>
      </c>
      <c r="I22" s="9" t="str">
        <f t="shared" si="2"/>
        <v>OK</v>
      </c>
      <c r="J22" s="9" t="str">
        <f t="shared" si="3"/>
        <v>Solid</v>
      </c>
      <c r="L22" s="8" t="s">
        <v>128</v>
      </c>
      <c r="M22" s="8" t="s">
        <v>129</v>
      </c>
      <c r="N22" s="8" t="s">
        <v>130</v>
      </c>
    </row>
    <row r="23" spans="1:14" x14ac:dyDescent="0.3">
      <c r="A23" s="10">
        <f>'2_Clean_Data'!A20</f>
        <v>19</v>
      </c>
      <c r="B23" s="10">
        <f>INDEX('2_Clean_Data'!$M$2:$M$1360,MATCH($A23,'2_Clean_Data'!$A$2:$A$1360,0))</f>
        <v>6</v>
      </c>
      <c r="C23" s="9" t="str">
        <f t="shared" si="0"/>
        <v>Above Average</v>
      </c>
      <c r="D23" s="11">
        <f>INDEX('2_Clean_Data'!$L$2:$L$1360,MATCH($A23,'2_Clean_Data'!$A$2:$A$1360,0))</f>
        <v>9.4</v>
      </c>
      <c r="E23" s="9" t="str">
        <f>IF(D23&lt;'3_Summary_Tables'!$C$16,"Low",IF(D23&lt;'3_Summary_Tables'!$C$17,"Medium","High"))</f>
        <v>Low</v>
      </c>
      <c r="F23" s="12">
        <f>INDEX('2_Clean_Data'!$C$2:$C$1360,MATCH($A23,'2_Clean_Data'!$A$2:$A$1360,0))</f>
        <v>0.22</v>
      </c>
      <c r="G23" s="10">
        <f>INDEX('2_Clean_Data'!$H$2:$H$1360,MATCH($A23,'2_Clean_Data'!$A$2:$A$1360,0))</f>
        <v>60</v>
      </c>
      <c r="H23" s="9" t="str">
        <f t="shared" si="1"/>
        <v>Moderate</v>
      </c>
      <c r="I23" s="9" t="str">
        <f t="shared" si="2"/>
        <v>OK</v>
      </c>
      <c r="J23" s="9" t="str">
        <f t="shared" si="3"/>
        <v>Solid</v>
      </c>
      <c r="L23" s="17" t="s">
        <v>23</v>
      </c>
      <c r="M23" s="87">
        <f>IFERROR(VLOOKUP($M$21,'2_Clean_Data'!$A$2:$M$1360,13,FALSE()),"Not found")</f>
        <v>5</v>
      </c>
      <c r="N23" s="17" t="s">
        <v>131</v>
      </c>
    </row>
    <row r="24" spans="1:14" x14ac:dyDescent="0.3">
      <c r="A24" s="10">
        <f>'2_Clean_Data'!A21</f>
        <v>20</v>
      </c>
      <c r="B24" s="10">
        <f>INDEX('2_Clean_Data'!$M$2:$M$1360,MATCH($A24,'2_Clean_Data'!$A$2:$A$1360,0))</f>
        <v>5</v>
      </c>
      <c r="C24" s="9" t="str">
        <f t="shared" si="0"/>
        <v>Average</v>
      </c>
      <c r="D24" s="11">
        <f>INDEX('2_Clean_Data'!$L$2:$L$1360,MATCH($A24,'2_Clean_Data'!$A$2:$A$1360,0))</f>
        <v>9.6999999999999993</v>
      </c>
      <c r="E24" s="9" t="str">
        <f>IF(D24&lt;'3_Summary_Tables'!$C$16,"Low",IF(D24&lt;'3_Summary_Tables'!$C$17,"Medium","High"))</f>
        <v>Low</v>
      </c>
      <c r="F24" s="12">
        <f>INDEX('2_Clean_Data'!$C$2:$C$1360,MATCH($A24,'2_Clean_Data'!$A$2:$A$1360,0))</f>
        <v>0.39</v>
      </c>
      <c r="G24" s="10">
        <f>INDEX('2_Clean_Data'!$H$2:$H$1360,MATCH($A24,'2_Clean_Data'!$A$2:$A$1360,0))</f>
        <v>71</v>
      </c>
      <c r="H24" s="9" t="str">
        <f t="shared" si="1"/>
        <v>Moderate</v>
      </c>
      <c r="I24" s="9" t="str">
        <f t="shared" si="2"/>
        <v>OK</v>
      </c>
      <c r="J24" s="9" t="str">
        <f t="shared" si="3"/>
        <v>Standard</v>
      </c>
      <c r="L24" s="17" t="s">
        <v>132</v>
      </c>
      <c r="M24" s="77">
        <f>IFERROR(INDEX('2_Clean_Data'!$L$2:$L$1360,MATCH($M$21,'2_Clean_Data'!$A$2:$A$1360,0)),"Not found")</f>
        <v>9.5</v>
      </c>
      <c r="N24" s="17" t="s">
        <v>133</v>
      </c>
    </row>
    <row r="25" spans="1:14" x14ac:dyDescent="0.3">
      <c r="A25" s="10">
        <f>'2_Clean_Data'!A22</f>
        <v>21</v>
      </c>
      <c r="B25" s="10">
        <f>INDEX('2_Clean_Data'!$M$2:$M$1360,MATCH($A25,'2_Clean_Data'!$A$2:$A$1360,0))</f>
        <v>5</v>
      </c>
      <c r="C25" s="9" t="str">
        <f t="shared" si="0"/>
        <v>Average</v>
      </c>
      <c r="D25" s="11">
        <f>INDEX('2_Clean_Data'!$L$2:$L$1360,MATCH($A25,'2_Clean_Data'!$A$2:$A$1360,0))</f>
        <v>9.5</v>
      </c>
      <c r="E25" s="9" t="str">
        <f>IF(D25&lt;'3_Summary_Tables'!$C$16,"Low",IF(D25&lt;'3_Summary_Tables'!$C$17,"Medium","High"))</f>
        <v>Low</v>
      </c>
      <c r="F25" s="12">
        <f>INDEX('2_Clean_Data'!$C$2:$C$1360,MATCH($A25,'2_Clean_Data'!$A$2:$A$1360,0))</f>
        <v>0.43</v>
      </c>
      <c r="G25" s="10">
        <f>INDEX('2_Clean_Data'!$H$2:$H$1360,MATCH($A25,'2_Clean_Data'!$A$2:$A$1360,0))</f>
        <v>37</v>
      </c>
      <c r="H25" s="9" t="str">
        <f t="shared" si="1"/>
        <v>Low</v>
      </c>
      <c r="I25" s="9" t="str">
        <f t="shared" si="2"/>
        <v>OK</v>
      </c>
      <c r="J25" s="9" t="str">
        <f t="shared" si="3"/>
        <v>Standard</v>
      </c>
      <c r="L25" s="17" t="s">
        <v>8</v>
      </c>
      <c r="M25" s="88">
        <f>IFERROR(INDEX('2_Clean_Data'!$J$2:$J$1360,MATCH($M$21,'2_Clean_Data'!$A$2:$A$1360,0)),"Not found")</f>
        <v>3.28</v>
      </c>
      <c r="N25" s="17" t="s">
        <v>133</v>
      </c>
    </row>
    <row r="26" spans="1:14" x14ac:dyDescent="0.3">
      <c r="A26" s="10">
        <f>'2_Clean_Data'!A23</f>
        <v>22</v>
      </c>
      <c r="B26" s="10">
        <f>INDEX('2_Clean_Data'!$M$2:$M$1360,MATCH($A26,'2_Clean_Data'!$A$2:$A$1360,0))</f>
        <v>5</v>
      </c>
      <c r="C26" s="9" t="str">
        <f t="shared" si="0"/>
        <v>Average</v>
      </c>
      <c r="D26" s="11">
        <f>INDEX('2_Clean_Data'!$L$2:$L$1360,MATCH($A26,'2_Clean_Data'!$A$2:$A$1360,0))</f>
        <v>9.4</v>
      </c>
      <c r="E26" s="9" t="str">
        <f>IF(D26&lt;'3_Summary_Tables'!$C$16,"Low",IF(D26&lt;'3_Summary_Tables'!$C$17,"Medium","High"))</f>
        <v>Low</v>
      </c>
      <c r="F26" s="12">
        <f>INDEX('2_Clean_Data'!$C$2:$C$1360,MATCH($A26,'2_Clean_Data'!$A$2:$A$1360,0))</f>
        <v>0.49</v>
      </c>
      <c r="G26" s="10">
        <f>INDEX('2_Clean_Data'!$H$2:$H$1360,MATCH($A26,'2_Clean_Data'!$A$2:$A$1360,0))</f>
        <v>67</v>
      </c>
      <c r="H26" s="9" t="str">
        <f t="shared" si="1"/>
        <v>Moderate</v>
      </c>
      <c r="I26" s="9" t="str">
        <f t="shared" si="2"/>
        <v>OK</v>
      </c>
      <c r="J26" s="9" t="str">
        <f t="shared" si="3"/>
        <v>Standard</v>
      </c>
      <c r="L26" s="17" t="s">
        <v>124</v>
      </c>
      <c r="M26" s="71" t="str">
        <f>IFERROR(VLOOKUP(M23,$L$12:$N$17,2,FALSE()),"Not found")</f>
        <v>Average</v>
      </c>
      <c r="N26" s="17" t="s">
        <v>134</v>
      </c>
    </row>
    <row r="27" spans="1:14" x14ac:dyDescent="0.3">
      <c r="A27" s="10">
        <f>'2_Clean_Data'!A24</f>
        <v>23</v>
      </c>
      <c r="B27" s="10">
        <f>INDEX('2_Clean_Data'!$M$2:$M$1360,MATCH($A27,'2_Clean_Data'!$A$2:$A$1360,0))</f>
        <v>6</v>
      </c>
      <c r="C27" s="9" t="str">
        <f t="shared" si="0"/>
        <v>Above Average</v>
      </c>
      <c r="D27" s="11">
        <f>INDEX('2_Clean_Data'!$L$2:$L$1360,MATCH($A27,'2_Clean_Data'!$A$2:$A$1360,0))</f>
        <v>9.6999999999999993</v>
      </c>
      <c r="E27" s="9" t="str">
        <f>IF(D27&lt;'3_Summary_Tables'!$C$16,"Low",IF(D27&lt;'3_Summary_Tables'!$C$17,"Medium","High"))</f>
        <v>Low</v>
      </c>
      <c r="F27" s="12">
        <f>INDEX('2_Clean_Data'!$C$2:$C$1360,MATCH($A27,'2_Clean_Data'!$A$2:$A$1360,0))</f>
        <v>0.4</v>
      </c>
      <c r="G27" s="10">
        <f>INDEX('2_Clean_Data'!$H$2:$H$1360,MATCH($A27,'2_Clean_Data'!$A$2:$A$1360,0))</f>
        <v>40</v>
      </c>
      <c r="H27" s="9" t="str">
        <f t="shared" si="1"/>
        <v>Low</v>
      </c>
      <c r="I27" s="9" t="str">
        <f t="shared" si="2"/>
        <v>OK</v>
      </c>
      <c r="J27" s="9" t="str">
        <f t="shared" si="3"/>
        <v>Solid</v>
      </c>
      <c r="L27" s="17" t="s">
        <v>135</v>
      </c>
      <c r="M27" s="71" t="str">
        <f>IFERROR(INDEX($J$5:$J$1363,MATCH($M$21,$A$5:$A$1363,0)),"Not found")</f>
        <v>Standard</v>
      </c>
      <c r="N27" s="17" t="s">
        <v>136</v>
      </c>
    </row>
    <row r="28" spans="1:14" x14ac:dyDescent="0.3">
      <c r="A28" s="10">
        <f>'2_Clean_Data'!A25</f>
        <v>24</v>
      </c>
      <c r="B28" s="10">
        <f>INDEX('2_Clean_Data'!$M$2:$M$1360,MATCH($A28,'2_Clean_Data'!$A$2:$A$1360,0))</f>
        <v>5</v>
      </c>
      <c r="C28" s="9" t="str">
        <f t="shared" si="0"/>
        <v>Average</v>
      </c>
      <c r="D28" s="11">
        <f>INDEX('2_Clean_Data'!$L$2:$L$1360,MATCH($A28,'2_Clean_Data'!$A$2:$A$1360,0))</f>
        <v>9.3000000000000007</v>
      </c>
      <c r="E28" s="9" t="str">
        <f>IF(D28&lt;'3_Summary_Tables'!$C$16,"Low",IF(D28&lt;'3_Summary_Tables'!$C$17,"Medium","High"))</f>
        <v>Low</v>
      </c>
      <c r="F28" s="12">
        <f>INDEX('2_Clean_Data'!$C$2:$C$1360,MATCH($A28,'2_Clean_Data'!$A$2:$A$1360,0))</f>
        <v>0.39</v>
      </c>
      <c r="G28" s="10">
        <f>INDEX('2_Clean_Data'!$H$2:$H$1360,MATCH($A28,'2_Clean_Data'!$A$2:$A$1360,0))</f>
        <v>23</v>
      </c>
      <c r="H28" s="9" t="str">
        <f t="shared" si="1"/>
        <v>Low</v>
      </c>
      <c r="I28" s="9" t="str">
        <f t="shared" si="2"/>
        <v>OK</v>
      </c>
      <c r="J28" s="9" t="str">
        <f t="shared" si="3"/>
        <v>Standard</v>
      </c>
    </row>
    <row r="29" spans="1:14" x14ac:dyDescent="0.3">
      <c r="A29" s="10">
        <f>'2_Clean_Data'!A26</f>
        <v>25</v>
      </c>
      <c r="B29" s="10">
        <f>INDEX('2_Clean_Data'!$M$2:$M$1360,MATCH($A29,'2_Clean_Data'!$A$2:$A$1360,0))</f>
        <v>5</v>
      </c>
      <c r="C29" s="9" t="str">
        <f t="shared" si="0"/>
        <v>Average</v>
      </c>
      <c r="D29" s="11">
        <f>INDEX('2_Clean_Data'!$L$2:$L$1360,MATCH($A29,'2_Clean_Data'!$A$2:$A$1360,0))</f>
        <v>9.5</v>
      </c>
      <c r="E29" s="9" t="str">
        <f>IF(D29&lt;'3_Summary_Tables'!$C$16,"Low",IF(D29&lt;'3_Summary_Tables'!$C$17,"Medium","High"))</f>
        <v>Low</v>
      </c>
      <c r="F29" s="12">
        <f>INDEX('2_Clean_Data'!$C$2:$C$1360,MATCH($A29,'2_Clean_Data'!$A$2:$A$1360,0))</f>
        <v>0.41</v>
      </c>
      <c r="G29" s="10">
        <f>INDEX('2_Clean_Data'!$H$2:$H$1360,MATCH($A29,'2_Clean_Data'!$A$2:$A$1360,0))</f>
        <v>11</v>
      </c>
      <c r="H29" s="9" t="str">
        <f t="shared" si="1"/>
        <v>Low</v>
      </c>
      <c r="I29" s="9" t="str">
        <f t="shared" si="2"/>
        <v>OK</v>
      </c>
      <c r="J29" s="9" t="str">
        <f t="shared" si="3"/>
        <v>Standard</v>
      </c>
    </row>
    <row r="30" spans="1:14" x14ac:dyDescent="0.3">
      <c r="A30" s="10">
        <f>'2_Clean_Data'!A27</f>
        <v>26</v>
      </c>
      <c r="B30" s="10">
        <f>INDEX('2_Clean_Data'!$M$2:$M$1360,MATCH($A30,'2_Clean_Data'!$A$2:$A$1360,0))</f>
        <v>5</v>
      </c>
      <c r="C30" s="9" t="str">
        <f t="shared" si="0"/>
        <v>Average</v>
      </c>
      <c r="D30" s="11">
        <f>INDEX('2_Clean_Data'!$L$2:$L$1360,MATCH($A30,'2_Clean_Data'!$A$2:$A$1360,0))</f>
        <v>9.4</v>
      </c>
      <c r="E30" s="9" t="str">
        <f>IF(D30&lt;'3_Summary_Tables'!$C$16,"Low",IF(D30&lt;'3_Summary_Tables'!$C$17,"Medium","High"))</f>
        <v>Low</v>
      </c>
      <c r="F30" s="12">
        <f>INDEX('2_Clean_Data'!$C$2:$C$1360,MATCH($A30,'2_Clean_Data'!$A$2:$A$1360,0))</f>
        <v>0.71</v>
      </c>
      <c r="G30" s="10">
        <f>INDEX('2_Clean_Data'!$H$2:$H$1360,MATCH($A30,'2_Clean_Data'!$A$2:$A$1360,0))</f>
        <v>35</v>
      </c>
      <c r="H30" s="9" t="str">
        <f t="shared" si="1"/>
        <v>Low</v>
      </c>
      <c r="I30" s="9" t="str">
        <f t="shared" si="2"/>
        <v>Above limit</v>
      </c>
      <c r="J30" s="9" t="str">
        <f t="shared" si="3"/>
        <v>Standard</v>
      </c>
    </row>
    <row r="31" spans="1:14" x14ac:dyDescent="0.3">
      <c r="A31" s="10">
        <f>'2_Clean_Data'!A28</f>
        <v>27</v>
      </c>
      <c r="B31" s="10">
        <f>INDEX('2_Clean_Data'!$M$2:$M$1360,MATCH($A31,'2_Clean_Data'!$A$2:$A$1360,0))</f>
        <v>6</v>
      </c>
      <c r="C31" s="9" t="str">
        <f t="shared" si="0"/>
        <v>Above Average</v>
      </c>
      <c r="D31" s="11">
        <f>INDEX('2_Clean_Data'!$L$2:$L$1360,MATCH($A31,'2_Clean_Data'!$A$2:$A$1360,0))</f>
        <v>9.8000000000000007</v>
      </c>
      <c r="E31" s="9" t="str">
        <f>IF(D31&lt;'3_Summary_Tables'!$C$16,"Low",IF(D31&lt;'3_Summary_Tables'!$C$17,"Medium","High"))</f>
        <v>Low</v>
      </c>
      <c r="F31" s="12">
        <f>INDEX('2_Clean_Data'!$C$2:$C$1360,MATCH($A31,'2_Clean_Data'!$A$2:$A$1360,0))</f>
        <v>0.64500000000000002</v>
      </c>
      <c r="G31" s="10">
        <f>INDEX('2_Clean_Data'!$H$2:$H$1360,MATCH($A31,'2_Clean_Data'!$A$2:$A$1360,0))</f>
        <v>16</v>
      </c>
      <c r="H31" s="9" t="str">
        <f t="shared" si="1"/>
        <v>Low</v>
      </c>
      <c r="I31" s="9" t="str">
        <f t="shared" si="2"/>
        <v>OK</v>
      </c>
      <c r="J31" s="9" t="str">
        <f t="shared" si="3"/>
        <v>Solid</v>
      </c>
    </row>
    <row r="32" spans="1:14" x14ac:dyDescent="0.3">
      <c r="A32" s="10">
        <f>'2_Clean_Data'!A29</f>
        <v>28</v>
      </c>
      <c r="B32" s="10">
        <f>INDEX('2_Clean_Data'!$M$2:$M$1360,MATCH($A32,'2_Clean_Data'!$A$2:$A$1360,0))</f>
        <v>5</v>
      </c>
      <c r="C32" s="9" t="str">
        <f t="shared" si="0"/>
        <v>Average</v>
      </c>
      <c r="D32" s="11">
        <f>INDEX('2_Clean_Data'!$L$2:$L$1360,MATCH($A32,'2_Clean_Data'!$A$2:$A$1360,0))</f>
        <v>10.1</v>
      </c>
      <c r="E32" s="9" t="str">
        <f>IF(D32&lt;'3_Summary_Tables'!$C$16,"Low",IF(D32&lt;'3_Summary_Tables'!$C$17,"Medium","High"))</f>
        <v>Medium</v>
      </c>
      <c r="F32" s="12">
        <f>INDEX('2_Clean_Data'!$C$2:$C$1360,MATCH($A32,'2_Clean_Data'!$A$2:$A$1360,0))</f>
        <v>0.67500000000000004</v>
      </c>
      <c r="G32" s="10">
        <f>INDEX('2_Clean_Data'!$H$2:$H$1360,MATCH($A32,'2_Clean_Data'!$A$2:$A$1360,0))</f>
        <v>82</v>
      </c>
      <c r="H32" s="9" t="str">
        <f t="shared" si="1"/>
        <v>Moderate</v>
      </c>
      <c r="I32" s="9" t="str">
        <f t="shared" si="2"/>
        <v>OK</v>
      </c>
      <c r="J32" s="9" t="str">
        <f t="shared" si="3"/>
        <v>Standard</v>
      </c>
    </row>
    <row r="33" spans="1:10" x14ac:dyDescent="0.3">
      <c r="A33" s="10">
        <f>'2_Clean_Data'!A30</f>
        <v>29</v>
      </c>
      <c r="B33" s="10">
        <f>INDEX('2_Clean_Data'!$M$2:$M$1360,MATCH($A33,'2_Clean_Data'!$A$2:$A$1360,0))</f>
        <v>6</v>
      </c>
      <c r="C33" s="9" t="str">
        <f t="shared" si="0"/>
        <v>Above Average</v>
      </c>
      <c r="D33" s="11">
        <f>INDEX('2_Clean_Data'!$L$2:$L$1360,MATCH($A33,'2_Clean_Data'!$A$2:$A$1360,0))</f>
        <v>10.6</v>
      </c>
      <c r="E33" s="9" t="str">
        <f>IF(D33&lt;'3_Summary_Tables'!$C$16,"Low",IF(D33&lt;'3_Summary_Tables'!$C$17,"Medium","High"))</f>
        <v>Medium</v>
      </c>
      <c r="F33" s="12">
        <f>INDEX('2_Clean_Data'!$C$2:$C$1360,MATCH($A33,'2_Clean_Data'!$A$2:$A$1360,0))</f>
        <v>0.68500000000000005</v>
      </c>
      <c r="G33" s="10">
        <f>INDEX('2_Clean_Data'!$H$2:$H$1360,MATCH($A33,'2_Clean_Data'!$A$2:$A$1360,0))</f>
        <v>37</v>
      </c>
      <c r="H33" s="9" t="str">
        <f t="shared" si="1"/>
        <v>Low</v>
      </c>
      <c r="I33" s="9" t="str">
        <f t="shared" si="2"/>
        <v>OK</v>
      </c>
      <c r="J33" s="9" t="str">
        <f t="shared" si="3"/>
        <v>Solid</v>
      </c>
    </row>
    <row r="34" spans="1:10" x14ac:dyDescent="0.3">
      <c r="A34" s="10">
        <f>'2_Clean_Data'!A31</f>
        <v>30</v>
      </c>
      <c r="B34" s="10">
        <f>INDEX('2_Clean_Data'!$M$2:$M$1360,MATCH($A34,'2_Clean_Data'!$A$2:$A$1360,0))</f>
        <v>5</v>
      </c>
      <c r="C34" s="9" t="str">
        <f t="shared" si="0"/>
        <v>Average</v>
      </c>
      <c r="D34" s="11">
        <f>INDEX('2_Clean_Data'!$L$2:$L$1360,MATCH($A34,'2_Clean_Data'!$A$2:$A$1360,0))</f>
        <v>9.8000000000000007</v>
      </c>
      <c r="E34" s="9" t="str">
        <f>IF(D34&lt;'3_Summary_Tables'!$C$16,"Low",IF(D34&lt;'3_Summary_Tables'!$C$17,"Medium","High"))</f>
        <v>Low</v>
      </c>
      <c r="F34" s="12">
        <f>INDEX('2_Clean_Data'!$C$2:$C$1360,MATCH($A34,'2_Clean_Data'!$A$2:$A$1360,0))</f>
        <v>0.65500000000000003</v>
      </c>
      <c r="G34" s="10">
        <f>INDEX('2_Clean_Data'!$H$2:$H$1360,MATCH($A34,'2_Clean_Data'!$A$2:$A$1360,0))</f>
        <v>113</v>
      </c>
      <c r="H34" s="9" t="str">
        <f t="shared" si="1"/>
        <v>High</v>
      </c>
      <c r="I34" s="9" t="str">
        <f t="shared" si="2"/>
        <v>OK</v>
      </c>
      <c r="J34" s="9" t="str">
        <f t="shared" si="3"/>
        <v>Standard</v>
      </c>
    </row>
    <row r="35" spans="1:10" x14ac:dyDescent="0.3">
      <c r="A35" s="10">
        <f>'2_Clean_Data'!A32</f>
        <v>31</v>
      </c>
      <c r="B35" s="10">
        <f>INDEX('2_Clean_Data'!$M$2:$M$1360,MATCH($A35,'2_Clean_Data'!$A$2:$A$1360,0))</f>
        <v>6</v>
      </c>
      <c r="C35" s="9" t="str">
        <f t="shared" si="0"/>
        <v>Above Average</v>
      </c>
      <c r="D35" s="11">
        <f>INDEX('2_Clean_Data'!$L$2:$L$1360,MATCH($A35,'2_Clean_Data'!$A$2:$A$1360,0))</f>
        <v>9.4</v>
      </c>
      <c r="E35" s="9" t="str">
        <f>IF(D35&lt;'3_Summary_Tables'!$C$16,"Low",IF(D35&lt;'3_Summary_Tables'!$C$17,"Medium","High"))</f>
        <v>Low</v>
      </c>
      <c r="F35" s="12">
        <f>INDEX('2_Clean_Data'!$C$2:$C$1360,MATCH($A35,'2_Clean_Data'!$A$2:$A$1360,0))</f>
        <v>0.60499999999999998</v>
      </c>
      <c r="G35" s="10">
        <f>INDEX('2_Clean_Data'!$H$2:$H$1360,MATCH($A35,'2_Clean_Data'!$A$2:$A$1360,0))</f>
        <v>83</v>
      </c>
      <c r="H35" s="9" t="str">
        <f t="shared" si="1"/>
        <v>Moderate</v>
      </c>
      <c r="I35" s="9" t="str">
        <f t="shared" si="2"/>
        <v>OK</v>
      </c>
      <c r="J35" s="9" t="str">
        <f t="shared" si="3"/>
        <v>Solid</v>
      </c>
    </row>
    <row r="36" spans="1:10" x14ac:dyDescent="0.3">
      <c r="A36" s="10">
        <f>'2_Clean_Data'!A33</f>
        <v>32</v>
      </c>
      <c r="B36" s="10">
        <f>INDEX('2_Clean_Data'!$M$2:$M$1360,MATCH($A36,'2_Clean_Data'!$A$2:$A$1360,0))</f>
        <v>5</v>
      </c>
      <c r="C36" s="9" t="str">
        <f t="shared" si="0"/>
        <v>Average</v>
      </c>
      <c r="D36" s="11">
        <f>INDEX('2_Clean_Data'!$L$2:$L$1360,MATCH($A36,'2_Clean_Data'!$A$2:$A$1360,0))</f>
        <v>9.1999999999999993</v>
      </c>
      <c r="E36" s="9" t="str">
        <f>IF(D36&lt;'3_Summary_Tables'!$C$16,"Low",IF(D36&lt;'3_Summary_Tables'!$C$17,"Medium","High"))</f>
        <v>Low</v>
      </c>
      <c r="F36" s="12">
        <f>INDEX('2_Clean_Data'!$C$2:$C$1360,MATCH($A36,'2_Clean_Data'!$A$2:$A$1360,0))</f>
        <v>0.32</v>
      </c>
      <c r="G36" s="10">
        <f>INDEX('2_Clean_Data'!$H$2:$H$1360,MATCH($A36,'2_Clean_Data'!$A$2:$A$1360,0))</f>
        <v>50</v>
      </c>
      <c r="H36" s="9" t="str">
        <f t="shared" si="1"/>
        <v>Low</v>
      </c>
      <c r="I36" s="9" t="str">
        <f t="shared" si="2"/>
        <v>OK</v>
      </c>
      <c r="J36" s="9" t="str">
        <f t="shared" si="3"/>
        <v>Standard</v>
      </c>
    </row>
    <row r="37" spans="1:10" x14ac:dyDescent="0.3">
      <c r="A37" s="10">
        <f>'2_Clean_Data'!A34</f>
        <v>33</v>
      </c>
      <c r="B37" s="10">
        <f>INDEX('2_Clean_Data'!$M$2:$M$1360,MATCH($A37,'2_Clean_Data'!$A$2:$A$1360,0))</f>
        <v>6</v>
      </c>
      <c r="C37" s="9" t="str">
        <f t="shared" si="0"/>
        <v>Above Average</v>
      </c>
      <c r="D37" s="11">
        <f>INDEX('2_Clean_Data'!$L$2:$L$1360,MATCH($A37,'2_Clean_Data'!$A$2:$A$1360,0))</f>
        <v>9.6</v>
      </c>
      <c r="E37" s="9" t="str">
        <f>IF(D37&lt;'3_Summary_Tables'!$C$16,"Low",IF(D37&lt;'3_Summary_Tables'!$C$17,"Medium","High"))</f>
        <v>Low</v>
      </c>
      <c r="F37" s="12">
        <f>INDEX('2_Clean_Data'!$C$2:$C$1360,MATCH($A37,'2_Clean_Data'!$A$2:$A$1360,0))</f>
        <v>0.64500000000000002</v>
      </c>
      <c r="G37" s="10">
        <f>INDEX('2_Clean_Data'!$H$2:$H$1360,MATCH($A37,'2_Clean_Data'!$A$2:$A$1360,0))</f>
        <v>18</v>
      </c>
      <c r="H37" s="9" t="str">
        <f t="shared" si="1"/>
        <v>Low</v>
      </c>
      <c r="I37" s="9" t="str">
        <f t="shared" si="2"/>
        <v>OK</v>
      </c>
      <c r="J37" s="9" t="str">
        <f t="shared" si="3"/>
        <v>Solid</v>
      </c>
    </row>
    <row r="38" spans="1:10" x14ac:dyDescent="0.3">
      <c r="A38" s="10">
        <f>'2_Clean_Data'!A35</f>
        <v>34</v>
      </c>
      <c r="B38" s="10">
        <f>INDEX('2_Clean_Data'!$M$2:$M$1360,MATCH($A38,'2_Clean_Data'!$A$2:$A$1360,0))</f>
        <v>6</v>
      </c>
      <c r="C38" s="9" t="str">
        <f t="shared" si="0"/>
        <v>Above Average</v>
      </c>
      <c r="D38" s="11">
        <f>INDEX('2_Clean_Data'!$L$2:$L$1360,MATCH($A38,'2_Clean_Data'!$A$2:$A$1360,0))</f>
        <v>10.8</v>
      </c>
      <c r="E38" s="9" t="str">
        <f>IF(D38&lt;'3_Summary_Tables'!$C$16,"Low",IF(D38&lt;'3_Summary_Tables'!$C$17,"Medium","High"))</f>
        <v>Medium</v>
      </c>
      <c r="F38" s="12">
        <f>INDEX('2_Clean_Data'!$C$2:$C$1360,MATCH($A38,'2_Clean_Data'!$A$2:$A$1360,0))</f>
        <v>0.6</v>
      </c>
      <c r="G38" s="10">
        <f>INDEX('2_Clean_Data'!$H$2:$H$1360,MATCH($A38,'2_Clean_Data'!$A$2:$A$1360,0))</f>
        <v>15</v>
      </c>
      <c r="H38" s="9" t="str">
        <f t="shared" si="1"/>
        <v>Low</v>
      </c>
      <c r="I38" s="9" t="str">
        <f t="shared" si="2"/>
        <v>OK</v>
      </c>
      <c r="J38" s="9" t="str">
        <f t="shared" si="3"/>
        <v>Solid</v>
      </c>
    </row>
    <row r="39" spans="1:10" x14ac:dyDescent="0.3">
      <c r="A39" s="10">
        <f>'2_Clean_Data'!A36</f>
        <v>35</v>
      </c>
      <c r="B39" s="10">
        <f>INDEX('2_Clean_Data'!$M$2:$M$1360,MATCH($A39,'2_Clean_Data'!$A$2:$A$1360,0))</f>
        <v>7</v>
      </c>
      <c r="C39" s="9" t="str">
        <f t="shared" si="0"/>
        <v>Good</v>
      </c>
      <c r="D39" s="11">
        <f>INDEX('2_Clean_Data'!$L$2:$L$1360,MATCH($A39,'2_Clean_Data'!$A$2:$A$1360,0))</f>
        <v>9.6999999999999993</v>
      </c>
      <c r="E39" s="9" t="str">
        <f>IF(D39&lt;'3_Summary_Tables'!$C$16,"Low",IF(D39&lt;'3_Summary_Tables'!$C$17,"Medium","High"))</f>
        <v>Low</v>
      </c>
      <c r="F39" s="12">
        <f>INDEX('2_Clean_Data'!$C$2:$C$1360,MATCH($A39,'2_Clean_Data'!$A$2:$A$1360,0))</f>
        <v>0.38</v>
      </c>
      <c r="G39" s="10">
        <f>INDEX('2_Clean_Data'!$H$2:$H$1360,MATCH($A39,'2_Clean_Data'!$A$2:$A$1360,0))</f>
        <v>30</v>
      </c>
      <c r="H39" s="9" t="str">
        <f t="shared" si="1"/>
        <v>Low</v>
      </c>
      <c r="I39" s="9" t="str">
        <f t="shared" si="2"/>
        <v>OK</v>
      </c>
      <c r="J39" s="9" t="str">
        <f t="shared" si="3"/>
        <v>Solid</v>
      </c>
    </row>
    <row r="40" spans="1:10" x14ac:dyDescent="0.3">
      <c r="A40" s="10">
        <f>'2_Clean_Data'!A37</f>
        <v>36</v>
      </c>
      <c r="B40" s="10">
        <f>INDEX('2_Clean_Data'!$M$2:$M$1360,MATCH($A40,'2_Clean_Data'!$A$2:$A$1360,0))</f>
        <v>4</v>
      </c>
      <c r="C40" s="9" t="str">
        <f t="shared" si="0"/>
        <v>Poor</v>
      </c>
      <c r="D40" s="11">
        <f>INDEX('2_Clean_Data'!$L$2:$L$1360,MATCH($A40,'2_Clean_Data'!$A$2:$A$1360,0))</f>
        <v>9.8000000000000007</v>
      </c>
      <c r="E40" s="9" t="str">
        <f>IF(D40&lt;'3_Summary_Tables'!$C$16,"Low",IF(D40&lt;'3_Summary_Tables'!$C$17,"Medium","High"))</f>
        <v>Low</v>
      </c>
      <c r="F40" s="12">
        <f>INDEX('2_Clean_Data'!$C$2:$C$1360,MATCH($A40,'2_Clean_Data'!$A$2:$A$1360,0))</f>
        <v>1.1299999999999999</v>
      </c>
      <c r="G40" s="10">
        <f>INDEX('2_Clean_Data'!$H$2:$H$1360,MATCH($A40,'2_Clean_Data'!$A$2:$A$1360,0))</f>
        <v>19</v>
      </c>
      <c r="H40" s="9" t="str">
        <f t="shared" si="1"/>
        <v>Low</v>
      </c>
      <c r="I40" s="9" t="str">
        <f t="shared" si="2"/>
        <v>Above limit</v>
      </c>
      <c r="J40" s="9" t="str">
        <f t="shared" si="3"/>
        <v>Poor</v>
      </c>
    </row>
    <row r="41" spans="1:10" x14ac:dyDescent="0.3">
      <c r="A41" s="10">
        <f>'2_Clean_Data'!A38</f>
        <v>37</v>
      </c>
      <c r="B41" s="10">
        <f>INDEX('2_Clean_Data'!$M$2:$M$1360,MATCH($A41,'2_Clean_Data'!$A$2:$A$1360,0))</f>
        <v>5</v>
      </c>
      <c r="C41" s="9" t="str">
        <f t="shared" si="0"/>
        <v>Average</v>
      </c>
      <c r="D41" s="11">
        <f>INDEX('2_Clean_Data'!$L$2:$L$1360,MATCH($A41,'2_Clean_Data'!$A$2:$A$1360,0))</f>
        <v>10.5</v>
      </c>
      <c r="E41" s="9" t="str">
        <f>IF(D41&lt;'3_Summary_Tables'!$C$16,"Low",IF(D41&lt;'3_Summary_Tables'!$C$17,"Medium","High"))</f>
        <v>Medium</v>
      </c>
      <c r="F41" s="12">
        <f>INDEX('2_Clean_Data'!$C$2:$C$1360,MATCH($A41,'2_Clean_Data'!$A$2:$A$1360,0))</f>
        <v>0.45</v>
      </c>
      <c r="G41" s="10">
        <f>INDEX('2_Clean_Data'!$H$2:$H$1360,MATCH($A41,'2_Clean_Data'!$A$2:$A$1360,0))</f>
        <v>87</v>
      </c>
      <c r="H41" s="9" t="str">
        <f t="shared" si="1"/>
        <v>Moderate</v>
      </c>
      <c r="I41" s="9" t="str">
        <f t="shared" si="2"/>
        <v>OK</v>
      </c>
      <c r="J41" s="9" t="str">
        <f t="shared" si="3"/>
        <v>Standard</v>
      </c>
    </row>
    <row r="42" spans="1:10" x14ac:dyDescent="0.3">
      <c r="A42" s="10">
        <f>'2_Clean_Data'!A39</f>
        <v>38</v>
      </c>
      <c r="B42" s="10">
        <f>INDEX('2_Clean_Data'!$M$2:$M$1360,MATCH($A42,'2_Clean_Data'!$A$2:$A$1360,0))</f>
        <v>4</v>
      </c>
      <c r="C42" s="9" t="str">
        <f t="shared" si="0"/>
        <v>Poor</v>
      </c>
      <c r="D42" s="11">
        <f>INDEX('2_Clean_Data'!$L$2:$L$1360,MATCH($A42,'2_Clean_Data'!$A$2:$A$1360,0))</f>
        <v>9.3000000000000007</v>
      </c>
      <c r="E42" s="9" t="str">
        <f>IF(D42&lt;'3_Summary_Tables'!$C$16,"Low",IF(D42&lt;'3_Summary_Tables'!$C$17,"Medium","High"))</f>
        <v>Low</v>
      </c>
      <c r="F42" s="12">
        <f>INDEX('2_Clean_Data'!$C$2:$C$1360,MATCH($A42,'2_Clean_Data'!$A$2:$A$1360,0))</f>
        <v>0.61</v>
      </c>
      <c r="G42" s="10">
        <f>INDEX('2_Clean_Data'!$H$2:$H$1360,MATCH($A42,'2_Clean_Data'!$A$2:$A$1360,0))</f>
        <v>46</v>
      </c>
      <c r="H42" s="9" t="str">
        <f t="shared" si="1"/>
        <v>Low</v>
      </c>
      <c r="I42" s="9" t="str">
        <f t="shared" si="2"/>
        <v>OK</v>
      </c>
      <c r="J42" s="9" t="str">
        <f t="shared" si="3"/>
        <v>Poor</v>
      </c>
    </row>
    <row r="43" spans="1:10" x14ac:dyDescent="0.3">
      <c r="A43" s="10">
        <f>'2_Clean_Data'!A40</f>
        <v>39</v>
      </c>
      <c r="B43" s="10">
        <f>INDEX('2_Clean_Data'!$M$2:$M$1360,MATCH($A43,'2_Clean_Data'!$A$2:$A$1360,0))</f>
        <v>6</v>
      </c>
      <c r="C43" s="9" t="str">
        <f t="shared" si="0"/>
        <v>Above Average</v>
      </c>
      <c r="D43" s="11">
        <f>INDEX('2_Clean_Data'!$L$2:$L$1360,MATCH($A43,'2_Clean_Data'!$A$2:$A$1360,0))</f>
        <v>10.5</v>
      </c>
      <c r="E43" s="9" t="str">
        <f>IF(D43&lt;'3_Summary_Tables'!$C$16,"Low",IF(D43&lt;'3_Summary_Tables'!$C$17,"Medium","High"))</f>
        <v>Medium</v>
      </c>
      <c r="F43" s="12">
        <f>INDEX('2_Clean_Data'!$C$2:$C$1360,MATCH($A43,'2_Clean_Data'!$A$2:$A$1360,0))</f>
        <v>0.49</v>
      </c>
      <c r="G43" s="10">
        <f>INDEX('2_Clean_Data'!$H$2:$H$1360,MATCH($A43,'2_Clean_Data'!$A$2:$A$1360,0))</f>
        <v>14</v>
      </c>
      <c r="H43" s="9" t="str">
        <f t="shared" si="1"/>
        <v>Low</v>
      </c>
      <c r="I43" s="9" t="str">
        <f t="shared" si="2"/>
        <v>OK</v>
      </c>
      <c r="J43" s="9" t="str">
        <f t="shared" si="3"/>
        <v>Solid</v>
      </c>
    </row>
    <row r="44" spans="1:10" x14ac:dyDescent="0.3">
      <c r="A44" s="10">
        <f>'2_Clean_Data'!A41</f>
        <v>40</v>
      </c>
      <c r="B44" s="10">
        <f>INDEX('2_Clean_Data'!$M$2:$M$1360,MATCH($A44,'2_Clean_Data'!$A$2:$A$1360,0))</f>
        <v>5</v>
      </c>
      <c r="C44" s="9" t="str">
        <f t="shared" si="0"/>
        <v>Average</v>
      </c>
      <c r="D44" s="11">
        <f>INDEX('2_Clean_Data'!$L$2:$L$1360,MATCH($A44,'2_Clean_Data'!$A$2:$A$1360,0))</f>
        <v>10.3</v>
      </c>
      <c r="E44" s="9" t="str">
        <f>IF(D44&lt;'3_Summary_Tables'!$C$16,"Low",IF(D44&lt;'3_Summary_Tables'!$C$17,"Medium","High"))</f>
        <v>Medium</v>
      </c>
      <c r="F44" s="12">
        <f>INDEX('2_Clean_Data'!$C$2:$C$1360,MATCH($A44,'2_Clean_Data'!$A$2:$A$1360,0))</f>
        <v>0.66</v>
      </c>
      <c r="G44" s="10">
        <f>INDEX('2_Clean_Data'!$H$2:$H$1360,MATCH($A44,'2_Clean_Data'!$A$2:$A$1360,0))</f>
        <v>23</v>
      </c>
      <c r="H44" s="9" t="str">
        <f t="shared" si="1"/>
        <v>Low</v>
      </c>
      <c r="I44" s="9" t="str">
        <f t="shared" si="2"/>
        <v>OK</v>
      </c>
      <c r="J44" s="9" t="str">
        <f t="shared" si="3"/>
        <v>Standard</v>
      </c>
    </row>
    <row r="45" spans="1:10" x14ac:dyDescent="0.3">
      <c r="A45" s="10">
        <f>'2_Clean_Data'!A42</f>
        <v>41</v>
      </c>
      <c r="B45" s="10">
        <f>INDEX('2_Clean_Data'!$M$2:$M$1360,MATCH($A45,'2_Clean_Data'!$A$2:$A$1360,0))</f>
        <v>5</v>
      </c>
      <c r="C45" s="9" t="str">
        <f t="shared" si="0"/>
        <v>Average</v>
      </c>
      <c r="D45" s="11">
        <f>INDEX('2_Clean_Data'!$L$2:$L$1360,MATCH($A45,'2_Clean_Data'!$A$2:$A$1360,0))</f>
        <v>9.5</v>
      </c>
      <c r="E45" s="9" t="str">
        <f>IF(D45&lt;'3_Summary_Tables'!$C$16,"Low",IF(D45&lt;'3_Summary_Tables'!$C$17,"Medium","High"))</f>
        <v>Low</v>
      </c>
      <c r="F45" s="12">
        <f>INDEX('2_Clean_Data'!$C$2:$C$1360,MATCH($A45,'2_Clean_Data'!$A$2:$A$1360,0))</f>
        <v>0.67</v>
      </c>
      <c r="G45" s="10">
        <f>INDEX('2_Clean_Data'!$H$2:$H$1360,MATCH($A45,'2_Clean_Data'!$A$2:$A$1360,0))</f>
        <v>11</v>
      </c>
      <c r="H45" s="9" t="str">
        <f t="shared" si="1"/>
        <v>Low</v>
      </c>
      <c r="I45" s="9" t="str">
        <f t="shared" si="2"/>
        <v>OK</v>
      </c>
      <c r="J45" s="9" t="str">
        <f t="shared" si="3"/>
        <v>Standard</v>
      </c>
    </row>
    <row r="46" spans="1:10" x14ac:dyDescent="0.3">
      <c r="A46" s="10">
        <f>'2_Clean_Data'!A43</f>
        <v>42</v>
      </c>
      <c r="B46" s="10">
        <f>INDEX('2_Clean_Data'!$M$2:$M$1360,MATCH($A46,'2_Clean_Data'!$A$2:$A$1360,0))</f>
        <v>4</v>
      </c>
      <c r="C46" s="9" t="str">
        <f t="shared" si="0"/>
        <v>Poor</v>
      </c>
      <c r="D46" s="11">
        <f>INDEX('2_Clean_Data'!$L$2:$L$1360,MATCH($A46,'2_Clean_Data'!$A$2:$A$1360,0))</f>
        <v>13.1</v>
      </c>
      <c r="E46" s="9" t="str">
        <f>IF(D46&lt;'3_Summary_Tables'!$C$16,"Low",IF(D46&lt;'3_Summary_Tables'!$C$17,"Medium","High"))</f>
        <v>High</v>
      </c>
      <c r="F46" s="12">
        <f>INDEX('2_Clean_Data'!$C$2:$C$1360,MATCH($A46,'2_Clean_Data'!$A$2:$A$1360,0))</f>
        <v>0.52</v>
      </c>
      <c r="G46" s="10">
        <f>INDEX('2_Clean_Data'!$H$2:$H$1360,MATCH($A46,'2_Clean_Data'!$A$2:$A$1360,0))</f>
        <v>65</v>
      </c>
      <c r="H46" s="9" t="str">
        <f t="shared" si="1"/>
        <v>Moderate</v>
      </c>
      <c r="I46" s="9" t="str">
        <f t="shared" si="2"/>
        <v>OK</v>
      </c>
      <c r="J46" s="9" t="str">
        <f t="shared" si="3"/>
        <v>Poor</v>
      </c>
    </row>
    <row r="47" spans="1:10" x14ac:dyDescent="0.3">
      <c r="A47" s="10">
        <f>'2_Clean_Data'!A44</f>
        <v>43</v>
      </c>
      <c r="B47" s="10">
        <f>INDEX('2_Clean_Data'!$M$2:$M$1360,MATCH($A47,'2_Clean_Data'!$A$2:$A$1360,0))</f>
        <v>5</v>
      </c>
      <c r="C47" s="9" t="str">
        <f t="shared" si="0"/>
        <v>Average</v>
      </c>
      <c r="D47" s="11">
        <f>INDEX('2_Clean_Data'!$L$2:$L$1360,MATCH($A47,'2_Clean_Data'!$A$2:$A$1360,0))</f>
        <v>9.1999999999999993</v>
      </c>
      <c r="E47" s="9" t="str">
        <f>IF(D47&lt;'3_Summary_Tables'!$C$16,"Low",IF(D47&lt;'3_Summary_Tables'!$C$17,"Medium","High"))</f>
        <v>Low</v>
      </c>
      <c r="F47" s="12">
        <f>INDEX('2_Clean_Data'!$C$2:$C$1360,MATCH($A47,'2_Clean_Data'!$A$2:$A$1360,0))</f>
        <v>0.93500000000000005</v>
      </c>
      <c r="G47" s="10">
        <f>INDEX('2_Clean_Data'!$H$2:$H$1360,MATCH($A47,'2_Clean_Data'!$A$2:$A$1360,0))</f>
        <v>114</v>
      </c>
      <c r="H47" s="9" t="str">
        <f t="shared" si="1"/>
        <v>High</v>
      </c>
      <c r="I47" s="9" t="str">
        <f t="shared" si="2"/>
        <v>Above limit</v>
      </c>
      <c r="J47" s="9" t="str">
        <f t="shared" si="3"/>
        <v>Standard</v>
      </c>
    </row>
    <row r="48" spans="1:10" x14ac:dyDescent="0.3">
      <c r="A48" s="10">
        <f>'2_Clean_Data'!A45</f>
        <v>44</v>
      </c>
      <c r="B48" s="10">
        <f>INDEX('2_Clean_Data'!$M$2:$M$1360,MATCH($A48,'2_Clean_Data'!$A$2:$A$1360,0))</f>
        <v>5</v>
      </c>
      <c r="C48" s="9" t="str">
        <f t="shared" si="0"/>
        <v>Average</v>
      </c>
      <c r="D48" s="11">
        <f>INDEX('2_Clean_Data'!$L$2:$L$1360,MATCH($A48,'2_Clean_Data'!$A$2:$A$1360,0))</f>
        <v>9.5</v>
      </c>
      <c r="E48" s="9" t="str">
        <f>IF(D48&lt;'3_Summary_Tables'!$C$16,"Low",IF(D48&lt;'3_Summary_Tables'!$C$17,"Medium","High"))</f>
        <v>Low</v>
      </c>
      <c r="F48" s="12">
        <f>INDEX('2_Clean_Data'!$C$2:$C$1360,MATCH($A48,'2_Clean_Data'!$A$2:$A$1360,0))</f>
        <v>0.28999999999999998</v>
      </c>
      <c r="G48" s="10">
        <f>INDEX('2_Clean_Data'!$H$2:$H$1360,MATCH($A48,'2_Clean_Data'!$A$2:$A$1360,0))</f>
        <v>37</v>
      </c>
      <c r="H48" s="9" t="str">
        <f t="shared" si="1"/>
        <v>Low</v>
      </c>
      <c r="I48" s="9" t="str">
        <f t="shared" si="2"/>
        <v>OK</v>
      </c>
      <c r="J48" s="9" t="str">
        <f t="shared" si="3"/>
        <v>Standard</v>
      </c>
    </row>
    <row r="49" spans="1:10" x14ac:dyDescent="0.3">
      <c r="A49" s="10">
        <f>'2_Clean_Data'!A46</f>
        <v>45</v>
      </c>
      <c r="B49" s="10">
        <f>INDEX('2_Clean_Data'!$M$2:$M$1360,MATCH($A49,'2_Clean_Data'!$A$2:$A$1360,0))</f>
        <v>5</v>
      </c>
      <c r="C49" s="9" t="str">
        <f t="shared" si="0"/>
        <v>Average</v>
      </c>
      <c r="D49" s="11">
        <f>INDEX('2_Clean_Data'!$L$2:$L$1360,MATCH($A49,'2_Clean_Data'!$A$2:$A$1360,0))</f>
        <v>9.1999999999999993</v>
      </c>
      <c r="E49" s="9" t="str">
        <f>IF(D49&lt;'3_Summary_Tables'!$C$16,"Low",IF(D49&lt;'3_Summary_Tables'!$C$17,"Medium","High"))</f>
        <v>Low</v>
      </c>
      <c r="F49" s="12">
        <f>INDEX('2_Clean_Data'!$C$2:$C$1360,MATCH($A49,'2_Clean_Data'!$A$2:$A$1360,0))</f>
        <v>0.4</v>
      </c>
      <c r="G49" s="10">
        <f>INDEX('2_Clean_Data'!$H$2:$H$1360,MATCH($A49,'2_Clean_Data'!$A$2:$A$1360,0))</f>
        <v>12</v>
      </c>
      <c r="H49" s="9" t="str">
        <f t="shared" si="1"/>
        <v>Low</v>
      </c>
      <c r="I49" s="9" t="str">
        <f t="shared" si="2"/>
        <v>OK</v>
      </c>
      <c r="J49" s="9" t="str">
        <f t="shared" si="3"/>
        <v>Standard</v>
      </c>
    </row>
    <row r="50" spans="1:10" x14ac:dyDescent="0.3">
      <c r="A50" s="10">
        <f>'2_Clean_Data'!A47</f>
        <v>46</v>
      </c>
      <c r="B50" s="10">
        <f>INDEX('2_Clean_Data'!$M$2:$M$1360,MATCH($A50,'2_Clean_Data'!$A$2:$A$1360,0))</f>
        <v>5</v>
      </c>
      <c r="C50" s="9" t="str">
        <f t="shared" si="0"/>
        <v>Average</v>
      </c>
      <c r="D50" s="11">
        <f>INDEX('2_Clean_Data'!$L$2:$L$1360,MATCH($A50,'2_Clean_Data'!$A$2:$A$1360,0))</f>
        <v>9.1999999999999993</v>
      </c>
      <c r="E50" s="9" t="str">
        <f>IF(D50&lt;'3_Summary_Tables'!$C$16,"Low",IF(D50&lt;'3_Summary_Tables'!$C$17,"Medium","High"))</f>
        <v>Low</v>
      </c>
      <c r="F50" s="12">
        <f>INDEX('2_Clean_Data'!$C$2:$C$1360,MATCH($A50,'2_Clean_Data'!$A$2:$A$1360,0))</f>
        <v>0.31</v>
      </c>
      <c r="G50" s="10">
        <f>INDEX('2_Clean_Data'!$H$2:$H$1360,MATCH($A50,'2_Clean_Data'!$A$2:$A$1360,0))</f>
        <v>96</v>
      </c>
      <c r="H50" s="9" t="str">
        <f t="shared" si="1"/>
        <v>Moderate</v>
      </c>
      <c r="I50" s="9" t="str">
        <f t="shared" si="2"/>
        <v>OK</v>
      </c>
      <c r="J50" s="9" t="str">
        <f t="shared" si="3"/>
        <v>Standard</v>
      </c>
    </row>
    <row r="51" spans="1:10" x14ac:dyDescent="0.3">
      <c r="A51" s="10">
        <f>'2_Clean_Data'!A48</f>
        <v>47</v>
      </c>
      <c r="B51" s="10">
        <f>INDEX('2_Clean_Data'!$M$2:$M$1360,MATCH($A51,'2_Clean_Data'!$A$2:$A$1360,0))</f>
        <v>5</v>
      </c>
      <c r="C51" s="9" t="str">
        <f t="shared" si="0"/>
        <v>Average</v>
      </c>
      <c r="D51" s="11">
        <f>INDEX('2_Clean_Data'!$L$2:$L$1360,MATCH($A51,'2_Clean_Data'!$A$2:$A$1360,0))</f>
        <v>9.1999999999999993</v>
      </c>
      <c r="E51" s="9" t="str">
        <f>IF(D51&lt;'3_Summary_Tables'!$C$16,"Low",IF(D51&lt;'3_Summary_Tables'!$C$17,"Medium","High"))</f>
        <v>Low</v>
      </c>
      <c r="F51" s="12">
        <f>INDEX('2_Clean_Data'!$C$2:$C$1360,MATCH($A51,'2_Clean_Data'!$A$2:$A$1360,0))</f>
        <v>0.66</v>
      </c>
      <c r="G51" s="10">
        <f>INDEX('2_Clean_Data'!$H$2:$H$1360,MATCH($A51,'2_Clean_Data'!$A$2:$A$1360,0))</f>
        <v>23</v>
      </c>
      <c r="H51" s="9" t="str">
        <f t="shared" si="1"/>
        <v>Low</v>
      </c>
      <c r="I51" s="9" t="str">
        <f t="shared" si="2"/>
        <v>OK</v>
      </c>
      <c r="J51" s="9" t="str">
        <f t="shared" si="3"/>
        <v>Standard</v>
      </c>
    </row>
    <row r="52" spans="1:10" x14ac:dyDescent="0.3">
      <c r="A52" s="10">
        <f>'2_Clean_Data'!A49</f>
        <v>48</v>
      </c>
      <c r="B52" s="10">
        <f>INDEX('2_Clean_Data'!$M$2:$M$1360,MATCH($A52,'2_Clean_Data'!$A$2:$A$1360,0))</f>
        <v>6</v>
      </c>
      <c r="C52" s="9" t="str">
        <f t="shared" si="0"/>
        <v>Above Average</v>
      </c>
      <c r="D52" s="11">
        <f>INDEX('2_Clean_Data'!$L$2:$L$1360,MATCH($A52,'2_Clean_Data'!$A$2:$A$1360,0))</f>
        <v>9.4</v>
      </c>
      <c r="E52" s="9" t="str">
        <f>IF(D52&lt;'3_Summary_Tables'!$C$16,"Low",IF(D52&lt;'3_Summary_Tables'!$C$17,"Medium","High"))</f>
        <v>Low</v>
      </c>
      <c r="F52" s="12">
        <f>INDEX('2_Clean_Data'!$C$2:$C$1360,MATCH($A52,'2_Clean_Data'!$A$2:$A$1360,0))</f>
        <v>0.52</v>
      </c>
      <c r="G52" s="10">
        <f>INDEX('2_Clean_Data'!$H$2:$H$1360,MATCH($A52,'2_Clean_Data'!$A$2:$A$1360,0))</f>
        <v>15</v>
      </c>
      <c r="H52" s="9" t="str">
        <f t="shared" si="1"/>
        <v>Low</v>
      </c>
      <c r="I52" s="9" t="str">
        <f t="shared" si="2"/>
        <v>OK</v>
      </c>
      <c r="J52" s="9" t="str">
        <f t="shared" si="3"/>
        <v>Solid</v>
      </c>
    </row>
    <row r="53" spans="1:10" x14ac:dyDescent="0.3">
      <c r="A53" s="10">
        <f>'2_Clean_Data'!A50</f>
        <v>49</v>
      </c>
      <c r="B53" s="10">
        <f>INDEX('2_Clean_Data'!$M$2:$M$1360,MATCH($A53,'2_Clean_Data'!$A$2:$A$1360,0))</f>
        <v>6</v>
      </c>
      <c r="C53" s="9" t="str">
        <f t="shared" si="0"/>
        <v>Above Average</v>
      </c>
      <c r="D53" s="11">
        <f>INDEX('2_Clean_Data'!$L$2:$L$1360,MATCH($A53,'2_Clean_Data'!$A$2:$A$1360,0))</f>
        <v>9.4</v>
      </c>
      <c r="E53" s="9" t="str">
        <f>IF(D53&lt;'3_Summary_Tables'!$C$16,"Low",IF(D53&lt;'3_Summary_Tables'!$C$17,"Medium","High"))</f>
        <v>Low</v>
      </c>
      <c r="F53" s="12">
        <f>INDEX('2_Clean_Data'!$C$2:$C$1360,MATCH($A53,'2_Clean_Data'!$A$2:$A$1360,0))</f>
        <v>0.5</v>
      </c>
      <c r="G53" s="10">
        <f>INDEX('2_Clean_Data'!$H$2:$H$1360,MATCH($A53,'2_Clean_Data'!$A$2:$A$1360,0))</f>
        <v>14</v>
      </c>
      <c r="H53" s="9" t="str">
        <f t="shared" si="1"/>
        <v>Low</v>
      </c>
      <c r="I53" s="9" t="str">
        <f t="shared" si="2"/>
        <v>OK</v>
      </c>
      <c r="J53" s="9" t="str">
        <f t="shared" si="3"/>
        <v>Solid</v>
      </c>
    </row>
    <row r="54" spans="1:10" x14ac:dyDescent="0.3">
      <c r="A54" s="10">
        <f>'2_Clean_Data'!A51</f>
        <v>50</v>
      </c>
      <c r="B54" s="10">
        <f>INDEX('2_Clean_Data'!$M$2:$M$1360,MATCH($A54,'2_Clean_Data'!$A$2:$A$1360,0))</f>
        <v>5</v>
      </c>
      <c r="C54" s="9" t="str">
        <f t="shared" si="0"/>
        <v>Average</v>
      </c>
      <c r="D54" s="11">
        <f>INDEX('2_Clean_Data'!$L$2:$L$1360,MATCH($A54,'2_Clean_Data'!$A$2:$A$1360,0))</f>
        <v>9.4</v>
      </c>
      <c r="E54" s="9" t="str">
        <f>IF(D54&lt;'3_Summary_Tables'!$C$16,"Low",IF(D54&lt;'3_Summary_Tables'!$C$17,"Medium","High"))</f>
        <v>Low</v>
      </c>
      <c r="F54" s="12">
        <f>INDEX('2_Clean_Data'!$C$2:$C$1360,MATCH($A54,'2_Clean_Data'!$A$2:$A$1360,0))</f>
        <v>0.38</v>
      </c>
      <c r="G54" s="10">
        <f>INDEX('2_Clean_Data'!$H$2:$H$1360,MATCH($A54,'2_Clean_Data'!$A$2:$A$1360,0))</f>
        <v>119</v>
      </c>
      <c r="H54" s="9" t="str">
        <f t="shared" si="1"/>
        <v>High</v>
      </c>
      <c r="I54" s="9" t="str">
        <f t="shared" si="2"/>
        <v>OK</v>
      </c>
      <c r="J54" s="9" t="str">
        <f t="shared" si="3"/>
        <v>Standard</v>
      </c>
    </row>
    <row r="55" spans="1:10" x14ac:dyDescent="0.3">
      <c r="A55" s="10">
        <f>'2_Clean_Data'!A52</f>
        <v>51</v>
      </c>
      <c r="B55" s="10">
        <f>INDEX('2_Clean_Data'!$M$2:$M$1360,MATCH($A55,'2_Clean_Data'!$A$2:$A$1360,0))</f>
        <v>6</v>
      </c>
      <c r="C55" s="9" t="str">
        <f t="shared" si="0"/>
        <v>Above Average</v>
      </c>
      <c r="D55" s="11">
        <f>INDEX('2_Clean_Data'!$L$2:$L$1360,MATCH($A55,'2_Clean_Data'!$A$2:$A$1360,0))</f>
        <v>10.199999999999999</v>
      </c>
      <c r="E55" s="9" t="str">
        <f>IF(D55&lt;'3_Summary_Tables'!$C$16,"Low",IF(D55&lt;'3_Summary_Tables'!$C$17,"Medium","High"))</f>
        <v>Medium</v>
      </c>
      <c r="F55" s="12">
        <f>INDEX('2_Clean_Data'!$C$2:$C$1360,MATCH($A55,'2_Clean_Data'!$A$2:$A$1360,0))</f>
        <v>0.51</v>
      </c>
      <c r="G55" s="10">
        <f>INDEX('2_Clean_Data'!$H$2:$H$1360,MATCH($A55,'2_Clean_Data'!$A$2:$A$1360,0))</f>
        <v>73</v>
      </c>
      <c r="H55" s="9" t="str">
        <f t="shared" si="1"/>
        <v>Moderate</v>
      </c>
      <c r="I55" s="9" t="str">
        <f t="shared" si="2"/>
        <v>OK</v>
      </c>
      <c r="J55" s="9" t="str">
        <f t="shared" si="3"/>
        <v>Solid</v>
      </c>
    </row>
    <row r="56" spans="1:10" x14ac:dyDescent="0.3">
      <c r="A56" s="10">
        <f>'2_Clean_Data'!A53</f>
        <v>52</v>
      </c>
      <c r="B56" s="10">
        <f>INDEX('2_Clean_Data'!$M$2:$M$1360,MATCH($A56,'2_Clean_Data'!$A$2:$A$1360,0))</f>
        <v>5</v>
      </c>
      <c r="C56" s="9" t="str">
        <f t="shared" si="0"/>
        <v>Average</v>
      </c>
      <c r="D56" s="11">
        <f>INDEX('2_Clean_Data'!$L$2:$L$1360,MATCH($A56,'2_Clean_Data'!$A$2:$A$1360,0))</f>
        <v>9.5</v>
      </c>
      <c r="E56" s="9" t="str">
        <f>IF(D56&lt;'3_Summary_Tables'!$C$16,"Low",IF(D56&lt;'3_Summary_Tables'!$C$17,"Medium","High"))</f>
        <v>Low</v>
      </c>
      <c r="F56" s="12">
        <f>INDEX('2_Clean_Data'!$C$2:$C$1360,MATCH($A56,'2_Clean_Data'!$A$2:$A$1360,0))</f>
        <v>0.62</v>
      </c>
      <c r="G56" s="10">
        <f>INDEX('2_Clean_Data'!$H$2:$H$1360,MATCH($A56,'2_Clean_Data'!$A$2:$A$1360,0))</f>
        <v>45</v>
      </c>
      <c r="H56" s="9" t="str">
        <f t="shared" si="1"/>
        <v>Low</v>
      </c>
      <c r="I56" s="9" t="str">
        <f t="shared" si="2"/>
        <v>OK</v>
      </c>
      <c r="J56" s="9" t="str">
        <f t="shared" si="3"/>
        <v>Standard</v>
      </c>
    </row>
    <row r="57" spans="1:10" x14ac:dyDescent="0.3">
      <c r="A57" s="10">
        <f>'2_Clean_Data'!A54</f>
        <v>53</v>
      </c>
      <c r="B57" s="10">
        <f>INDEX('2_Clean_Data'!$M$2:$M$1360,MATCH($A57,'2_Clean_Data'!$A$2:$A$1360,0))</f>
        <v>5</v>
      </c>
      <c r="C57" s="9" t="str">
        <f t="shared" si="0"/>
        <v>Average</v>
      </c>
      <c r="D57" s="11">
        <f>INDEX('2_Clean_Data'!$L$2:$L$1360,MATCH($A57,'2_Clean_Data'!$A$2:$A$1360,0))</f>
        <v>9.6</v>
      </c>
      <c r="E57" s="9" t="str">
        <f>IF(D57&lt;'3_Summary_Tables'!$C$16,"Low",IF(D57&lt;'3_Summary_Tables'!$C$17,"Medium","High"))</f>
        <v>Low</v>
      </c>
      <c r="F57" s="12">
        <f>INDEX('2_Clean_Data'!$C$2:$C$1360,MATCH($A57,'2_Clean_Data'!$A$2:$A$1360,0))</f>
        <v>0.42</v>
      </c>
      <c r="G57" s="10">
        <f>INDEX('2_Clean_Data'!$H$2:$H$1360,MATCH($A57,'2_Clean_Data'!$A$2:$A$1360,0))</f>
        <v>10</v>
      </c>
      <c r="H57" s="9" t="str">
        <f t="shared" si="1"/>
        <v>Low</v>
      </c>
      <c r="I57" s="9" t="str">
        <f t="shared" si="2"/>
        <v>OK</v>
      </c>
      <c r="J57" s="9" t="str">
        <f t="shared" si="3"/>
        <v>Standard</v>
      </c>
    </row>
    <row r="58" spans="1:10" x14ac:dyDescent="0.3">
      <c r="A58" s="10">
        <f>'2_Clean_Data'!A55</f>
        <v>54</v>
      </c>
      <c r="B58" s="10">
        <f>INDEX('2_Clean_Data'!$M$2:$M$1360,MATCH($A58,'2_Clean_Data'!$A$2:$A$1360,0))</f>
        <v>5</v>
      </c>
      <c r="C58" s="9" t="str">
        <f t="shared" si="0"/>
        <v>Average</v>
      </c>
      <c r="D58" s="11">
        <f>INDEX('2_Clean_Data'!$L$2:$L$1360,MATCH($A58,'2_Clean_Data'!$A$2:$A$1360,0))</f>
        <v>9.4</v>
      </c>
      <c r="E58" s="9" t="str">
        <f>IF(D58&lt;'3_Summary_Tables'!$C$16,"Low",IF(D58&lt;'3_Summary_Tables'!$C$17,"Medium","High"))</f>
        <v>Low</v>
      </c>
      <c r="F58" s="12">
        <f>INDEX('2_Clean_Data'!$C$2:$C$1360,MATCH($A58,'2_Clean_Data'!$A$2:$A$1360,0))</f>
        <v>0.63</v>
      </c>
      <c r="G58" s="10">
        <f>INDEX('2_Clean_Data'!$H$2:$H$1360,MATCH($A58,'2_Clean_Data'!$A$2:$A$1360,0))</f>
        <v>110</v>
      </c>
      <c r="H58" s="9" t="str">
        <f t="shared" si="1"/>
        <v>High</v>
      </c>
      <c r="I58" s="9" t="str">
        <f t="shared" si="2"/>
        <v>OK</v>
      </c>
      <c r="J58" s="9" t="str">
        <f t="shared" si="3"/>
        <v>Standard</v>
      </c>
    </row>
    <row r="59" spans="1:10" x14ac:dyDescent="0.3">
      <c r="A59" s="10">
        <f>'2_Clean_Data'!A56</f>
        <v>55</v>
      </c>
      <c r="B59" s="10">
        <f>INDEX('2_Clean_Data'!$M$2:$M$1360,MATCH($A59,'2_Clean_Data'!$A$2:$A$1360,0))</f>
        <v>5</v>
      </c>
      <c r="C59" s="9" t="str">
        <f t="shared" si="0"/>
        <v>Average</v>
      </c>
      <c r="D59" s="11">
        <f>INDEX('2_Clean_Data'!$L$2:$L$1360,MATCH($A59,'2_Clean_Data'!$A$2:$A$1360,0))</f>
        <v>10</v>
      </c>
      <c r="E59" s="9" t="str">
        <f>IF(D59&lt;'3_Summary_Tables'!$C$16,"Low",IF(D59&lt;'3_Summary_Tables'!$C$17,"Medium","High"))</f>
        <v>Medium</v>
      </c>
      <c r="F59" s="12">
        <f>INDEX('2_Clean_Data'!$C$2:$C$1360,MATCH($A59,'2_Clean_Data'!$A$2:$A$1360,0))</f>
        <v>0.59</v>
      </c>
      <c r="G59" s="10">
        <f>INDEX('2_Clean_Data'!$H$2:$H$1360,MATCH($A59,'2_Clean_Data'!$A$2:$A$1360,0))</f>
        <v>54</v>
      </c>
      <c r="H59" s="9" t="str">
        <f t="shared" si="1"/>
        <v>Moderate</v>
      </c>
      <c r="I59" s="9" t="str">
        <f t="shared" si="2"/>
        <v>OK</v>
      </c>
      <c r="J59" s="9" t="str">
        <f t="shared" si="3"/>
        <v>Standard</v>
      </c>
    </row>
    <row r="60" spans="1:10" x14ac:dyDescent="0.3">
      <c r="A60" s="10">
        <f>'2_Clean_Data'!A57</f>
        <v>56</v>
      </c>
      <c r="B60" s="10">
        <f>INDEX('2_Clean_Data'!$M$2:$M$1360,MATCH($A60,'2_Clean_Data'!$A$2:$A$1360,0))</f>
        <v>6</v>
      </c>
      <c r="C60" s="9" t="str">
        <f t="shared" si="0"/>
        <v>Above Average</v>
      </c>
      <c r="D60" s="11">
        <f>INDEX('2_Clean_Data'!$L$2:$L$1360,MATCH($A60,'2_Clean_Data'!$A$2:$A$1360,0))</f>
        <v>9.4</v>
      </c>
      <c r="E60" s="9" t="str">
        <f>IF(D60&lt;'3_Summary_Tables'!$C$16,"Low",IF(D60&lt;'3_Summary_Tables'!$C$17,"Medium","High"))</f>
        <v>Low</v>
      </c>
      <c r="F60" s="12">
        <f>INDEX('2_Clean_Data'!$C$2:$C$1360,MATCH($A60,'2_Clean_Data'!$A$2:$A$1360,0))</f>
        <v>0.39</v>
      </c>
      <c r="G60" s="10">
        <f>INDEX('2_Clean_Data'!$H$2:$H$1360,MATCH($A60,'2_Clean_Data'!$A$2:$A$1360,0))</f>
        <v>46</v>
      </c>
      <c r="H60" s="9" t="str">
        <f t="shared" si="1"/>
        <v>Low</v>
      </c>
      <c r="I60" s="9" t="str">
        <f t="shared" si="2"/>
        <v>OK</v>
      </c>
      <c r="J60" s="9" t="str">
        <f t="shared" si="3"/>
        <v>Solid</v>
      </c>
    </row>
    <row r="61" spans="1:10" x14ac:dyDescent="0.3">
      <c r="A61" s="10">
        <f>'2_Clean_Data'!A58</f>
        <v>57</v>
      </c>
      <c r="B61" s="10">
        <f>INDEX('2_Clean_Data'!$M$2:$M$1360,MATCH($A61,'2_Clean_Data'!$A$2:$A$1360,0))</f>
        <v>5</v>
      </c>
      <c r="C61" s="9" t="str">
        <f t="shared" si="0"/>
        <v>Average</v>
      </c>
      <c r="D61" s="11">
        <f>INDEX('2_Clean_Data'!$L$2:$L$1360,MATCH($A61,'2_Clean_Data'!$A$2:$A$1360,0))</f>
        <v>9.1999999999999993</v>
      </c>
      <c r="E61" s="9" t="str">
        <f>IF(D61&lt;'3_Summary_Tables'!$C$16,"Low",IF(D61&lt;'3_Summary_Tables'!$C$17,"Medium","High"))</f>
        <v>Low</v>
      </c>
      <c r="F61" s="12">
        <f>INDEX('2_Clean_Data'!$C$2:$C$1360,MATCH($A61,'2_Clean_Data'!$A$2:$A$1360,0))</f>
        <v>0.4</v>
      </c>
      <c r="G61" s="10">
        <f>INDEX('2_Clean_Data'!$H$2:$H$1360,MATCH($A61,'2_Clean_Data'!$A$2:$A$1360,0))</f>
        <v>52</v>
      </c>
      <c r="H61" s="9" t="str">
        <f t="shared" si="1"/>
        <v>Moderate</v>
      </c>
      <c r="I61" s="9" t="str">
        <f t="shared" si="2"/>
        <v>OK</v>
      </c>
      <c r="J61" s="9" t="str">
        <f t="shared" si="3"/>
        <v>Standard</v>
      </c>
    </row>
    <row r="62" spans="1:10" x14ac:dyDescent="0.3">
      <c r="A62" s="10">
        <f>'2_Clean_Data'!A59</f>
        <v>58</v>
      </c>
      <c r="B62" s="10">
        <f>INDEX('2_Clean_Data'!$M$2:$M$1360,MATCH($A62,'2_Clean_Data'!$A$2:$A$1360,0))</f>
        <v>5</v>
      </c>
      <c r="C62" s="9" t="str">
        <f t="shared" si="0"/>
        <v>Average</v>
      </c>
      <c r="D62" s="11">
        <f>INDEX('2_Clean_Data'!$L$2:$L$1360,MATCH($A62,'2_Clean_Data'!$A$2:$A$1360,0))</f>
        <v>9.3000000000000007</v>
      </c>
      <c r="E62" s="9" t="str">
        <f>IF(D62&lt;'3_Summary_Tables'!$C$16,"Low",IF(D62&lt;'3_Summary_Tables'!$C$17,"Medium","High"))</f>
        <v>Low</v>
      </c>
      <c r="F62" s="12">
        <f>INDEX('2_Clean_Data'!$C$2:$C$1360,MATCH($A62,'2_Clean_Data'!$A$2:$A$1360,0))</f>
        <v>0.69</v>
      </c>
      <c r="G62" s="10">
        <f>INDEX('2_Clean_Data'!$H$2:$H$1360,MATCH($A62,'2_Clean_Data'!$A$2:$A$1360,0))</f>
        <v>112</v>
      </c>
      <c r="H62" s="9" t="str">
        <f t="shared" si="1"/>
        <v>High</v>
      </c>
      <c r="I62" s="9" t="str">
        <f t="shared" si="2"/>
        <v>OK</v>
      </c>
      <c r="J62" s="9" t="str">
        <f t="shared" si="3"/>
        <v>Standard</v>
      </c>
    </row>
    <row r="63" spans="1:10" x14ac:dyDescent="0.3">
      <c r="A63" s="10">
        <f>'2_Clean_Data'!A60</f>
        <v>59</v>
      </c>
      <c r="B63" s="10">
        <f>INDEX('2_Clean_Data'!$M$2:$M$1360,MATCH($A63,'2_Clean_Data'!$A$2:$A$1360,0))</f>
        <v>7</v>
      </c>
      <c r="C63" s="9" t="str">
        <f t="shared" si="0"/>
        <v>Good</v>
      </c>
      <c r="D63" s="11">
        <f>INDEX('2_Clean_Data'!$L$2:$L$1360,MATCH($A63,'2_Clean_Data'!$A$2:$A$1360,0))</f>
        <v>9.5</v>
      </c>
      <c r="E63" s="9" t="str">
        <f>IF(D63&lt;'3_Summary_Tables'!$C$16,"Low",IF(D63&lt;'3_Summary_Tables'!$C$17,"Medium","High"))</f>
        <v>Low</v>
      </c>
      <c r="F63" s="12">
        <f>INDEX('2_Clean_Data'!$C$2:$C$1360,MATCH($A63,'2_Clean_Data'!$A$2:$A$1360,0))</f>
        <v>0.52</v>
      </c>
      <c r="G63" s="10">
        <f>INDEX('2_Clean_Data'!$H$2:$H$1360,MATCH($A63,'2_Clean_Data'!$A$2:$A$1360,0))</f>
        <v>35</v>
      </c>
      <c r="H63" s="9" t="str">
        <f t="shared" si="1"/>
        <v>Low</v>
      </c>
      <c r="I63" s="9" t="str">
        <f t="shared" si="2"/>
        <v>OK</v>
      </c>
      <c r="J63" s="9" t="str">
        <f t="shared" si="3"/>
        <v>Solid</v>
      </c>
    </row>
    <row r="64" spans="1:10" x14ac:dyDescent="0.3">
      <c r="A64" s="10">
        <f>'2_Clean_Data'!A61</f>
        <v>60</v>
      </c>
      <c r="B64" s="10">
        <f>INDEX('2_Clean_Data'!$M$2:$M$1360,MATCH($A64,'2_Clean_Data'!$A$2:$A$1360,0))</f>
        <v>5</v>
      </c>
      <c r="C64" s="9" t="str">
        <f t="shared" si="0"/>
        <v>Average</v>
      </c>
      <c r="D64" s="11">
        <f>INDEX('2_Clean_Data'!$L$2:$L$1360,MATCH($A64,'2_Clean_Data'!$A$2:$A$1360,0))</f>
        <v>9.8000000000000007</v>
      </c>
      <c r="E64" s="9" t="str">
        <f>IF(D64&lt;'3_Summary_Tables'!$C$16,"Low",IF(D64&lt;'3_Summary_Tables'!$C$17,"Medium","High"))</f>
        <v>Low</v>
      </c>
      <c r="F64" s="12">
        <f>INDEX('2_Clean_Data'!$C$2:$C$1360,MATCH($A64,'2_Clean_Data'!$A$2:$A$1360,0))</f>
        <v>0.73499999999999999</v>
      </c>
      <c r="G64" s="10">
        <f>INDEX('2_Clean_Data'!$H$2:$H$1360,MATCH($A64,'2_Clean_Data'!$A$2:$A$1360,0))</f>
        <v>54</v>
      </c>
      <c r="H64" s="9" t="str">
        <f t="shared" si="1"/>
        <v>Moderate</v>
      </c>
      <c r="I64" s="9" t="str">
        <f t="shared" si="2"/>
        <v>Above limit</v>
      </c>
      <c r="J64" s="9" t="str">
        <f t="shared" si="3"/>
        <v>Standard</v>
      </c>
    </row>
    <row r="65" spans="1:10" x14ac:dyDescent="0.3">
      <c r="A65" s="10">
        <f>'2_Clean_Data'!A62</f>
        <v>61</v>
      </c>
      <c r="B65" s="10">
        <f>INDEX('2_Clean_Data'!$M$2:$M$1360,MATCH($A65,'2_Clean_Data'!$A$2:$A$1360,0))</f>
        <v>5</v>
      </c>
      <c r="C65" s="9" t="str">
        <f t="shared" si="0"/>
        <v>Average</v>
      </c>
      <c r="D65" s="11">
        <f>INDEX('2_Clean_Data'!$L$2:$L$1360,MATCH($A65,'2_Clean_Data'!$A$2:$A$1360,0))</f>
        <v>10.9</v>
      </c>
      <c r="E65" s="9" t="str">
        <f>IF(D65&lt;'3_Summary_Tables'!$C$16,"Low",IF(D65&lt;'3_Summary_Tables'!$C$17,"Medium","High"))</f>
        <v>Medium</v>
      </c>
      <c r="F65" s="12">
        <f>INDEX('2_Clean_Data'!$C$2:$C$1360,MATCH($A65,'2_Clean_Data'!$A$2:$A$1360,0))</f>
        <v>0.72499999999999998</v>
      </c>
      <c r="G65" s="10">
        <f>INDEX('2_Clean_Data'!$H$2:$H$1360,MATCH($A65,'2_Clean_Data'!$A$2:$A$1360,0))</f>
        <v>11</v>
      </c>
      <c r="H65" s="9" t="str">
        <f t="shared" si="1"/>
        <v>Low</v>
      </c>
      <c r="I65" s="9" t="str">
        <f t="shared" si="2"/>
        <v>Above limit</v>
      </c>
      <c r="J65" s="9" t="str">
        <f t="shared" si="3"/>
        <v>Standard</v>
      </c>
    </row>
    <row r="66" spans="1:10" x14ac:dyDescent="0.3">
      <c r="A66" s="10">
        <f>'2_Clean_Data'!A63</f>
        <v>62</v>
      </c>
      <c r="B66" s="10">
        <f>INDEX('2_Clean_Data'!$M$2:$M$1360,MATCH($A66,'2_Clean_Data'!$A$2:$A$1360,0))</f>
        <v>5</v>
      </c>
      <c r="C66" s="9" t="str">
        <f t="shared" si="0"/>
        <v>Average</v>
      </c>
      <c r="D66" s="11">
        <f>INDEX('2_Clean_Data'!$L$2:$L$1360,MATCH($A66,'2_Clean_Data'!$A$2:$A$1360,0))</f>
        <v>9.6</v>
      </c>
      <c r="E66" s="9" t="str">
        <f>IF(D66&lt;'3_Summary_Tables'!$C$16,"Low",IF(D66&lt;'3_Summary_Tables'!$C$17,"Medium","High"))</f>
        <v>Low</v>
      </c>
      <c r="F66" s="12">
        <f>INDEX('2_Clean_Data'!$C$2:$C$1360,MATCH($A66,'2_Clean_Data'!$A$2:$A$1360,0))</f>
        <v>0.52</v>
      </c>
      <c r="G66" s="10">
        <f>INDEX('2_Clean_Data'!$H$2:$H$1360,MATCH($A66,'2_Clean_Data'!$A$2:$A$1360,0))</f>
        <v>39</v>
      </c>
      <c r="H66" s="9" t="str">
        <f t="shared" si="1"/>
        <v>Low</v>
      </c>
      <c r="I66" s="9" t="str">
        <f t="shared" si="2"/>
        <v>OK</v>
      </c>
      <c r="J66" s="9" t="str">
        <f t="shared" si="3"/>
        <v>Standard</v>
      </c>
    </row>
    <row r="67" spans="1:10" x14ac:dyDescent="0.3">
      <c r="A67" s="10">
        <f>'2_Clean_Data'!A64</f>
        <v>63</v>
      </c>
      <c r="B67" s="10">
        <f>INDEX('2_Clean_Data'!$M$2:$M$1360,MATCH($A67,'2_Clean_Data'!$A$2:$A$1360,0))</f>
        <v>5</v>
      </c>
      <c r="C67" s="9" t="str">
        <f t="shared" si="0"/>
        <v>Average</v>
      </c>
      <c r="D67" s="11">
        <f>INDEX('2_Clean_Data'!$L$2:$L$1360,MATCH($A67,'2_Clean_Data'!$A$2:$A$1360,0))</f>
        <v>10.7</v>
      </c>
      <c r="E67" s="9" t="str">
        <f>IF(D67&lt;'3_Summary_Tables'!$C$16,"Low",IF(D67&lt;'3_Summary_Tables'!$C$17,"Medium","High"))</f>
        <v>Medium</v>
      </c>
      <c r="F67" s="12">
        <f>INDEX('2_Clean_Data'!$C$2:$C$1360,MATCH($A67,'2_Clean_Data'!$A$2:$A$1360,0))</f>
        <v>0.70499999999999996</v>
      </c>
      <c r="G67" s="10">
        <f>INDEX('2_Clean_Data'!$H$2:$H$1360,MATCH($A67,'2_Clean_Data'!$A$2:$A$1360,0))</f>
        <v>15</v>
      </c>
      <c r="H67" s="9" t="str">
        <f t="shared" si="1"/>
        <v>Low</v>
      </c>
      <c r="I67" s="9" t="str">
        <f t="shared" si="2"/>
        <v>Above limit</v>
      </c>
      <c r="J67" s="9" t="str">
        <f t="shared" si="3"/>
        <v>Standard</v>
      </c>
    </row>
    <row r="68" spans="1:10" x14ac:dyDescent="0.3">
      <c r="A68" s="10">
        <f>'2_Clean_Data'!A65</f>
        <v>64</v>
      </c>
      <c r="B68" s="10">
        <f>INDEX('2_Clean_Data'!$M$2:$M$1360,MATCH($A68,'2_Clean_Data'!$A$2:$A$1360,0))</f>
        <v>5</v>
      </c>
      <c r="C68" s="9" t="str">
        <f t="shared" si="0"/>
        <v>Average</v>
      </c>
      <c r="D68" s="11">
        <f>INDEX('2_Clean_Data'!$L$2:$L$1360,MATCH($A68,'2_Clean_Data'!$A$2:$A$1360,0))</f>
        <v>10.7</v>
      </c>
      <c r="E68" s="9" t="str">
        <f>IF(D68&lt;'3_Summary_Tables'!$C$16,"Low",IF(D68&lt;'3_Summary_Tables'!$C$17,"Medium","High"))</f>
        <v>Medium</v>
      </c>
      <c r="F68" s="12">
        <f>INDEX('2_Clean_Data'!$C$2:$C$1360,MATCH($A68,'2_Clean_Data'!$A$2:$A$1360,0))</f>
        <v>0.32</v>
      </c>
      <c r="G68" s="10">
        <f>INDEX('2_Clean_Data'!$H$2:$H$1360,MATCH($A68,'2_Clean_Data'!$A$2:$A$1360,0))</f>
        <v>65</v>
      </c>
      <c r="H68" s="9" t="str">
        <f t="shared" si="1"/>
        <v>Moderate</v>
      </c>
      <c r="I68" s="9" t="str">
        <f t="shared" si="2"/>
        <v>OK</v>
      </c>
      <c r="J68" s="9" t="str">
        <f t="shared" si="3"/>
        <v>Standard</v>
      </c>
    </row>
    <row r="69" spans="1:10" x14ac:dyDescent="0.3">
      <c r="A69" s="10">
        <f>'2_Clean_Data'!A66</f>
        <v>65</v>
      </c>
      <c r="B69" s="10">
        <f>INDEX('2_Clean_Data'!$M$2:$M$1360,MATCH($A69,'2_Clean_Data'!$A$2:$A$1360,0))</f>
        <v>6</v>
      </c>
      <c r="C69" s="9" t="str">
        <f t="shared" ref="C69:C132" si="4">VLOOKUP(B69,$L$12:$N$17,2,FALSE())</f>
        <v>Above Average</v>
      </c>
      <c r="D69" s="11">
        <f>INDEX('2_Clean_Data'!$L$2:$L$1360,MATCH($A69,'2_Clean_Data'!$A$2:$A$1360,0))</f>
        <v>10.5</v>
      </c>
      <c r="E69" s="9" t="str">
        <f>IF(D69&lt;'3_Summary_Tables'!$C$16,"Low",IF(D69&lt;'3_Summary_Tables'!$C$17,"Medium","High"))</f>
        <v>Medium</v>
      </c>
      <c r="F69" s="12">
        <f>INDEX('2_Clean_Data'!$C$2:$C$1360,MATCH($A69,'2_Clean_Data'!$A$2:$A$1360,0))</f>
        <v>0.70499999999999996</v>
      </c>
      <c r="G69" s="10">
        <f>INDEX('2_Clean_Data'!$H$2:$H$1360,MATCH($A69,'2_Clean_Data'!$A$2:$A$1360,0))</f>
        <v>19</v>
      </c>
      <c r="H69" s="9" t="str">
        <f t="shared" ref="H69:H132" si="5">IF(G69&gt;$M$8,"High",IF(G69&gt;$M$7,"Moderate","Low"))</f>
        <v>Low</v>
      </c>
      <c r="I69" s="9" t="str">
        <f t="shared" ref="I69:I132" si="6">IF(F69&gt;$M$6,"Above limit","OK")</f>
        <v>Above limit</v>
      </c>
      <c r="J69" s="9" t="str">
        <f t="shared" ref="J69:J132" si="7">IF(AND(B69&gt;=7,E69="High"),"Premium",IF(AND(B69&gt;=6,I69="OK"),"Solid",IF(B69&lt;=4,"Poor","Standard")))</f>
        <v>Standard</v>
      </c>
    </row>
    <row r="70" spans="1:10" x14ac:dyDescent="0.3">
      <c r="A70" s="10">
        <f>'2_Clean_Data'!A67</f>
        <v>66</v>
      </c>
      <c r="B70" s="10">
        <f>INDEX('2_Clean_Data'!$M$2:$M$1360,MATCH($A70,'2_Clean_Data'!$A$2:$A$1360,0))</f>
        <v>6</v>
      </c>
      <c r="C70" s="9" t="str">
        <f t="shared" si="4"/>
        <v>Above Average</v>
      </c>
      <c r="D70" s="11">
        <f>INDEX('2_Clean_Data'!$L$2:$L$1360,MATCH($A70,'2_Clean_Data'!$A$2:$A$1360,0))</f>
        <v>9.5</v>
      </c>
      <c r="E70" s="9" t="str">
        <f>IF(D70&lt;'3_Summary_Tables'!$C$16,"Low",IF(D70&lt;'3_Summary_Tables'!$C$17,"Medium","High"))</f>
        <v>Low</v>
      </c>
      <c r="F70" s="12">
        <f>INDEX('2_Clean_Data'!$C$2:$C$1360,MATCH($A70,'2_Clean_Data'!$A$2:$A$1360,0))</f>
        <v>0.63</v>
      </c>
      <c r="G70" s="10">
        <f>INDEX('2_Clean_Data'!$H$2:$H$1360,MATCH($A70,'2_Clean_Data'!$A$2:$A$1360,0))</f>
        <v>27</v>
      </c>
      <c r="H70" s="9" t="str">
        <f t="shared" si="5"/>
        <v>Low</v>
      </c>
      <c r="I70" s="9" t="str">
        <f t="shared" si="6"/>
        <v>OK</v>
      </c>
      <c r="J70" s="9" t="str">
        <f t="shared" si="7"/>
        <v>Solid</v>
      </c>
    </row>
    <row r="71" spans="1:10" x14ac:dyDescent="0.3">
      <c r="A71" s="10">
        <f>'2_Clean_Data'!A68</f>
        <v>67</v>
      </c>
      <c r="B71" s="10">
        <f>INDEX('2_Clean_Data'!$M$2:$M$1360,MATCH($A71,'2_Clean_Data'!$A$2:$A$1360,0))</f>
        <v>5</v>
      </c>
      <c r="C71" s="9" t="str">
        <f t="shared" si="4"/>
        <v>Average</v>
      </c>
      <c r="D71" s="11">
        <f>INDEX('2_Clean_Data'!$L$2:$L$1360,MATCH($A71,'2_Clean_Data'!$A$2:$A$1360,0))</f>
        <v>9.5</v>
      </c>
      <c r="E71" s="9" t="str">
        <f>IF(D71&lt;'3_Summary_Tables'!$C$16,"Low",IF(D71&lt;'3_Summary_Tables'!$C$17,"Medium","High"))</f>
        <v>Low</v>
      </c>
      <c r="F71" s="12">
        <f>INDEX('2_Clean_Data'!$C$2:$C$1360,MATCH($A71,'2_Clean_Data'!$A$2:$A$1360,0))</f>
        <v>0.67</v>
      </c>
      <c r="G71" s="10">
        <f>INDEX('2_Clean_Data'!$H$2:$H$1360,MATCH($A71,'2_Clean_Data'!$A$2:$A$1360,0))</f>
        <v>96</v>
      </c>
      <c r="H71" s="9" t="str">
        <f t="shared" si="5"/>
        <v>Moderate</v>
      </c>
      <c r="I71" s="9" t="str">
        <f t="shared" si="6"/>
        <v>OK</v>
      </c>
      <c r="J71" s="9" t="str">
        <f t="shared" si="7"/>
        <v>Standard</v>
      </c>
    </row>
    <row r="72" spans="1:10" x14ac:dyDescent="0.3">
      <c r="A72" s="10">
        <f>'2_Clean_Data'!A69</f>
        <v>68</v>
      </c>
      <c r="B72" s="10">
        <f>INDEX('2_Clean_Data'!$M$2:$M$1360,MATCH($A72,'2_Clean_Data'!$A$2:$A$1360,0))</f>
        <v>5</v>
      </c>
      <c r="C72" s="9" t="str">
        <f t="shared" si="4"/>
        <v>Average</v>
      </c>
      <c r="D72" s="11">
        <f>INDEX('2_Clean_Data'!$L$2:$L$1360,MATCH($A72,'2_Clean_Data'!$A$2:$A$1360,0))</f>
        <v>9.5</v>
      </c>
      <c r="E72" s="9" t="str">
        <f>IF(D72&lt;'3_Summary_Tables'!$C$16,"Low",IF(D72&lt;'3_Summary_Tables'!$C$17,"Medium","High"))</f>
        <v>Low</v>
      </c>
      <c r="F72" s="12">
        <f>INDEX('2_Clean_Data'!$C$2:$C$1360,MATCH($A72,'2_Clean_Data'!$A$2:$A$1360,0))</f>
        <v>0.69</v>
      </c>
      <c r="G72" s="10">
        <f>INDEX('2_Clean_Data'!$H$2:$H$1360,MATCH($A72,'2_Clean_Data'!$A$2:$A$1360,0))</f>
        <v>94</v>
      </c>
      <c r="H72" s="9" t="str">
        <f t="shared" si="5"/>
        <v>Moderate</v>
      </c>
      <c r="I72" s="9" t="str">
        <f t="shared" si="6"/>
        <v>OK</v>
      </c>
      <c r="J72" s="9" t="str">
        <f t="shared" si="7"/>
        <v>Standard</v>
      </c>
    </row>
    <row r="73" spans="1:10" x14ac:dyDescent="0.3">
      <c r="A73" s="10">
        <f>'2_Clean_Data'!A70</f>
        <v>69</v>
      </c>
      <c r="B73" s="10">
        <f>INDEX('2_Clean_Data'!$M$2:$M$1360,MATCH($A73,'2_Clean_Data'!$A$2:$A$1360,0))</f>
        <v>4</v>
      </c>
      <c r="C73" s="9" t="str">
        <f t="shared" si="4"/>
        <v>Poor</v>
      </c>
      <c r="D73" s="11">
        <f>INDEX('2_Clean_Data'!$L$2:$L$1360,MATCH($A73,'2_Clean_Data'!$A$2:$A$1360,0))</f>
        <v>9.1999999999999993</v>
      </c>
      <c r="E73" s="9" t="str">
        <f>IF(D73&lt;'3_Summary_Tables'!$C$16,"Low",IF(D73&lt;'3_Summary_Tables'!$C$17,"Medium","High"))</f>
        <v>Low</v>
      </c>
      <c r="F73" s="12">
        <f>INDEX('2_Clean_Data'!$C$2:$C$1360,MATCH($A73,'2_Clean_Data'!$A$2:$A$1360,0))</f>
        <v>0.67500000000000004</v>
      </c>
      <c r="G73" s="10">
        <f>INDEX('2_Clean_Data'!$H$2:$H$1360,MATCH($A73,'2_Clean_Data'!$A$2:$A$1360,0))</f>
        <v>43</v>
      </c>
      <c r="H73" s="9" t="str">
        <f t="shared" si="5"/>
        <v>Low</v>
      </c>
      <c r="I73" s="9" t="str">
        <f t="shared" si="6"/>
        <v>OK</v>
      </c>
      <c r="J73" s="9" t="str">
        <f t="shared" si="7"/>
        <v>Poor</v>
      </c>
    </row>
    <row r="74" spans="1:10" x14ac:dyDescent="0.3">
      <c r="A74" s="10">
        <f>'2_Clean_Data'!A71</f>
        <v>70</v>
      </c>
      <c r="B74" s="10">
        <f>INDEX('2_Clean_Data'!$M$2:$M$1360,MATCH($A74,'2_Clean_Data'!$A$2:$A$1360,0))</f>
        <v>5</v>
      </c>
      <c r="C74" s="9" t="str">
        <f t="shared" si="4"/>
        <v>Average</v>
      </c>
      <c r="D74" s="11">
        <f>INDEX('2_Clean_Data'!$L$2:$L$1360,MATCH($A74,'2_Clean_Data'!$A$2:$A$1360,0))</f>
        <v>9.6</v>
      </c>
      <c r="E74" s="9" t="str">
        <f>IF(D74&lt;'3_Summary_Tables'!$C$16,"Low",IF(D74&lt;'3_Summary_Tables'!$C$17,"Medium","High"))</f>
        <v>Low</v>
      </c>
      <c r="F74" s="12">
        <f>INDEX('2_Clean_Data'!$C$2:$C$1360,MATCH($A74,'2_Clean_Data'!$A$2:$A$1360,0))</f>
        <v>0.32</v>
      </c>
      <c r="G74" s="10">
        <f>INDEX('2_Clean_Data'!$H$2:$H$1360,MATCH($A74,'2_Clean_Data'!$A$2:$A$1360,0))</f>
        <v>83</v>
      </c>
      <c r="H74" s="9" t="str">
        <f t="shared" si="5"/>
        <v>Moderate</v>
      </c>
      <c r="I74" s="9" t="str">
        <f t="shared" si="6"/>
        <v>OK</v>
      </c>
      <c r="J74" s="9" t="str">
        <f t="shared" si="7"/>
        <v>Standard</v>
      </c>
    </row>
    <row r="75" spans="1:10" x14ac:dyDescent="0.3">
      <c r="A75" s="10">
        <f>'2_Clean_Data'!A72</f>
        <v>71</v>
      </c>
      <c r="B75" s="10">
        <f>INDEX('2_Clean_Data'!$M$2:$M$1360,MATCH($A75,'2_Clean_Data'!$A$2:$A$1360,0))</f>
        <v>5</v>
      </c>
      <c r="C75" s="9" t="str">
        <f t="shared" si="4"/>
        <v>Average</v>
      </c>
      <c r="D75" s="11">
        <f>INDEX('2_Clean_Data'!$L$2:$L$1360,MATCH($A75,'2_Clean_Data'!$A$2:$A$1360,0))</f>
        <v>10.5</v>
      </c>
      <c r="E75" s="9" t="str">
        <f>IF(D75&lt;'3_Summary_Tables'!$C$16,"Low",IF(D75&lt;'3_Summary_Tables'!$C$17,"Medium","High"))</f>
        <v>Medium</v>
      </c>
      <c r="F75" s="12">
        <f>INDEX('2_Clean_Data'!$C$2:$C$1360,MATCH($A75,'2_Clean_Data'!$A$2:$A$1360,0))</f>
        <v>0.41</v>
      </c>
      <c r="G75" s="10">
        <f>INDEX('2_Clean_Data'!$H$2:$H$1360,MATCH($A75,'2_Clean_Data'!$A$2:$A$1360,0))</f>
        <v>42</v>
      </c>
      <c r="H75" s="9" t="str">
        <f t="shared" si="5"/>
        <v>Low</v>
      </c>
      <c r="I75" s="9" t="str">
        <f t="shared" si="6"/>
        <v>OK</v>
      </c>
      <c r="J75" s="9" t="str">
        <f t="shared" si="7"/>
        <v>Standard</v>
      </c>
    </row>
    <row r="76" spans="1:10" x14ac:dyDescent="0.3">
      <c r="A76" s="10">
        <f>'2_Clean_Data'!A73</f>
        <v>72</v>
      </c>
      <c r="B76" s="10">
        <f>INDEX('2_Clean_Data'!$M$2:$M$1360,MATCH($A76,'2_Clean_Data'!$A$2:$A$1360,0))</f>
        <v>6</v>
      </c>
      <c r="C76" s="9" t="str">
        <f t="shared" si="4"/>
        <v>Above Average</v>
      </c>
      <c r="D76" s="11">
        <f>INDEX('2_Clean_Data'!$L$2:$L$1360,MATCH($A76,'2_Clean_Data'!$A$2:$A$1360,0))</f>
        <v>10.7</v>
      </c>
      <c r="E76" s="9" t="str">
        <f>IF(D76&lt;'3_Summary_Tables'!$C$16,"Low",IF(D76&lt;'3_Summary_Tables'!$C$17,"Medium","High"))</f>
        <v>Medium</v>
      </c>
      <c r="F76" s="12">
        <f>INDEX('2_Clean_Data'!$C$2:$C$1360,MATCH($A76,'2_Clean_Data'!$A$2:$A$1360,0))</f>
        <v>0.78500000000000003</v>
      </c>
      <c r="G76" s="10">
        <f>INDEX('2_Clean_Data'!$H$2:$H$1360,MATCH($A76,'2_Clean_Data'!$A$2:$A$1360,0))</f>
        <v>30</v>
      </c>
      <c r="H76" s="9" t="str">
        <f t="shared" si="5"/>
        <v>Low</v>
      </c>
      <c r="I76" s="9" t="str">
        <f t="shared" si="6"/>
        <v>Above limit</v>
      </c>
      <c r="J76" s="9" t="str">
        <f t="shared" si="7"/>
        <v>Standard</v>
      </c>
    </row>
    <row r="77" spans="1:10" x14ac:dyDescent="0.3">
      <c r="A77" s="10">
        <f>'2_Clean_Data'!A74</f>
        <v>73</v>
      </c>
      <c r="B77" s="10">
        <f>INDEX('2_Clean_Data'!$M$2:$M$1360,MATCH($A77,'2_Clean_Data'!$A$2:$A$1360,0))</f>
        <v>5</v>
      </c>
      <c r="C77" s="9" t="str">
        <f t="shared" si="4"/>
        <v>Average</v>
      </c>
      <c r="D77" s="11">
        <f>INDEX('2_Clean_Data'!$L$2:$L$1360,MATCH($A77,'2_Clean_Data'!$A$2:$A$1360,0))</f>
        <v>10.1</v>
      </c>
      <c r="E77" s="9" t="str">
        <f>IF(D77&lt;'3_Summary_Tables'!$C$16,"Low",IF(D77&lt;'3_Summary_Tables'!$C$17,"Medium","High"))</f>
        <v>Medium</v>
      </c>
      <c r="F77" s="12">
        <f>INDEX('2_Clean_Data'!$C$2:$C$1360,MATCH($A77,'2_Clean_Data'!$A$2:$A$1360,0))</f>
        <v>0.75</v>
      </c>
      <c r="G77" s="10">
        <f>INDEX('2_Clean_Data'!$H$2:$H$1360,MATCH($A77,'2_Clean_Data'!$A$2:$A$1360,0))</f>
        <v>80</v>
      </c>
      <c r="H77" s="9" t="str">
        <f t="shared" si="5"/>
        <v>Moderate</v>
      </c>
      <c r="I77" s="9" t="str">
        <f t="shared" si="6"/>
        <v>Above limit</v>
      </c>
      <c r="J77" s="9" t="str">
        <f t="shared" si="7"/>
        <v>Standard</v>
      </c>
    </row>
    <row r="78" spans="1:10" x14ac:dyDescent="0.3">
      <c r="A78" s="10">
        <f>'2_Clean_Data'!A75</f>
        <v>74</v>
      </c>
      <c r="B78" s="10">
        <f>INDEX('2_Clean_Data'!$M$2:$M$1360,MATCH($A78,'2_Clean_Data'!$A$2:$A$1360,0))</f>
        <v>4</v>
      </c>
      <c r="C78" s="9" t="str">
        <f t="shared" si="4"/>
        <v>Poor</v>
      </c>
      <c r="D78" s="11">
        <f>INDEX('2_Clean_Data'!$L$2:$L$1360,MATCH($A78,'2_Clean_Data'!$A$2:$A$1360,0))</f>
        <v>9.1</v>
      </c>
      <c r="E78" s="9" t="str">
        <f>IF(D78&lt;'3_Summary_Tables'!$C$16,"Low",IF(D78&lt;'3_Summary_Tables'!$C$17,"Medium","High"))</f>
        <v>Low</v>
      </c>
      <c r="F78" s="12">
        <f>INDEX('2_Clean_Data'!$C$2:$C$1360,MATCH($A78,'2_Clean_Data'!$A$2:$A$1360,0))</f>
        <v>0.625</v>
      </c>
      <c r="G78" s="10">
        <f>INDEX('2_Clean_Data'!$H$2:$H$1360,MATCH($A78,'2_Clean_Data'!$A$2:$A$1360,0))</f>
        <v>119</v>
      </c>
      <c r="H78" s="9" t="str">
        <f t="shared" si="5"/>
        <v>High</v>
      </c>
      <c r="I78" s="9" t="str">
        <f t="shared" si="6"/>
        <v>OK</v>
      </c>
      <c r="J78" s="9" t="str">
        <f t="shared" si="7"/>
        <v>Poor</v>
      </c>
    </row>
    <row r="79" spans="1:10" x14ac:dyDescent="0.3">
      <c r="A79" s="10">
        <f>'2_Clean_Data'!A76</f>
        <v>75</v>
      </c>
      <c r="B79" s="10">
        <f>INDEX('2_Clean_Data'!$M$2:$M$1360,MATCH($A79,'2_Clean_Data'!$A$2:$A$1360,0))</f>
        <v>5</v>
      </c>
      <c r="C79" s="9" t="str">
        <f t="shared" si="4"/>
        <v>Average</v>
      </c>
      <c r="D79" s="11">
        <f>INDEX('2_Clean_Data'!$L$2:$L$1360,MATCH($A79,'2_Clean_Data'!$A$2:$A$1360,0))</f>
        <v>9.1999999999999993</v>
      </c>
      <c r="E79" s="9" t="str">
        <f>IF(D79&lt;'3_Summary_Tables'!$C$16,"Low",IF(D79&lt;'3_Summary_Tables'!$C$17,"Medium","High"))</f>
        <v>Low</v>
      </c>
      <c r="F79" s="12">
        <f>INDEX('2_Clean_Data'!$C$2:$C$1360,MATCH($A79,'2_Clean_Data'!$A$2:$A$1360,0))</f>
        <v>0.45</v>
      </c>
      <c r="G79" s="10">
        <f>INDEX('2_Clean_Data'!$H$2:$H$1360,MATCH($A79,'2_Clean_Data'!$A$2:$A$1360,0))</f>
        <v>15</v>
      </c>
      <c r="H79" s="9" t="str">
        <f t="shared" si="5"/>
        <v>Low</v>
      </c>
      <c r="I79" s="9" t="str">
        <f t="shared" si="6"/>
        <v>OK</v>
      </c>
      <c r="J79" s="9" t="str">
        <f t="shared" si="7"/>
        <v>Standard</v>
      </c>
    </row>
    <row r="80" spans="1:10" x14ac:dyDescent="0.3">
      <c r="A80" s="10">
        <f>'2_Clean_Data'!A77</f>
        <v>76</v>
      </c>
      <c r="B80" s="10">
        <f>INDEX('2_Clean_Data'!$M$2:$M$1360,MATCH($A80,'2_Clean_Data'!$A$2:$A$1360,0))</f>
        <v>5</v>
      </c>
      <c r="C80" s="9" t="str">
        <f t="shared" si="4"/>
        <v>Average</v>
      </c>
      <c r="D80" s="11">
        <f>INDEX('2_Clean_Data'!$L$2:$L$1360,MATCH($A80,'2_Clean_Data'!$A$2:$A$1360,0))</f>
        <v>9.4</v>
      </c>
      <c r="E80" s="9" t="str">
        <f>IF(D80&lt;'3_Summary_Tables'!$C$16,"Low",IF(D80&lt;'3_Summary_Tables'!$C$17,"Medium","High"))</f>
        <v>Low</v>
      </c>
      <c r="F80" s="12">
        <f>INDEX('2_Clean_Data'!$C$2:$C$1360,MATCH($A80,'2_Clean_Data'!$A$2:$A$1360,0))</f>
        <v>0.43</v>
      </c>
      <c r="G80" s="10">
        <f>INDEX('2_Clean_Data'!$H$2:$H$1360,MATCH($A80,'2_Clean_Data'!$A$2:$A$1360,0))</f>
        <v>67</v>
      </c>
      <c r="H80" s="9" t="str">
        <f t="shared" si="5"/>
        <v>Moderate</v>
      </c>
      <c r="I80" s="9" t="str">
        <f t="shared" si="6"/>
        <v>OK</v>
      </c>
      <c r="J80" s="9" t="str">
        <f t="shared" si="7"/>
        <v>Standard</v>
      </c>
    </row>
    <row r="81" spans="1:10" x14ac:dyDescent="0.3">
      <c r="A81" s="10">
        <f>'2_Clean_Data'!A78</f>
        <v>77</v>
      </c>
      <c r="B81" s="10">
        <f>INDEX('2_Clean_Data'!$M$2:$M$1360,MATCH($A81,'2_Clean_Data'!$A$2:$A$1360,0))</f>
        <v>5</v>
      </c>
      <c r="C81" s="9" t="str">
        <f t="shared" si="4"/>
        <v>Average</v>
      </c>
      <c r="D81" s="11">
        <f>INDEX('2_Clean_Data'!$L$2:$L$1360,MATCH($A81,'2_Clean_Data'!$A$2:$A$1360,0))</f>
        <v>9.1</v>
      </c>
      <c r="E81" s="9" t="str">
        <f>IF(D81&lt;'3_Summary_Tables'!$C$16,"Low",IF(D81&lt;'3_Summary_Tables'!$C$17,"Medium","High"))</f>
        <v>Low</v>
      </c>
      <c r="F81" s="12">
        <f>INDEX('2_Clean_Data'!$C$2:$C$1360,MATCH($A81,'2_Clean_Data'!$A$2:$A$1360,0))</f>
        <v>0.5</v>
      </c>
      <c r="G81" s="10">
        <f>INDEX('2_Clean_Data'!$H$2:$H$1360,MATCH($A81,'2_Clean_Data'!$A$2:$A$1360,0))</f>
        <v>73</v>
      </c>
      <c r="H81" s="9" t="str">
        <f t="shared" si="5"/>
        <v>Moderate</v>
      </c>
      <c r="I81" s="9" t="str">
        <f t="shared" si="6"/>
        <v>OK</v>
      </c>
      <c r="J81" s="9" t="str">
        <f t="shared" si="7"/>
        <v>Standard</v>
      </c>
    </row>
    <row r="82" spans="1:10" x14ac:dyDescent="0.3">
      <c r="A82" s="10">
        <f>'2_Clean_Data'!A79</f>
        <v>78</v>
      </c>
      <c r="B82" s="10">
        <f>INDEX('2_Clean_Data'!$M$2:$M$1360,MATCH($A82,'2_Clean_Data'!$A$2:$A$1360,0))</f>
        <v>5</v>
      </c>
      <c r="C82" s="9" t="str">
        <f t="shared" si="4"/>
        <v>Average</v>
      </c>
      <c r="D82" s="11">
        <f>INDEX('2_Clean_Data'!$L$2:$L$1360,MATCH($A82,'2_Clean_Data'!$A$2:$A$1360,0))</f>
        <v>9.4</v>
      </c>
      <c r="E82" s="9" t="str">
        <f>IF(D82&lt;'3_Summary_Tables'!$C$16,"Low",IF(D82&lt;'3_Summary_Tables'!$C$17,"Medium","High"))</f>
        <v>Low</v>
      </c>
      <c r="F82" s="12">
        <f>INDEX('2_Clean_Data'!$C$2:$C$1360,MATCH($A82,'2_Clean_Data'!$A$2:$A$1360,0))</f>
        <v>0.67</v>
      </c>
      <c r="G82" s="10">
        <f>INDEX('2_Clean_Data'!$H$2:$H$1360,MATCH($A82,'2_Clean_Data'!$A$2:$A$1360,0))</f>
        <v>51</v>
      </c>
      <c r="H82" s="9" t="str">
        <f t="shared" si="5"/>
        <v>Moderate</v>
      </c>
      <c r="I82" s="9" t="str">
        <f t="shared" si="6"/>
        <v>OK</v>
      </c>
      <c r="J82" s="9" t="str">
        <f t="shared" si="7"/>
        <v>Standard</v>
      </c>
    </row>
    <row r="83" spans="1:10" x14ac:dyDescent="0.3">
      <c r="A83" s="10">
        <f>'2_Clean_Data'!A80</f>
        <v>79</v>
      </c>
      <c r="B83" s="10">
        <f>INDEX('2_Clean_Data'!$M$2:$M$1360,MATCH($A83,'2_Clean_Data'!$A$2:$A$1360,0))</f>
        <v>6</v>
      </c>
      <c r="C83" s="9" t="str">
        <f t="shared" si="4"/>
        <v>Above Average</v>
      </c>
      <c r="D83" s="11">
        <f>INDEX('2_Clean_Data'!$L$2:$L$1360,MATCH($A83,'2_Clean_Data'!$A$2:$A$1360,0))</f>
        <v>10.3</v>
      </c>
      <c r="E83" s="9" t="str">
        <f>IF(D83&lt;'3_Summary_Tables'!$C$16,"Low",IF(D83&lt;'3_Summary_Tables'!$C$17,"Medium","High"))</f>
        <v>Medium</v>
      </c>
      <c r="F83" s="12">
        <f>INDEX('2_Clean_Data'!$C$2:$C$1360,MATCH($A83,'2_Clean_Data'!$A$2:$A$1360,0))</f>
        <v>0.3</v>
      </c>
      <c r="G83" s="10">
        <f>INDEX('2_Clean_Data'!$H$2:$H$1360,MATCH($A83,'2_Clean_Data'!$A$2:$A$1360,0))</f>
        <v>61</v>
      </c>
      <c r="H83" s="9" t="str">
        <f t="shared" si="5"/>
        <v>Moderate</v>
      </c>
      <c r="I83" s="9" t="str">
        <f t="shared" si="6"/>
        <v>OK</v>
      </c>
      <c r="J83" s="9" t="str">
        <f t="shared" si="7"/>
        <v>Solid</v>
      </c>
    </row>
    <row r="84" spans="1:10" x14ac:dyDescent="0.3">
      <c r="A84" s="10">
        <f>'2_Clean_Data'!A81</f>
        <v>80</v>
      </c>
      <c r="B84" s="10">
        <f>INDEX('2_Clean_Data'!$M$2:$M$1360,MATCH($A84,'2_Clean_Data'!$A$2:$A$1360,0))</f>
        <v>5</v>
      </c>
      <c r="C84" s="9" t="str">
        <f t="shared" si="4"/>
        <v>Average</v>
      </c>
      <c r="D84" s="11">
        <f>INDEX('2_Clean_Data'!$L$2:$L$1360,MATCH($A84,'2_Clean_Data'!$A$2:$A$1360,0))</f>
        <v>10.1</v>
      </c>
      <c r="E84" s="9" t="str">
        <f>IF(D84&lt;'3_Summary_Tables'!$C$16,"Low",IF(D84&lt;'3_Summary_Tables'!$C$17,"Medium","High"))</f>
        <v>Medium</v>
      </c>
      <c r="F84" s="12">
        <f>INDEX('2_Clean_Data'!$C$2:$C$1360,MATCH($A84,'2_Clean_Data'!$A$2:$A$1360,0))</f>
        <v>0.55000000000000004</v>
      </c>
      <c r="G84" s="10">
        <f>INDEX('2_Clean_Data'!$H$2:$H$1360,MATCH($A84,'2_Clean_Data'!$A$2:$A$1360,0))</f>
        <v>40</v>
      </c>
      <c r="H84" s="9" t="str">
        <f t="shared" si="5"/>
        <v>Low</v>
      </c>
      <c r="I84" s="9" t="str">
        <f t="shared" si="6"/>
        <v>OK</v>
      </c>
      <c r="J84" s="9" t="str">
        <f t="shared" si="7"/>
        <v>Standard</v>
      </c>
    </row>
    <row r="85" spans="1:10" x14ac:dyDescent="0.3">
      <c r="A85" s="10">
        <f>'2_Clean_Data'!A82</f>
        <v>81</v>
      </c>
      <c r="B85" s="10">
        <f>INDEX('2_Clean_Data'!$M$2:$M$1360,MATCH($A85,'2_Clean_Data'!$A$2:$A$1360,0))</f>
        <v>6</v>
      </c>
      <c r="C85" s="9" t="str">
        <f t="shared" si="4"/>
        <v>Above Average</v>
      </c>
      <c r="D85" s="11">
        <f>INDEX('2_Clean_Data'!$L$2:$L$1360,MATCH($A85,'2_Clean_Data'!$A$2:$A$1360,0))</f>
        <v>9.9</v>
      </c>
      <c r="E85" s="9" t="str">
        <f>IF(D85&lt;'3_Summary_Tables'!$C$16,"Low",IF(D85&lt;'3_Summary_Tables'!$C$17,"Medium","High"))</f>
        <v>Low</v>
      </c>
      <c r="F85" s="12">
        <f>INDEX('2_Clean_Data'!$C$2:$C$1360,MATCH($A85,'2_Clean_Data'!$A$2:$A$1360,0))</f>
        <v>0.49</v>
      </c>
      <c r="G85" s="10">
        <f>INDEX('2_Clean_Data'!$H$2:$H$1360,MATCH($A85,'2_Clean_Data'!$A$2:$A$1360,0))</f>
        <v>136</v>
      </c>
      <c r="H85" s="9" t="str">
        <f t="shared" si="5"/>
        <v>High</v>
      </c>
      <c r="I85" s="9" t="str">
        <f t="shared" si="6"/>
        <v>OK</v>
      </c>
      <c r="J85" s="9" t="str">
        <f t="shared" si="7"/>
        <v>Solid</v>
      </c>
    </row>
    <row r="86" spans="1:10" x14ac:dyDescent="0.3">
      <c r="A86" s="10">
        <f>'2_Clean_Data'!A83</f>
        <v>82</v>
      </c>
      <c r="B86" s="10">
        <f>INDEX('2_Clean_Data'!$M$2:$M$1360,MATCH($A86,'2_Clean_Data'!$A$2:$A$1360,0))</f>
        <v>5</v>
      </c>
      <c r="C86" s="9" t="str">
        <f t="shared" si="4"/>
        <v>Average</v>
      </c>
      <c r="D86" s="11">
        <f>INDEX('2_Clean_Data'!$L$2:$L$1360,MATCH($A86,'2_Clean_Data'!$A$2:$A$1360,0))</f>
        <v>9.6</v>
      </c>
      <c r="E86" s="9" t="str">
        <f>IF(D86&lt;'3_Summary_Tables'!$C$16,"Low",IF(D86&lt;'3_Summary_Tables'!$C$17,"Medium","High"))</f>
        <v>Low</v>
      </c>
      <c r="F86" s="12">
        <f>INDEX('2_Clean_Data'!$C$2:$C$1360,MATCH($A86,'2_Clean_Data'!$A$2:$A$1360,0))</f>
        <v>0.49</v>
      </c>
      <c r="G86" s="10">
        <f>INDEX('2_Clean_Data'!$H$2:$H$1360,MATCH($A86,'2_Clean_Data'!$A$2:$A$1360,0))</f>
        <v>31</v>
      </c>
      <c r="H86" s="9" t="str">
        <f t="shared" si="5"/>
        <v>Low</v>
      </c>
      <c r="I86" s="9" t="str">
        <f t="shared" si="6"/>
        <v>OK</v>
      </c>
      <c r="J86" s="9" t="str">
        <f t="shared" si="7"/>
        <v>Standard</v>
      </c>
    </row>
    <row r="87" spans="1:10" x14ac:dyDescent="0.3">
      <c r="A87" s="10">
        <f>'2_Clean_Data'!A84</f>
        <v>83</v>
      </c>
      <c r="B87" s="10">
        <f>INDEX('2_Clean_Data'!$M$2:$M$1360,MATCH($A87,'2_Clean_Data'!$A$2:$A$1360,0))</f>
        <v>5</v>
      </c>
      <c r="C87" s="9" t="str">
        <f t="shared" si="4"/>
        <v>Average</v>
      </c>
      <c r="D87" s="11">
        <f>INDEX('2_Clean_Data'!$L$2:$L$1360,MATCH($A87,'2_Clean_Data'!$A$2:$A$1360,0))</f>
        <v>9.5</v>
      </c>
      <c r="E87" s="9" t="str">
        <f>IF(D87&lt;'3_Summary_Tables'!$C$16,"Low",IF(D87&lt;'3_Summary_Tables'!$C$17,"Medium","High"))</f>
        <v>Low</v>
      </c>
      <c r="F87" s="12">
        <f>INDEX('2_Clean_Data'!$C$2:$C$1360,MATCH($A87,'2_Clean_Data'!$A$2:$A$1360,0))</f>
        <v>0.39</v>
      </c>
      <c r="G87" s="10">
        <f>INDEX('2_Clean_Data'!$H$2:$H$1360,MATCH($A87,'2_Clean_Data'!$A$2:$A$1360,0))</f>
        <v>125</v>
      </c>
      <c r="H87" s="9" t="str">
        <f t="shared" si="5"/>
        <v>High</v>
      </c>
      <c r="I87" s="9" t="str">
        <f t="shared" si="6"/>
        <v>OK</v>
      </c>
      <c r="J87" s="9" t="str">
        <f t="shared" si="7"/>
        <v>Standard</v>
      </c>
    </row>
    <row r="88" spans="1:10" x14ac:dyDescent="0.3">
      <c r="A88" s="10">
        <f>'2_Clean_Data'!A85</f>
        <v>84</v>
      </c>
      <c r="B88" s="10">
        <f>INDEX('2_Clean_Data'!$M$2:$M$1360,MATCH($A88,'2_Clean_Data'!$A$2:$A$1360,0))</f>
        <v>5</v>
      </c>
      <c r="C88" s="9" t="str">
        <f t="shared" si="4"/>
        <v>Average</v>
      </c>
      <c r="D88" s="11">
        <f>INDEX('2_Clean_Data'!$L$2:$L$1360,MATCH($A88,'2_Clean_Data'!$A$2:$A$1360,0))</f>
        <v>9</v>
      </c>
      <c r="E88" s="9" t="str">
        <f>IF(D88&lt;'3_Summary_Tables'!$C$16,"Low",IF(D88&lt;'3_Summary_Tables'!$C$17,"Medium","High"))</f>
        <v>Low</v>
      </c>
      <c r="F88" s="12">
        <f>INDEX('2_Clean_Data'!$C$2:$C$1360,MATCH($A88,'2_Clean_Data'!$A$2:$A$1360,0))</f>
        <v>0.62</v>
      </c>
      <c r="G88" s="10">
        <f>INDEX('2_Clean_Data'!$H$2:$H$1360,MATCH($A88,'2_Clean_Data'!$A$2:$A$1360,0))</f>
        <v>24</v>
      </c>
      <c r="H88" s="9" t="str">
        <f t="shared" si="5"/>
        <v>Low</v>
      </c>
      <c r="I88" s="9" t="str">
        <f t="shared" si="6"/>
        <v>OK</v>
      </c>
      <c r="J88" s="9" t="str">
        <f t="shared" si="7"/>
        <v>Standard</v>
      </c>
    </row>
    <row r="89" spans="1:10" x14ac:dyDescent="0.3">
      <c r="A89" s="10">
        <f>'2_Clean_Data'!A86</f>
        <v>85</v>
      </c>
      <c r="B89" s="10">
        <f>INDEX('2_Clean_Data'!$M$2:$M$1360,MATCH($A89,'2_Clean_Data'!$A$2:$A$1360,0))</f>
        <v>5</v>
      </c>
      <c r="C89" s="9" t="str">
        <f t="shared" si="4"/>
        <v>Average</v>
      </c>
      <c r="D89" s="11">
        <f>INDEX('2_Clean_Data'!$L$2:$L$1360,MATCH($A89,'2_Clean_Data'!$A$2:$A$1360,0))</f>
        <v>9.5</v>
      </c>
      <c r="E89" s="9" t="str">
        <f>IF(D89&lt;'3_Summary_Tables'!$C$16,"Low",IF(D89&lt;'3_Summary_Tables'!$C$17,"Medium","High"))</f>
        <v>Low</v>
      </c>
      <c r="F89" s="12">
        <f>INDEX('2_Clean_Data'!$C$2:$C$1360,MATCH($A89,'2_Clean_Data'!$A$2:$A$1360,0))</f>
        <v>0.52</v>
      </c>
      <c r="G89" s="10">
        <f>INDEX('2_Clean_Data'!$H$2:$H$1360,MATCH($A89,'2_Clean_Data'!$A$2:$A$1360,0))</f>
        <v>140</v>
      </c>
      <c r="H89" s="9" t="str">
        <f t="shared" si="5"/>
        <v>High</v>
      </c>
      <c r="I89" s="9" t="str">
        <f t="shared" si="6"/>
        <v>OK</v>
      </c>
      <c r="J89" s="9" t="str">
        <f t="shared" si="7"/>
        <v>Standard</v>
      </c>
    </row>
    <row r="90" spans="1:10" x14ac:dyDescent="0.3">
      <c r="A90" s="10">
        <f>'2_Clean_Data'!A87</f>
        <v>86</v>
      </c>
      <c r="B90" s="10">
        <f>INDEX('2_Clean_Data'!$M$2:$M$1360,MATCH($A90,'2_Clean_Data'!$A$2:$A$1360,0))</f>
        <v>5</v>
      </c>
      <c r="C90" s="9" t="str">
        <f t="shared" si="4"/>
        <v>Average</v>
      </c>
      <c r="D90" s="11">
        <f>INDEX('2_Clean_Data'!$L$2:$L$1360,MATCH($A90,'2_Clean_Data'!$A$2:$A$1360,0))</f>
        <v>9.8000000000000007</v>
      </c>
      <c r="E90" s="9" t="str">
        <f>IF(D90&lt;'3_Summary_Tables'!$C$16,"Low",IF(D90&lt;'3_Summary_Tables'!$C$17,"Medium","High"))</f>
        <v>Low</v>
      </c>
      <c r="F90" s="12">
        <f>INDEX('2_Clean_Data'!$C$2:$C$1360,MATCH($A90,'2_Clean_Data'!$A$2:$A$1360,0))</f>
        <v>0.49</v>
      </c>
      <c r="G90" s="10">
        <f>INDEX('2_Clean_Data'!$H$2:$H$1360,MATCH($A90,'2_Clean_Data'!$A$2:$A$1360,0))</f>
        <v>133</v>
      </c>
      <c r="H90" s="9" t="str">
        <f t="shared" si="5"/>
        <v>High</v>
      </c>
      <c r="I90" s="9" t="str">
        <f t="shared" si="6"/>
        <v>OK</v>
      </c>
      <c r="J90" s="9" t="str">
        <f t="shared" si="7"/>
        <v>Standard</v>
      </c>
    </row>
    <row r="91" spans="1:10" x14ac:dyDescent="0.3">
      <c r="A91" s="10">
        <f>'2_Clean_Data'!A88</f>
        <v>87</v>
      </c>
      <c r="B91" s="10">
        <f>INDEX('2_Clean_Data'!$M$2:$M$1360,MATCH($A91,'2_Clean_Data'!$A$2:$A$1360,0))</f>
        <v>4</v>
      </c>
      <c r="C91" s="9" t="str">
        <f t="shared" si="4"/>
        <v>Poor</v>
      </c>
      <c r="D91" s="11">
        <f>INDEX('2_Clean_Data'!$L$2:$L$1360,MATCH($A91,'2_Clean_Data'!$A$2:$A$1360,0))</f>
        <v>10.5</v>
      </c>
      <c r="E91" s="9" t="str">
        <f>IF(D91&lt;'3_Summary_Tables'!$C$16,"Low",IF(D91&lt;'3_Summary_Tables'!$C$17,"Medium","High"))</f>
        <v>Medium</v>
      </c>
      <c r="F91" s="12">
        <f>INDEX('2_Clean_Data'!$C$2:$C$1360,MATCH($A91,'2_Clean_Data'!$A$2:$A$1360,0))</f>
        <v>1.02</v>
      </c>
      <c r="G91" s="10">
        <f>INDEX('2_Clean_Data'!$H$2:$H$1360,MATCH($A91,'2_Clean_Data'!$A$2:$A$1360,0))</f>
        <v>85</v>
      </c>
      <c r="H91" s="9" t="str">
        <f t="shared" si="5"/>
        <v>Moderate</v>
      </c>
      <c r="I91" s="9" t="str">
        <f t="shared" si="6"/>
        <v>Above limit</v>
      </c>
      <c r="J91" s="9" t="str">
        <f t="shared" si="7"/>
        <v>Poor</v>
      </c>
    </row>
    <row r="92" spans="1:10" x14ac:dyDescent="0.3">
      <c r="A92" s="10">
        <f>'2_Clean_Data'!A89</f>
        <v>88</v>
      </c>
      <c r="B92" s="10">
        <f>INDEX('2_Clean_Data'!$M$2:$M$1360,MATCH($A92,'2_Clean_Data'!$A$2:$A$1360,0))</f>
        <v>6</v>
      </c>
      <c r="C92" s="9" t="str">
        <f t="shared" si="4"/>
        <v>Above Average</v>
      </c>
      <c r="D92" s="11">
        <f>INDEX('2_Clean_Data'!$L$2:$L$1360,MATCH($A92,'2_Clean_Data'!$A$2:$A$1360,0))</f>
        <v>12.9</v>
      </c>
      <c r="E92" s="9" t="str">
        <f>IF(D92&lt;'3_Summary_Tables'!$C$16,"Low",IF(D92&lt;'3_Summary_Tables'!$C$17,"Medium","High"))</f>
        <v>High</v>
      </c>
      <c r="F92" s="12">
        <f>INDEX('2_Clean_Data'!$C$2:$C$1360,MATCH($A92,'2_Clean_Data'!$A$2:$A$1360,0))</f>
        <v>0.6</v>
      </c>
      <c r="G92" s="10">
        <f>INDEX('2_Clean_Data'!$H$2:$H$1360,MATCH($A92,'2_Clean_Data'!$A$2:$A$1360,0))</f>
        <v>106</v>
      </c>
      <c r="H92" s="9" t="str">
        <f t="shared" si="5"/>
        <v>High</v>
      </c>
      <c r="I92" s="9" t="str">
        <f t="shared" si="6"/>
        <v>OK</v>
      </c>
      <c r="J92" s="9" t="str">
        <f t="shared" si="7"/>
        <v>Solid</v>
      </c>
    </row>
    <row r="93" spans="1:10" x14ac:dyDescent="0.3">
      <c r="A93" s="10">
        <f>'2_Clean_Data'!A90</f>
        <v>89</v>
      </c>
      <c r="B93" s="10">
        <f>INDEX('2_Clean_Data'!$M$2:$M$1360,MATCH($A93,'2_Clean_Data'!$A$2:$A$1360,0))</f>
        <v>5</v>
      </c>
      <c r="C93" s="9" t="str">
        <f t="shared" si="4"/>
        <v>Average</v>
      </c>
      <c r="D93" s="11">
        <f>INDEX('2_Clean_Data'!$L$2:$L$1360,MATCH($A93,'2_Clean_Data'!$A$2:$A$1360,0))</f>
        <v>10.7</v>
      </c>
      <c r="E93" s="9" t="str">
        <f>IF(D93&lt;'3_Summary_Tables'!$C$16,"Low",IF(D93&lt;'3_Summary_Tables'!$C$17,"Medium","High"))</f>
        <v>Medium</v>
      </c>
      <c r="F93" s="12">
        <f>INDEX('2_Clean_Data'!$C$2:$C$1360,MATCH($A93,'2_Clean_Data'!$A$2:$A$1360,0))</f>
        <v>0.77500000000000002</v>
      </c>
      <c r="G93" s="10">
        <f>INDEX('2_Clean_Data'!$H$2:$H$1360,MATCH($A93,'2_Clean_Data'!$A$2:$A$1360,0))</f>
        <v>23</v>
      </c>
      <c r="H93" s="9" t="str">
        <f t="shared" si="5"/>
        <v>Low</v>
      </c>
      <c r="I93" s="9" t="str">
        <f t="shared" si="6"/>
        <v>Above limit</v>
      </c>
      <c r="J93" s="9" t="str">
        <f t="shared" si="7"/>
        <v>Standard</v>
      </c>
    </row>
    <row r="94" spans="1:10" x14ac:dyDescent="0.3">
      <c r="A94" s="10">
        <f>'2_Clean_Data'!A91</f>
        <v>90</v>
      </c>
      <c r="B94" s="10">
        <f>INDEX('2_Clean_Data'!$M$2:$M$1360,MATCH($A94,'2_Clean_Data'!$A$2:$A$1360,0))</f>
        <v>5</v>
      </c>
      <c r="C94" s="9" t="str">
        <f t="shared" si="4"/>
        <v>Average</v>
      </c>
      <c r="D94" s="11">
        <f>INDEX('2_Clean_Data'!$L$2:$L$1360,MATCH($A94,'2_Clean_Data'!$A$2:$A$1360,0))</f>
        <v>9.1999999999999993</v>
      </c>
      <c r="E94" s="9" t="str">
        <f>IF(D94&lt;'3_Summary_Tables'!$C$16,"Low",IF(D94&lt;'3_Summary_Tables'!$C$17,"Medium","High"))</f>
        <v>Low</v>
      </c>
      <c r="F94" s="12">
        <f>INDEX('2_Clean_Data'!$C$2:$C$1360,MATCH($A94,'2_Clean_Data'!$A$2:$A$1360,0))</f>
        <v>0.5</v>
      </c>
      <c r="G94" s="10">
        <f>INDEX('2_Clean_Data'!$H$2:$H$1360,MATCH($A94,'2_Clean_Data'!$A$2:$A$1360,0))</f>
        <v>22</v>
      </c>
      <c r="H94" s="9" t="str">
        <f t="shared" si="5"/>
        <v>Low</v>
      </c>
      <c r="I94" s="9" t="str">
        <f t="shared" si="6"/>
        <v>OK</v>
      </c>
      <c r="J94" s="9" t="str">
        <f t="shared" si="7"/>
        <v>Standard</v>
      </c>
    </row>
    <row r="95" spans="1:10" x14ac:dyDescent="0.3">
      <c r="A95" s="10">
        <f>'2_Clean_Data'!A92</f>
        <v>91</v>
      </c>
      <c r="B95" s="10">
        <f>INDEX('2_Clean_Data'!$M$2:$M$1360,MATCH($A95,'2_Clean_Data'!$A$2:$A$1360,0))</f>
        <v>5</v>
      </c>
      <c r="C95" s="9" t="str">
        <f t="shared" si="4"/>
        <v>Average</v>
      </c>
      <c r="D95" s="11">
        <f>INDEX('2_Clean_Data'!$L$2:$L$1360,MATCH($A95,'2_Clean_Data'!$A$2:$A$1360,0))</f>
        <v>9.8000000000000007</v>
      </c>
      <c r="E95" s="9" t="str">
        <f>IF(D95&lt;'3_Summary_Tables'!$C$16,"Low",IF(D95&lt;'3_Summary_Tables'!$C$17,"Medium","High"))</f>
        <v>Low</v>
      </c>
      <c r="F95" s="12">
        <f>INDEX('2_Clean_Data'!$C$2:$C$1360,MATCH($A95,'2_Clean_Data'!$A$2:$A$1360,0))</f>
        <v>0.9</v>
      </c>
      <c r="G95" s="10">
        <f>INDEX('2_Clean_Data'!$H$2:$H$1360,MATCH($A95,'2_Clean_Data'!$A$2:$A$1360,0))</f>
        <v>10</v>
      </c>
      <c r="H95" s="9" t="str">
        <f t="shared" si="5"/>
        <v>Low</v>
      </c>
      <c r="I95" s="9" t="str">
        <f t="shared" si="6"/>
        <v>Above limit</v>
      </c>
      <c r="J95" s="9" t="str">
        <f t="shared" si="7"/>
        <v>Standard</v>
      </c>
    </row>
    <row r="96" spans="1:10" x14ac:dyDescent="0.3">
      <c r="A96" s="10">
        <f>'2_Clean_Data'!A93</f>
        <v>92</v>
      </c>
      <c r="B96" s="10">
        <f>INDEX('2_Clean_Data'!$M$2:$M$1360,MATCH($A96,'2_Clean_Data'!$A$2:$A$1360,0))</f>
        <v>6</v>
      </c>
      <c r="C96" s="9" t="str">
        <f t="shared" si="4"/>
        <v>Above Average</v>
      </c>
      <c r="D96" s="11">
        <f>INDEX('2_Clean_Data'!$L$2:$L$1360,MATCH($A96,'2_Clean_Data'!$A$2:$A$1360,0))</f>
        <v>9</v>
      </c>
      <c r="E96" s="9" t="str">
        <f>IF(D96&lt;'3_Summary_Tables'!$C$16,"Low",IF(D96&lt;'3_Summary_Tables'!$C$17,"Medium","High"))</f>
        <v>Low</v>
      </c>
      <c r="F96" s="12">
        <f>INDEX('2_Clean_Data'!$C$2:$C$1360,MATCH($A96,'2_Clean_Data'!$A$2:$A$1360,0))</f>
        <v>0.54500000000000004</v>
      </c>
      <c r="G96" s="10">
        <f>INDEX('2_Clean_Data'!$H$2:$H$1360,MATCH($A96,'2_Clean_Data'!$A$2:$A$1360,0))</f>
        <v>35</v>
      </c>
      <c r="H96" s="9" t="str">
        <f t="shared" si="5"/>
        <v>Low</v>
      </c>
      <c r="I96" s="9" t="str">
        <f t="shared" si="6"/>
        <v>OK</v>
      </c>
      <c r="J96" s="9" t="str">
        <f t="shared" si="7"/>
        <v>Solid</v>
      </c>
    </row>
    <row r="97" spans="1:10" x14ac:dyDescent="0.3">
      <c r="A97" s="10">
        <f>'2_Clean_Data'!A94</f>
        <v>93</v>
      </c>
      <c r="B97" s="10">
        <f>INDEX('2_Clean_Data'!$M$2:$M$1360,MATCH($A97,'2_Clean_Data'!$A$2:$A$1360,0))</f>
        <v>6</v>
      </c>
      <c r="C97" s="9" t="str">
        <f t="shared" si="4"/>
        <v>Above Average</v>
      </c>
      <c r="D97" s="11">
        <f>INDEX('2_Clean_Data'!$L$2:$L$1360,MATCH($A97,'2_Clean_Data'!$A$2:$A$1360,0))</f>
        <v>10.199999999999999</v>
      </c>
      <c r="E97" s="9" t="str">
        <f>IF(D97&lt;'3_Summary_Tables'!$C$16,"Low",IF(D97&lt;'3_Summary_Tables'!$C$17,"Medium","High"))</f>
        <v>Medium</v>
      </c>
      <c r="F97" s="12">
        <f>INDEX('2_Clean_Data'!$C$2:$C$1360,MATCH($A97,'2_Clean_Data'!$A$2:$A$1360,0))</f>
        <v>0.61</v>
      </c>
      <c r="G97" s="10">
        <f>INDEX('2_Clean_Data'!$H$2:$H$1360,MATCH($A97,'2_Clean_Data'!$A$2:$A$1360,0))</f>
        <v>50</v>
      </c>
      <c r="H97" s="9" t="str">
        <f t="shared" si="5"/>
        <v>Low</v>
      </c>
      <c r="I97" s="9" t="str">
        <f t="shared" si="6"/>
        <v>OK</v>
      </c>
      <c r="J97" s="9" t="str">
        <f t="shared" si="7"/>
        <v>Solid</v>
      </c>
    </row>
    <row r="98" spans="1:10" x14ac:dyDescent="0.3">
      <c r="A98" s="10">
        <f>'2_Clean_Data'!A95</f>
        <v>94</v>
      </c>
      <c r="B98" s="10">
        <f>INDEX('2_Clean_Data'!$M$2:$M$1360,MATCH($A98,'2_Clean_Data'!$A$2:$A$1360,0))</f>
        <v>6</v>
      </c>
      <c r="C98" s="9" t="str">
        <f t="shared" si="4"/>
        <v>Above Average</v>
      </c>
      <c r="D98" s="11">
        <f>INDEX('2_Clean_Data'!$L$2:$L$1360,MATCH($A98,'2_Clean_Data'!$A$2:$A$1360,0))</f>
        <v>10.4</v>
      </c>
      <c r="E98" s="9" t="str">
        <f>IF(D98&lt;'3_Summary_Tables'!$C$16,"Low",IF(D98&lt;'3_Summary_Tables'!$C$17,"Medium","High"))</f>
        <v>Medium</v>
      </c>
      <c r="F98" s="12">
        <f>INDEX('2_Clean_Data'!$C$2:$C$1360,MATCH($A98,'2_Clean_Data'!$A$2:$A$1360,0))</f>
        <v>0.5</v>
      </c>
      <c r="G98" s="10">
        <f>INDEX('2_Clean_Data'!$H$2:$H$1360,MATCH($A98,'2_Clean_Data'!$A$2:$A$1360,0))</f>
        <v>22</v>
      </c>
      <c r="H98" s="9" t="str">
        <f t="shared" si="5"/>
        <v>Low</v>
      </c>
      <c r="I98" s="9" t="str">
        <f t="shared" si="6"/>
        <v>OK</v>
      </c>
      <c r="J98" s="9" t="str">
        <f t="shared" si="7"/>
        <v>Solid</v>
      </c>
    </row>
    <row r="99" spans="1:10" x14ac:dyDescent="0.3">
      <c r="A99" s="10">
        <f>'2_Clean_Data'!A96</f>
        <v>95</v>
      </c>
      <c r="B99" s="10">
        <f>INDEX('2_Clean_Data'!$M$2:$M$1360,MATCH($A99,'2_Clean_Data'!$A$2:$A$1360,0))</f>
        <v>5</v>
      </c>
      <c r="C99" s="9" t="str">
        <f t="shared" si="4"/>
        <v>Average</v>
      </c>
      <c r="D99" s="11">
        <f>INDEX('2_Clean_Data'!$L$2:$L$1360,MATCH($A99,'2_Clean_Data'!$A$2:$A$1360,0))</f>
        <v>9.1999999999999993</v>
      </c>
      <c r="E99" s="9" t="str">
        <f>IF(D99&lt;'3_Summary_Tables'!$C$16,"Low",IF(D99&lt;'3_Summary_Tables'!$C$17,"Medium","High"))</f>
        <v>Low</v>
      </c>
      <c r="F99" s="12">
        <f>INDEX('2_Clean_Data'!$C$2:$C$1360,MATCH($A99,'2_Clean_Data'!$A$2:$A$1360,0))</f>
        <v>0.57499999999999996</v>
      </c>
      <c r="G99" s="10">
        <f>INDEX('2_Clean_Data'!$H$2:$H$1360,MATCH($A99,'2_Clean_Data'!$A$2:$A$1360,0))</f>
        <v>65</v>
      </c>
      <c r="H99" s="9" t="str">
        <f t="shared" si="5"/>
        <v>Moderate</v>
      </c>
      <c r="I99" s="9" t="str">
        <f t="shared" si="6"/>
        <v>OK</v>
      </c>
      <c r="J99" s="9" t="str">
        <f t="shared" si="7"/>
        <v>Standard</v>
      </c>
    </row>
    <row r="100" spans="1:10" x14ac:dyDescent="0.3">
      <c r="A100" s="10">
        <f>'2_Clean_Data'!A97</f>
        <v>96</v>
      </c>
      <c r="B100" s="10">
        <f>INDEX('2_Clean_Data'!$M$2:$M$1360,MATCH($A100,'2_Clean_Data'!$A$2:$A$1360,0))</f>
        <v>5</v>
      </c>
      <c r="C100" s="9" t="str">
        <f t="shared" si="4"/>
        <v>Average</v>
      </c>
      <c r="D100" s="11">
        <f>INDEX('2_Clean_Data'!$L$2:$L$1360,MATCH($A100,'2_Clean_Data'!$A$2:$A$1360,0))</f>
        <v>9.4</v>
      </c>
      <c r="E100" s="9" t="str">
        <f>IF(D100&lt;'3_Summary_Tables'!$C$16,"Low",IF(D100&lt;'3_Summary_Tables'!$C$17,"Medium","High"))</f>
        <v>Low</v>
      </c>
      <c r="F100" s="12">
        <f>INDEX('2_Clean_Data'!$C$2:$C$1360,MATCH($A100,'2_Clean_Data'!$A$2:$A$1360,0))</f>
        <v>0.49</v>
      </c>
      <c r="G100" s="10">
        <f>INDEX('2_Clean_Data'!$H$2:$H$1360,MATCH($A100,'2_Clean_Data'!$A$2:$A$1360,0))</f>
        <v>36</v>
      </c>
      <c r="H100" s="9" t="str">
        <f t="shared" si="5"/>
        <v>Low</v>
      </c>
      <c r="I100" s="9" t="str">
        <f t="shared" si="6"/>
        <v>OK</v>
      </c>
      <c r="J100" s="9" t="str">
        <f t="shared" si="7"/>
        <v>Standard</v>
      </c>
    </row>
    <row r="101" spans="1:10" x14ac:dyDescent="0.3">
      <c r="A101" s="10">
        <f>'2_Clean_Data'!A98</f>
        <v>97</v>
      </c>
      <c r="B101" s="10">
        <f>INDEX('2_Clean_Data'!$M$2:$M$1360,MATCH($A101,'2_Clean_Data'!$A$2:$A$1360,0))</f>
        <v>5</v>
      </c>
      <c r="C101" s="9" t="str">
        <f t="shared" si="4"/>
        <v>Average</v>
      </c>
      <c r="D101" s="11">
        <f>INDEX('2_Clean_Data'!$L$2:$L$1360,MATCH($A101,'2_Clean_Data'!$A$2:$A$1360,0))</f>
        <v>9.3000000000000007</v>
      </c>
      <c r="E101" s="9" t="str">
        <f>IF(D101&lt;'3_Summary_Tables'!$C$16,"Low",IF(D101&lt;'3_Summary_Tables'!$C$17,"Medium","High"))</f>
        <v>Low</v>
      </c>
      <c r="F101" s="12">
        <f>INDEX('2_Clean_Data'!$C$2:$C$1360,MATCH($A101,'2_Clean_Data'!$A$2:$A$1360,0))</f>
        <v>0.41</v>
      </c>
      <c r="G101" s="10">
        <f>INDEX('2_Clean_Data'!$H$2:$H$1360,MATCH($A101,'2_Clean_Data'!$A$2:$A$1360,0))</f>
        <v>69</v>
      </c>
      <c r="H101" s="9" t="str">
        <f t="shared" si="5"/>
        <v>Moderate</v>
      </c>
      <c r="I101" s="9" t="str">
        <f t="shared" si="6"/>
        <v>OK</v>
      </c>
      <c r="J101" s="9" t="str">
        <f t="shared" si="7"/>
        <v>Standard</v>
      </c>
    </row>
    <row r="102" spans="1:10" x14ac:dyDescent="0.3">
      <c r="A102" s="10">
        <f>'2_Clean_Data'!A99</f>
        <v>98</v>
      </c>
      <c r="B102" s="10">
        <f>INDEX('2_Clean_Data'!$M$2:$M$1360,MATCH($A102,'2_Clean_Data'!$A$2:$A$1360,0))</f>
        <v>5</v>
      </c>
      <c r="C102" s="9" t="str">
        <f t="shared" si="4"/>
        <v>Average</v>
      </c>
      <c r="D102" s="11">
        <f>INDEX('2_Clean_Data'!$L$2:$L$1360,MATCH($A102,'2_Clean_Data'!$A$2:$A$1360,0))</f>
        <v>9.3000000000000007</v>
      </c>
      <c r="E102" s="9" t="str">
        <f>IF(D102&lt;'3_Summary_Tables'!$C$16,"Low",IF(D102&lt;'3_Summary_Tables'!$C$17,"Medium","High"))</f>
        <v>Low</v>
      </c>
      <c r="F102" s="12">
        <f>INDEX('2_Clean_Data'!$C$2:$C$1360,MATCH($A102,'2_Clean_Data'!$A$2:$A$1360,0))</f>
        <v>0.63</v>
      </c>
      <c r="G102" s="10">
        <f>INDEX('2_Clean_Data'!$H$2:$H$1360,MATCH($A102,'2_Clean_Data'!$A$2:$A$1360,0))</f>
        <v>64</v>
      </c>
      <c r="H102" s="9" t="str">
        <f t="shared" si="5"/>
        <v>Moderate</v>
      </c>
      <c r="I102" s="9" t="str">
        <f t="shared" si="6"/>
        <v>OK</v>
      </c>
      <c r="J102" s="9" t="str">
        <f t="shared" si="7"/>
        <v>Standard</v>
      </c>
    </row>
    <row r="103" spans="1:10" x14ac:dyDescent="0.3">
      <c r="A103" s="10">
        <f>'2_Clean_Data'!A100</f>
        <v>99</v>
      </c>
      <c r="B103" s="10">
        <f>INDEX('2_Clean_Data'!$M$2:$M$1360,MATCH($A103,'2_Clean_Data'!$A$2:$A$1360,0))</f>
        <v>6</v>
      </c>
      <c r="C103" s="9" t="str">
        <f t="shared" si="4"/>
        <v>Above Average</v>
      </c>
      <c r="D103" s="11">
        <f>INDEX('2_Clean_Data'!$L$2:$L$1360,MATCH($A103,'2_Clean_Data'!$A$2:$A$1360,0))</f>
        <v>9.6</v>
      </c>
      <c r="E103" s="9" t="str">
        <f>IF(D103&lt;'3_Summary_Tables'!$C$16,"Low",IF(D103&lt;'3_Summary_Tables'!$C$17,"Medium","High"))</f>
        <v>Low</v>
      </c>
      <c r="F103" s="12">
        <f>INDEX('2_Clean_Data'!$C$2:$C$1360,MATCH($A103,'2_Clean_Data'!$A$2:$A$1360,0))</f>
        <v>0.33</v>
      </c>
      <c r="G103" s="10">
        <f>INDEX('2_Clean_Data'!$H$2:$H$1360,MATCH($A103,'2_Clean_Data'!$A$2:$A$1360,0))</f>
        <v>80</v>
      </c>
      <c r="H103" s="9" t="str">
        <f t="shared" si="5"/>
        <v>Moderate</v>
      </c>
      <c r="I103" s="9" t="str">
        <f t="shared" si="6"/>
        <v>OK</v>
      </c>
      <c r="J103" s="9" t="str">
        <f t="shared" si="7"/>
        <v>Solid</v>
      </c>
    </row>
    <row r="104" spans="1:10" x14ac:dyDescent="0.3">
      <c r="A104" s="10">
        <f>'2_Clean_Data'!A101</f>
        <v>100</v>
      </c>
      <c r="B104" s="10">
        <f>INDEX('2_Clean_Data'!$M$2:$M$1360,MATCH($A104,'2_Clean_Data'!$A$2:$A$1360,0))</f>
        <v>5</v>
      </c>
      <c r="C104" s="9" t="str">
        <f t="shared" si="4"/>
        <v>Average</v>
      </c>
      <c r="D104" s="11">
        <f>INDEX('2_Clean_Data'!$L$2:$L$1360,MATCH($A104,'2_Clean_Data'!$A$2:$A$1360,0))</f>
        <v>9.3000000000000007</v>
      </c>
      <c r="E104" s="9" t="str">
        <f>IF(D104&lt;'3_Summary_Tables'!$C$16,"Low",IF(D104&lt;'3_Summary_Tables'!$C$17,"Medium","High"))</f>
        <v>Low</v>
      </c>
      <c r="F104" s="12">
        <f>INDEX('2_Clean_Data'!$C$2:$C$1360,MATCH($A104,'2_Clean_Data'!$A$2:$A$1360,0))</f>
        <v>0.78500000000000003</v>
      </c>
      <c r="G104" s="10">
        <f>INDEX('2_Clean_Data'!$H$2:$H$1360,MATCH($A104,'2_Clean_Data'!$A$2:$A$1360,0))</f>
        <v>153</v>
      </c>
      <c r="H104" s="9" t="str">
        <f t="shared" si="5"/>
        <v>High</v>
      </c>
      <c r="I104" s="9" t="str">
        <f t="shared" si="6"/>
        <v>Above limit</v>
      </c>
      <c r="J104" s="9" t="str">
        <f t="shared" si="7"/>
        <v>Standard</v>
      </c>
    </row>
    <row r="105" spans="1:10" x14ac:dyDescent="0.3">
      <c r="A105" s="10">
        <f>'2_Clean_Data'!A102</f>
        <v>101</v>
      </c>
      <c r="B105" s="10">
        <f>INDEX('2_Clean_Data'!$M$2:$M$1360,MATCH($A105,'2_Clean_Data'!$A$2:$A$1360,0))</f>
        <v>5</v>
      </c>
      <c r="C105" s="9" t="str">
        <f t="shared" si="4"/>
        <v>Average</v>
      </c>
      <c r="D105" s="11">
        <f>INDEX('2_Clean_Data'!$L$2:$L$1360,MATCH($A105,'2_Clean_Data'!$A$2:$A$1360,0))</f>
        <v>9.5</v>
      </c>
      <c r="E105" s="9" t="str">
        <f>IF(D105&lt;'3_Summary_Tables'!$C$16,"Low",IF(D105&lt;'3_Summary_Tables'!$C$17,"Medium","High"))</f>
        <v>Low</v>
      </c>
      <c r="F105" s="12">
        <f>INDEX('2_Clean_Data'!$C$2:$C$1360,MATCH($A105,'2_Clean_Data'!$A$2:$A$1360,0))</f>
        <v>0.56000000000000005</v>
      </c>
      <c r="G105" s="10">
        <f>INDEX('2_Clean_Data'!$H$2:$H$1360,MATCH($A105,'2_Clean_Data'!$A$2:$A$1360,0))</f>
        <v>47</v>
      </c>
      <c r="H105" s="9" t="str">
        <f t="shared" si="5"/>
        <v>Low</v>
      </c>
      <c r="I105" s="9" t="str">
        <f t="shared" si="6"/>
        <v>OK</v>
      </c>
      <c r="J105" s="9" t="str">
        <f t="shared" si="7"/>
        <v>Standard</v>
      </c>
    </row>
    <row r="106" spans="1:10" x14ac:dyDescent="0.3">
      <c r="A106" s="10">
        <f>'2_Clean_Data'!A103</f>
        <v>102</v>
      </c>
      <c r="B106" s="10">
        <f>INDEX('2_Clean_Data'!$M$2:$M$1360,MATCH($A106,'2_Clean_Data'!$A$2:$A$1360,0))</f>
        <v>5</v>
      </c>
      <c r="C106" s="9" t="str">
        <f t="shared" si="4"/>
        <v>Average</v>
      </c>
      <c r="D106" s="11">
        <f>INDEX('2_Clean_Data'!$L$2:$L$1360,MATCH($A106,'2_Clean_Data'!$A$2:$A$1360,0))</f>
        <v>9.8000000000000007</v>
      </c>
      <c r="E106" s="9" t="str">
        <f>IF(D106&lt;'3_Summary_Tables'!$C$16,"Low",IF(D106&lt;'3_Summary_Tables'!$C$17,"Medium","High"))</f>
        <v>Low</v>
      </c>
      <c r="F106" s="12">
        <f>INDEX('2_Clean_Data'!$C$2:$C$1360,MATCH($A106,'2_Clean_Data'!$A$2:$A$1360,0))</f>
        <v>0.62</v>
      </c>
      <c r="G106" s="10">
        <f>INDEX('2_Clean_Data'!$H$2:$H$1360,MATCH($A106,'2_Clean_Data'!$A$2:$A$1360,0))</f>
        <v>108</v>
      </c>
      <c r="H106" s="9" t="str">
        <f t="shared" si="5"/>
        <v>High</v>
      </c>
      <c r="I106" s="9" t="str">
        <f t="shared" si="6"/>
        <v>OK</v>
      </c>
      <c r="J106" s="9" t="str">
        <f t="shared" si="7"/>
        <v>Standard</v>
      </c>
    </row>
    <row r="107" spans="1:10" x14ac:dyDescent="0.3">
      <c r="A107" s="10">
        <f>'2_Clean_Data'!A104</f>
        <v>103</v>
      </c>
      <c r="B107" s="10">
        <f>INDEX('2_Clean_Data'!$M$2:$M$1360,MATCH($A107,'2_Clean_Data'!$A$2:$A$1360,0))</f>
        <v>5</v>
      </c>
      <c r="C107" s="9" t="str">
        <f t="shared" si="4"/>
        <v>Average</v>
      </c>
      <c r="D107" s="11">
        <f>INDEX('2_Clean_Data'!$L$2:$L$1360,MATCH($A107,'2_Clean_Data'!$A$2:$A$1360,0))</f>
        <v>9.8000000000000007</v>
      </c>
      <c r="E107" s="9" t="str">
        <f>IF(D107&lt;'3_Summary_Tables'!$C$16,"Low",IF(D107&lt;'3_Summary_Tables'!$C$17,"Medium","High"))</f>
        <v>Low</v>
      </c>
      <c r="F107" s="12">
        <f>INDEX('2_Clean_Data'!$C$2:$C$1360,MATCH($A107,'2_Clean_Data'!$A$2:$A$1360,0))</f>
        <v>0.6</v>
      </c>
      <c r="G107" s="10">
        <f>INDEX('2_Clean_Data'!$H$2:$H$1360,MATCH($A107,'2_Clean_Data'!$A$2:$A$1360,0))</f>
        <v>111</v>
      </c>
      <c r="H107" s="9" t="str">
        <f t="shared" si="5"/>
        <v>High</v>
      </c>
      <c r="I107" s="9" t="str">
        <f t="shared" si="6"/>
        <v>OK</v>
      </c>
      <c r="J107" s="9" t="str">
        <f t="shared" si="7"/>
        <v>Standard</v>
      </c>
    </row>
    <row r="108" spans="1:10" x14ac:dyDescent="0.3">
      <c r="A108" s="10">
        <f>'2_Clean_Data'!A105</f>
        <v>104</v>
      </c>
      <c r="B108" s="10">
        <f>INDEX('2_Clean_Data'!$M$2:$M$1360,MATCH($A108,'2_Clean_Data'!$A$2:$A$1360,0))</f>
        <v>6</v>
      </c>
      <c r="C108" s="9" t="str">
        <f t="shared" si="4"/>
        <v>Above Average</v>
      </c>
      <c r="D108" s="11">
        <f>INDEX('2_Clean_Data'!$L$2:$L$1360,MATCH($A108,'2_Clean_Data'!$A$2:$A$1360,0))</f>
        <v>9.6999999999999993</v>
      </c>
      <c r="E108" s="9" t="str">
        <f>IF(D108&lt;'3_Summary_Tables'!$C$16,"Low",IF(D108&lt;'3_Summary_Tables'!$C$17,"Medium","High"))</f>
        <v>Low</v>
      </c>
      <c r="F108" s="12">
        <f>INDEX('2_Clean_Data'!$C$2:$C$1360,MATCH($A108,'2_Clean_Data'!$A$2:$A$1360,0))</f>
        <v>0.31</v>
      </c>
      <c r="G108" s="10">
        <f>INDEX('2_Clean_Data'!$H$2:$H$1360,MATCH($A108,'2_Clean_Data'!$A$2:$A$1360,0))</f>
        <v>46</v>
      </c>
      <c r="H108" s="9" t="str">
        <f t="shared" si="5"/>
        <v>Low</v>
      </c>
      <c r="I108" s="9" t="str">
        <f t="shared" si="6"/>
        <v>OK</v>
      </c>
      <c r="J108" s="9" t="str">
        <f t="shared" si="7"/>
        <v>Solid</v>
      </c>
    </row>
    <row r="109" spans="1:10" x14ac:dyDescent="0.3">
      <c r="A109" s="10">
        <f>'2_Clean_Data'!A106</f>
        <v>105</v>
      </c>
      <c r="B109" s="10">
        <f>INDEX('2_Clean_Data'!$M$2:$M$1360,MATCH($A109,'2_Clean_Data'!$A$2:$A$1360,0))</f>
        <v>6</v>
      </c>
      <c r="C109" s="9" t="str">
        <f t="shared" si="4"/>
        <v>Above Average</v>
      </c>
      <c r="D109" s="11">
        <f>INDEX('2_Clean_Data'!$L$2:$L$1360,MATCH($A109,'2_Clean_Data'!$A$2:$A$1360,0))</f>
        <v>10.5</v>
      </c>
      <c r="E109" s="9" t="str">
        <f>IF(D109&lt;'3_Summary_Tables'!$C$16,"Low",IF(D109&lt;'3_Summary_Tables'!$C$17,"Medium","High"))</f>
        <v>Medium</v>
      </c>
      <c r="F109" s="12">
        <f>INDEX('2_Clean_Data'!$C$2:$C$1360,MATCH($A109,'2_Clean_Data'!$A$2:$A$1360,0))</f>
        <v>0.4</v>
      </c>
      <c r="G109" s="10">
        <f>INDEX('2_Clean_Data'!$H$2:$H$1360,MATCH($A109,'2_Clean_Data'!$A$2:$A$1360,0))</f>
        <v>62</v>
      </c>
      <c r="H109" s="9" t="str">
        <f t="shared" si="5"/>
        <v>Moderate</v>
      </c>
      <c r="I109" s="9" t="str">
        <f t="shared" si="6"/>
        <v>OK</v>
      </c>
      <c r="J109" s="9" t="str">
        <f t="shared" si="7"/>
        <v>Solid</v>
      </c>
    </row>
    <row r="110" spans="1:10" x14ac:dyDescent="0.3">
      <c r="A110" s="10">
        <f>'2_Clean_Data'!A107</f>
        <v>106</v>
      </c>
      <c r="B110" s="10">
        <f>INDEX('2_Clean_Data'!$M$2:$M$1360,MATCH($A110,'2_Clean_Data'!$A$2:$A$1360,0))</f>
        <v>6</v>
      </c>
      <c r="C110" s="9" t="str">
        <f t="shared" si="4"/>
        <v>Above Average</v>
      </c>
      <c r="D110" s="11">
        <f>INDEX('2_Clean_Data'!$L$2:$L$1360,MATCH($A110,'2_Clean_Data'!$A$2:$A$1360,0))</f>
        <v>10</v>
      </c>
      <c r="E110" s="9" t="str">
        <f>IF(D110&lt;'3_Summary_Tables'!$C$16,"Low",IF(D110&lt;'3_Summary_Tables'!$C$17,"Medium","High"))</f>
        <v>Medium</v>
      </c>
      <c r="F110" s="12">
        <f>INDEX('2_Clean_Data'!$C$2:$C$1360,MATCH($A110,'2_Clean_Data'!$A$2:$A$1360,0))</f>
        <v>0.54</v>
      </c>
      <c r="G110" s="10">
        <f>INDEX('2_Clean_Data'!$H$2:$H$1360,MATCH($A110,'2_Clean_Data'!$A$2:$A$1360,0))</f>
        <v>40</v>
      </c>
      <c r="H110" s="9" t="str">
        <f t="shared" si="5"/>
        <v>Low</v>
      </c>
      <c r="I110" s="9" t="str">
        <f t="shared" si="6"/>
        <v>OK</v>
      </c>
      <c r="J110" s="9" t="str">
        <f t="shared" si="7"/>
        <v>Solid</v>
      </c>
    </row>
    <row r="111" spans="1:10" x14ac:dyDescent="0.3">
      <c r="A111" s="10">
        <f>'2_Clean_Data'!A108</f>
        <v>107</v>
      </c>
      <c r="B111" s="10">
        <f>INDEX('2_Clean_Data'!$M$2:$M$1360,MATCH($A111,'2_Clean_Data'!$A$2:$A$1360,0))</f>
        <v>6</v>
      </c>
      <c r="C111" s="9" t="str">
        <f t="shared" si="4"/>
        <v>Above Average</v>
      </c>
      <c r="D111" s="11">
        <f>INDEX('2_Clean_Data'!$L$2:$L$1360,MATCH($A111,'2_Clean_Data'!$A$2:$A$1360,0))</f>
        <v>9.4</v>
      </c>
      <c r="E111" s="9" t="str">
        <f>IF(D111&lt;'3_Summary_Tables'!$C$16,"Low",IF(D111&lt;'3_Summary_Tables'!$C$17,"Medium","High"))</f>
        <v>Low</v>
      </c>
      <c r="F111" s="12">
        <f>INDEX('2_Clean_Data'!$C$2:$C$1360,MATCH($A111,'2_Clean_Data'!$A$2:$A$1360,0))</f>
        <v>0.56000000000000005</v>
      </c>
      <c r="G111" s="10">
        <f>INDEX('2_Clean_Data'!$H$2:$H$1360,MATCH($A111,'2_Clean_Data'!$A$2:$A$1360,0))</f>
        <v>28</v>
      </c>
      <c r="H111" s="9" t="str">
        <f t="shared" si="5"/>
        <v>Low</v>
      </c>
      <c r="I111" s="9" t="str">
        <f t="shared" si="6"/>
        <v>OK</v>
      </c>
      <c r="J111" s="9" t="str">
        <f t="shared" si="7"/>
        <v>Solid</v>
      </c>
    </row>
    <row r="112" spans="1:10" x14ac:dyDescent="0.3">
      <c r="A112" s="10">
        <f>'2_Clean_Data'!A109</f>
        <v>108</v>
      </c>
      <c r="B112" s="10">
        <f>INDEX('2_Clean_Data'!$M$2:$M$1360,MATCH($A112,'2_Clean_Data'!$A$2:$A$1360,0))</f>
        <v>6</v>
      </c>
      <c r="C112" s="9" t="str">
        <f t="shared" si="4"/>
        <v>Above Average</v>
      </c>
      <c r="D112" s="11">
        <f>INDEX('2_Clean_Data'!$L$2:$L$1360,MATCH($A112,'2_Clean_Data'!$A$2:$A$1360,0))</f>
        <v>10.9</v>
      </c>
      <c r="E112" s="9" t="str">
        <f>IF(D112&lt;'3_Summary_Tables'!$C$16,"Low",IF(D112&lt;'3_Summary_Tables'!$C$17,"Medium","High"))</f>
        <v>Medium</v>
      </c>
      <c r="F112" s="12">
        <f>INDEX('2_Clean_Data'!$C$2:$C$1360,MATCH($A112,'2_Clean_Data'!$A$2:$A$1360,0))</f>
        <v>0.55000000000000004</v>
      </c>
      <c r="G112" s="10">
        <f>INDEX('2_Clean_Data'!$H$2:$H$1360,MATCH($A112,'2_Clean_Data'!$A$2:$A$1360,0))</f>
        <v>56</v>
      </c>
      <c r="H112" s="9" t="str">
        <f t="shared" si="5"/>
        <v>Moderate</v>
      </c>
      <c r="I112" s="9" t="str">
        <f t="shared" si="6"/>
        <v>OK</v>
      </c>
      <c r="J112" s="9" t="str">
        <f t="shared" si="7"/>
        <v>Solid</v>
      </c>
    </row>
    <row r="113" spans="1:10" x14ac:dyDescent="0.3">
      <c r="A113" s="10">
        <f>'2_Clean_Data'!A110</f>
        <v>109</v>
      </c>
      <c r="B113" s="10">
        <f>INDEX('2_Clean_Data'!$M$2:$M$1360,MATCH($A113,'2_Clean_Data'!$A$2:$A$1360,0))</f>
        <v>6</v>
      </c>
      <c r="C113" s="9" t="str">
        <f t="shared" si="4"/>
        <v>Above Average</v>
      </c>
      <c r="D113" s="11">
        <f>INDEX('2_Clean_Data'!$L$2:$L$1360,MATCH($A113,'2_Clean_Data'!$A$2:$A$1360,0))</f>
        <v>9.1999999999999993</v>
      </c>
      <c r="E113" s="9" t="str">
        <f>IF(D113&lt;'3_Summary_Tables'!$C$16,"Low",IF(D113&lt;'3_Summary_Tables'!$C$17,"Medium","High"))</f>
        <v>Low</v>
      </c>
      <c r="F113" s="12">
        <f>INDEX('2_Clean_Data'!$C$2:$C$1360,MATCH($A113,'2_Clean_Data'!$A$2:$A$1360,0))</f>
        <v>0.69</v>
      </c>
      <c r="G113" s="10">
        <f>INDEX('2_Clean_Data'!$H$2:$H$1360,MATCH($A113,'2_Clean_Data'!$A$2:$A$1360,0))</f>
        <v>89</v>
      </c>
      <c r="H113" s="9" t="str">
        <f t="shared" si="5"/>
        <v>Moderate</v>
      </c>
      <c r="I113" s="9" t="str">
        <f t="shared" si="6"/>
        <v>OK</v>
      </c>
      <c r="J113" s="9" t="str">
        <f t="shared" si="7"/>
        <v>Solid</v>
      </c>
    </row>
    <row r="114" spans="1:10" x14ac:dyDescent="0.3">
      <c r="A114" s="10">
        <f>'2_Clean_Data'!A111</f>
        <v>110</v>
      </c>
      <c r="B114" s="10">
        <f>INDEX('2_Clean_Data'!$M$2:$M$1360,MATCH($A114,'2_Clean_Data'!$A$2:$A$1360,0))</f>
        <v>5</v>
      </c>
      <c r="C114" s="9" t="str">
        <f t="shared" si="4"/>
        <v>Average</v>
      </c>
      <c r="D114" s="11">
        <f>INDEX('2_Clean_Data'!$L$2:$L$1360,MATCH($A114,'2_Clean_Data'!$A$2:$A$1360,0))</f>
        <v>9</v>
      </c>
      <c r="E114" s="9" t="str">
        <f>IF(D114&lt;'3_Summary_Tables'!$C$16,"Low",IF(D114&lt;'3_Summary_Tables'!$C$17,"Medium","High"))</f>
        <v>Low</v>
      </c>
      <c r="F114" s="12">
        <f>INDEX('2_Clean_Data'!$C$2:$C$1360,MATCH($A114,'2_Clean_Data'!$A$2:$A$1360,0))</f>
        <v>1.07</v>
      </c>
      <c r="G114" s="10">
        <f>INDEX('2_Clean_Data'!$H$2:$H$1360,MATCH($A114,'2_Clean_Data'!$A$2:$A$1360,0))</f>
        <v>89</v>
      </c>
      <c r="H114" s="9" t="str">
        <f t="shared" si="5"/>
        <v>Moderate</v>
      </c>
      <c r="I114" s="9" t="str">
        <f t="shared" si="6"/>
        <v>Above limit</v>
      </c>
      <c r="J114" s="9" t="str">
        <f t="shared" si="7"/>
        <v>Standard</v>
      </c>
    </row>
    <row r="115" spans="1:10" x14ac:dyDescent="0.3">
      <c r="A115" s="10">
        <f>'2_Clean_Data'!A112</f>
        <v>111</v>
      </c>
      <c r="B115" s="10">
        <f>INDEX('2_Clean_Data'!$M$2:$M$1360,MATCH($A115,'2_Clean_Data'!$A$2:$A$1360,0))</f>
        <v>5</v>
      </c>
      <c r="C115" s="9" t="str">
        <f t="shared" si="4"/>
        <v>Average</v>
      </c>
      <c r="D115" s="11">
        <f>INDEX('2_Clean_Data'!$L$2:$L$1360,MATCH($A115,'2_Clean_Data'!$A$2:$A$1360,0))</f>
        <v>9.1999999999999993</v>
      </c>
      <c r="E115" s="9" t="str">
        <f>IF(D115&lt;'3_Summary_Tables'!$C$16,"Low",IF(D115&lt;'3_Summary_Tables'!$C$17,"Medium","High"))</f>
        <v>Low</v>
      </c>
      <c r="F115" s="12">
        <f>INDEX('2_Clean_Data'!$C$2:$C$1360,MATCH($A115,'2_Clean_Data'!$A$2:$A$1360,0))</f>
        <v>0.69499999999999995</v>
      </c>
      <c r="G115" s="10">
        <f>INDEX('2_Clean_Data'!$H$2:$H$1360,MATCH($A115,'2_Clean_Data'!$A$2:$A$1360,0))</f>
        <v>13</v>
      </c>
      <c r="H115" s="9" t="str">
        <f t="shared" si="5"/>
        <v>Low</v>
      </c>
      <c r="I115" s="9" t="str">
        <f t="shared" si="6"/>
        <v>OK</v>
      </c>
      <c r="J115" s="9" t="str">
        <f t="shared" si="7"/>
        <v>Standard</v>
      </c>
    </row>
    <row r="116" spans="1:10" x14ac:dyDescent="0.3">
      <c r="A116" s="10">
        <f>'2_Clean_Data'!A113</f>
        <v>112</v>
      </c>
      <c r="B116" s="10">
        <f>INDEX('2_Clean_Data'!$M$2:$M$1360,MATCH($A116,'2_Clean_Data'!$A$2:$A$1360,0))</f>
        <v>5</v>
      </c>
      <c r="C116" s="9" t="str">
        <f t="shared" si="4"/>
        <v>Average</v>
      </c>
      <c r="D116" s="11">
        <f>INDEX('2_Clean_Data'!$L$2:$L$1360,MATCH($A116,'2_Clean_Data'!$A$2:$A$1360,0))</f>
        <v>9.5</v>
      </c>
      <c r="E116" s="9" t="str">
        <f>IF(D116&lt;'3_Summary_Tables'!$C$16,"Low",IF(D116&lt;'3_Summary_Tables'!$C$17,"Medium","High"))</f>
        <v>Low</v>
      </c>
      <c r="F116" s="12">
        <f>INDEX('2_Clean_Data'!$C$2:$C$1360,MATCH($A116,'2_Clean_Data'!$A$2:$A$1360,0))</f>
        <v>0.71</v>
      </c>
      <c r="G116" s="10">
        <f>INDEX('2_Clean_Data'!$H$2:$H$1360,MATCH($A116,'2_Clean_Data'!$A$2:$A$1360,0))</f>
        <v>34</v>
      </c>
      <c r="H116" s="9" t="str">
        <f t="shared" si="5"/>
        <v>Low</v>
      </c>
      <c r="I116" s="9" t="str">
        <f t="shared" si="6"/>
        <v>Above limit</v>
      </c>
      <c r="J116" s="9" t="str">
        <f t="shared" si="7"/>
        <v>Standard</v>
      </c>
    </row>
    <row r="117" spans="1:10" x14ac:dyDescent="0.3">
      <c r="A117" s="10">
        <f>'2_Clean_Data'!A114</f>
        <v>113</v>
      </c>
      <c r="B117" s="10">
        <f>INDEX('2_Clean_Data'!$M$2:$M$1360,MATCH($A117,'2_Clean_Data'!$A$2:$A$1360,0))</f>
        <v>5</v>
      </c>
      <c r="C117" s="9" t="str">
        <f t="shared" si="4"/>
        <v>Average</v>
      </c>
      <c r="D117" s="11">
        <f>INDEX('2_Clean_Data'!$L$2:$L$1360,MATCH($A117,'2_Clean_Data'!$A$2:$A$1360,0))</f>
        <v>9.5</v>
      </c>
      <c r="E117" s="9" t="str">
        <f>IF(D117&lt;'3_Summary_Tables'!$C$16,"Low",IF(D117&lt;'3_Summary_Tables'!$C$17,"Medium","High"))</f>
        <v>Low</v>
      </c>
      <c r="F117" s="12">
        <f>INDEX('2_Clean_Data'!$C$2:$C$1360,MATCH($A117,'2_Clean_Data'!$A$2:$A$1360,0))</f>
        <v>0.5</v>
      </c>
      <c r="G117" s="10">
        <f>INDEX('2_Clean_Data'!$H$2:$H$1360,MATCH($A117,'2_Clean_Data'!$A$2:$A$1360,0))</f>
        <v>102</v>
      </c>
      <c r="H117" s="9" t="str">
        <f t="shared" si="5"/>
        <v>High</v>
      </c>
      <c r="I117" s="9" t="str">
        <f t="shared" si="6"/>
        <v>OK</v>
      </c>
      <c r="J117" s="9" t="str">
        <f t="shared" si="7"/>
        <v>Standard</v>
      </c>
    </row>
    <row r="118" spans="1:10" x14ac:dyDescent="0.3">
      <c r="A118" s="10">
        <f>'2_Clean_Data'!A115</f>
        <v>114</v>
      </c>
      <c r="B118" s="10">
        <f>INDEX('2_Clean_Data'!$M$2:$M$1360,MATCH($A118,'2_Clean_Data'!$A$2:$A$1360,0))</f>
        <v>5</v>
      </c>
      <c r="C118" s="9" t="str">
        <f t="shared" si="4"/>
        <v>Average</v>
      </c>
      <c r="D118" s="11">
        <f>INDEX('2_Clean_Data'!$L$2:$L$1360,MATCH($A118,'2_Clean_Data'!$A$2:$A$1360,0))</f>
        <v>9.4</v>
      </c>
      <c r="E118" s="9" t="str">
        <f>IF(D118&lt;'3_Summary_Tables'!$C$16,"Low",IF(D118&lt;'3_Summary_Tables'!$C$17,"Medium","High"))</f>
        <v>Low</v>
      </c>
      <c r="F118" s="12">
        <f>INDEX('2_Clean_Data'!$C$2:$C$1360,MATCH($A118,'2_Clean_Data'!$A$2:$A$1360,0))</f>
        <v>0.62</v>
      </c>
      <c r="G118" s="10">
        <f>INDEX('2_Clean_Data'!$H$2:$H$1360,MATCH($A118,'2_Clean_Data'!$A$2:$A$1360,0))</f>
        <v>90</v>
      </c>
      <c r="H118" s="9" t="str">
        <f t="shared" si="5"/>
        <v>Moderate</v>
      </c>
      <c r="I118" s="9" t="str">
        <f t="shared" si="6"/>
        <v>OK</v>
      </c>
      <c r="J118" s="9" t="str">
        <f t="shared" si="7"/>
        <v>Standard</v>
      </c>
    </row>
    <row r="119" spans="1:10" x14ac:dyDescent="0.3">
      <c r="A119" s="10">
        <f>'2_Clean_Data'!A116</f>
        <v>115</v>
      </c>
      <c r="B119" s="10">
        <f>INDEX('2_Clean_Data'!$M$2:$M$1360,MATCH($A119,'2_Clean_Data'!$A$2:$A$1360,0))</f>
        <v>5</v>
      </c>
      <c r="C119" s="9" t="str">
        <f t="shared" si="4"/>
        <v>Average</v>
      </c>
      <c r="D119" s="11">
        <f>INDEX('2_Clean_Data'!$L$2:$L$1360,MATCH($A119,'2_Clean_Data'!$A$2:$A$1360,0))</f>
        <v>10.9</v>
      </c>
      <c r="E119" s="9" t="str">
        <f>IF(D119&lt;'3_Summary_Tables'!$C$16,"Low",IF(D119&lt;'3_Summary_Tables'!$C$17,"Medium","High"))</f>
        <v>Medium</v>
      </c>
      <c r="F119" s="12">
        <f>INDEX('2_Clean_Data'!$C$2:$C$1360,MATCH($A119,'2_Clean_Data'!$A$2:$A$1360,0))</f>
        <v>1.33</v>
      </c>
      <c r="G119" s="10">
        <f>INDEX('2_Clean_Data'!$H$2:$H$1360,MATCH($A119,'2_Clean_Data'!$A$2:$A$1360,0))</f>
        <v>12</v>
      </c>
      <c r="H119" s="9" t="str">
        <f t="shared" si="5"/>
        <v>Low</v>
      </c>
      <c r="I119" s="9" t="str">
        <f t="shared" si="6"/>
        <v>Above limit</v>
      </c>
      <c r="J119" s="9" t="str">
        <f t="shared" si="7"/>
        <v>Standard</v>
      </c>
    </row>
    <row r="120" spans="1:10" x14ac:dyDescent="0.3">
      <c r="A120" s="10">
        <f>'2_Clean_Data'!A117</f>
        <v>116</v>
      </c>
      <c r="B120" s="10">
        <f>INDEX('2_Clean_Data'!$M$2:$M$1360,MATCH($A120,'2_Clean_Data'!$A$2:$A$1360,0))</f>
        <v>5</v>
      </c>
      <c r="C120" s="9" t="str">
        <f t="shared" si="4"/>
        <v>Average</v>
      </c>
      <c r="D120" s="11">
        <f>INDEX('2_Clean_Data'!$L$2:$L$1360,MATCH($A120,'2_Clean_Data'!$A$2:$A$1360,0))</f>
        <v>10.9</v>
      </c>
      <c r="E120" s="9" t="str">
        <f>IF(D120&lt;'3_Summary_Tables'!$C$16,"Low",IF(D120&lt;'3_Summary_Tables'!$C$17,"Medium","High"))</f>
        <v>Medium</v>
      </c>
      <c r="F120" s="12">
        <f>INDEX('2_Clean_Data'!$C$2:$C$1360,MATCH($A120,'2_Clean_Data'!$A$2:$A$1360,0))</f>
        <v>1.33</v>
      </c>
      <c r="G120" s="10">
        <f>INDEX('2_Clean_Data'!$H$2:$H$1360,MATCH($A120,'2_Clean_Data'!$A$2:$A$1360,0))</f>
        <v>12</v>
      </c>
      <c r="H120" s="9" t="str">
        <f t="shared" si="5"/>
        <v>Low</v>
      </c>
      <c r="I120" s="9" t="str">
        <f t="shared" si="6"/>
        <v>Above limit</v>
      </c>
      <c r="J120" s="9" t="str">
        <f t="shared" si="7"/>
        <v>Standard</v>
      </c>
    </row>
    <row r="121" spans="1:10" x14ac:dyDescent="0.3">
      <c r="A121" s="10">
        <f>'2_Clean_Data'!A118</f>
        <v>117</v>
      </c>
      <c r="B121" s="10">
        <f>INDEX('2_Clean_Data'!$M$2:$M$1360,MATCH($A121,'2_Clean_Data'!$A$2:$A$1360,0))</f>
        <v>7</v>
      </c>
      <c r="C121" s="9" t="str">
        <f t="shared" si="4"/>
        <v>Good</v>
      </c>
      <c r="D121" s="11">
        <f>INDEX('2_Clean_Data'!$L$2:$L$1360,MATCH($A121,'2_Clean_Data'!$A$2:$A$1360,0))</f>
        <v>10.5</v>
      </c>
      <c r="E121" s="9" t="str">
        <f>IF(D121&lt;'3_Summary_Tables'!$C$16,"Low",IF(D121&lt;'3_Summary_Tables'!$C$17,"Medium","High"))</f>
        <v>Medium</v>
      </c>
      <c r="F121" s="12">
        <f>INDEX('2_Clean_Data'!$C$2:$C$1360,MATCH($A121,'2_Clean_Data'!$A$2:$A$1360,0))</f>
        <v>0.59</v>
      </c>
      <c r="G121" s="10">
        <f>INDEX('2_Clean_Data'!$H$2:$H$1360,MATCH($A121,'2_Clean_Data'!$A$2:$A$1360,0))</f>
        <v>16</v>
      </c>
      <c r="H121" s="9" t="str">
        <f t="shared" si="5"/>
        <v>Low</v>
      </c>
      <c r="I121" s="9" t="str">
        <f t="shared" si="6"/>
        <v>OK</v>
      </c>
      <c r="J121" s="9" t="str">
        <f t="shared" si="7"/>
        <v>Solid</v>
      </c>
    </row>
    <row r="122" spans="1:10" x14ac:dyDescent="0.3">
      <c r="A122" s="10">
        <f>'2_Clean_Data'!A119</f>
        <v>118</v>
      </c>
      <c r="B122" s="10">
        <f>INDEX('2_Clean_Data'!$M$2:$M$1360,MATCH($A122,'2_Clean_Data'!$A$2:$A$1360,0))</f>
        <v>5</v>
      </c>
      <c r="C122" s="9" t="str">
        <f t="shared" si="4"/>
        <v>Average</v>
      </c>
      <c r="D122" s="11">
        <f>INDEX('2_Clean_Data'!$L$2:$L$1360,MATCH($A122,'2_Clean_Data'!$A$2:$A$1360,0))</f>
        <v>9.4</v>
      </c>
      <c r="E122" s="9" t="str">
        <f>IF(D122&lt;'3_Summary_Tables'!$C$16,"Low",IF(D122&lt;'3_Summary_Tables'!$C$17,"Medium","High"))</f>
        <v>Low</v>
      </c>
      <c r="F122" s="12">
        <f>INDEX('2_Clean_Data'!$C$2:$C$1360,MATCH($A122,'2_Clean_Data'!$A$2:$A$1360,0))</f>
        <v>0.38</v>
      </c>
      <c r="G122" s="10">
        <f>INDEX('2_Clean_Data'!$H$2:$H$1360,MATCH($A122,'2_Clean_Data'!$A$2:$A$1360,0))</f>
        <v>19</v>
      </c>
      <c r="H122" s="9" t="str">
        <f t="shared" si="5"/>
        <v>Low</v>
      </c>
      <c r="I122" s="9" t="str">
        <f t="shared" si="6"/>
        <v>OK</v>
      </c>
      <c r="J122" s="9" t="str">
        <f t="shared" si="7"/>
        <v>Standard</v>
      </c>
    </row>
    <row r="123" spans="1:10" x14ac:dyDescent="0.3">
      <c r="A123" s="10">
        <f>'2_Clean_Data'!A120</f>
        <v>119</v>
      </c>
      <c r="B123" s="10">
        <f>INDEX('2_Clean_Data'!$M$2:$M$1360,MATCH($A123,'2_Clean_Data'!$A$2:$A$1360,0))</f>
        <v>5</v>
      </c>
      <c r="C123" s="9" t="str">
        <f t="shared" si="4"/>
        <v>Average</v>
      </c>
      <c r="D123" s="11">
        <f>INDEX('2_Clean_Data'!$L$2:$L$1360,MATCH($A123,'2_Clean_Data'!$A$2:$A$1360,0))</f>
        <v>9.4</v>
      </c>
      <c r="E123" s="9" t="str">
        <f>IF(D123&lt;'3_Summary_Tables'!$C$16,"Low",IF(D123&lt;'3_Summary_Tables'!$C$17,"Medium","High"))</f>
        <v>Low</v>
      </c>
      <c r="F123" s="12">
        <f>INDEX('2_Clean_Data'!$C$2:$C$1360,MATCH($A123,'2_Clean_Data'!$A$2:$A$1360,0))</f>
        <v>0.745</v>
      </c>
      <c r="G123" s="10">
        <f>INDEX('2_Clean_Data'!$H$2:$H$1360,MATCH($A123,'2_Clean_Data'!$A$2:$A$1360,0))</f>
        <v>134</v>
      </c>
      <c r="H123" s="9" t="str">
        <f t="shared" si="5"/>
        <v>High</v>
      </c>
      <c r="I123" s="9" t="str">
        <f t="shared" si="6"/>
        <v>Above limit</v>
      </c>
      <c r="J123" s="9" t="str">
        <f t="shared" si="7"/>
        <v>Standard</v>
      </c>
    </row>
    <row r="124" spans="1:10" x14ac:dyDescent="0.3">
      <c r="A124" s="10">
        <f>'2_Clean_Data'!A121</f>
        <v>120</v>
      </c>
      <c r="B124" s="10">
        <f>INDEX('2_Clean_Data'!$M$2:$M$1360,MATCH($A124,'2_Clean_Data'!$A$2:$A$1360,0))</f>
        <v>5</v>
      </c>
      <c r="C124" s="9" t="str">
        <f t="shared" si="4"/>
        <v>Average</v>
      </c>
      <c r="D124" s="11">
        <f>INDEX('2_Clean_Data'!$L$2:$L$1360,MATCH($A124,'2_Clean_Data'!$A$2:$A$1360,0))</f>
        <v>13</v>
      </c>
      <c r="E124" s="9" t="str">
        <f>IF(D124&lt;'3_Summary_Tables'!$C$16,"Low",IF(D124&lt;'3_Summary_Tables'!$C$17,"Medium","High"))</f>
        <v>High</v>
      </c>
      <c r="F124" s="12">
        <f>INDEX('2_Clean_Data'!$C$2:$C$1360,MATCH($A124,'2_Clean_Data'!$A$2:$A$1360,0))</f>
        <v>0.5</v>
      </c>
      <c r="G124" s="10">
        <f>INDEX('2_Clean_Data'!$H$2:$H$1360,MATCH($A124,'2_Clean_Data'!$A$2:$A$1360,0))</f>
        <v>99</v>
      </c>
      <c r="H124" s="9" t="str">
        <f t="shared" si="5"/>
        <v>Moderate</v>
      </c>
      <c r="I124" s="9" t="str">
        <f t="shared" si="6"/>
        <v>OK</v>
      </c>
      <c r="J124" s="9" t="str">
        <f t="shared" si="7"/>
        <v>Standard</v>
      </c>
    </row>
    <row r="125" spans="1:10" x14ac:dyDescent="0.3">
      <c r="A125" s="10">
        <f>'2_Clean_Data'!A122</f>
        <v>121</v>
      </c>
      <c r="B125" s="10">
        <f>INDEX('2_Clean_Data'!$M$2:$M$1360,MATCH($A125,'2_Clean_Data'!$A$2:$A$1360,0))</f>
        <v>6</v>
      </c>
      <c r="C125" s="9" t="str">
        <f t="shared" si="4"/>
        <v>Above Average</v>
      </c>
      <c r="D125" s="11">
        <f>INDEX('2_Clean_Data'!$L$2:$L$1360,MATCH($A125,'2_Clean_Data'!$A$2:$A$1360,0))</f>
        <v>9.8000000000000007</v>
      </c>
      <c r="E125" s="9" t="str">
        <f>IF(D125&lt;'3_Summary_Tables'!$C$16,"Low",IF(D125&lt;'3_Summary_Tables'!$C$17,"Medium","High"))</f>
        <v>Low</v>
      </c>
      <c r="F125" s="12">
        <f>INDEX('2_Clean_Data'!$C$2:$C$1360,MATCH($A125,'2_Clean_Data'!$A$2:$A$1360,0))</f>
        <v>0.5</v>
      </c>
      <c r="G125" s="10">
        <f>INDEX('2_Clean_Data'!$H$2:$H$1360,MATCH($A125,'2_Clean_Data'!$A$2:$A$1360,0))</f>
        <v>26</v>
      </c>
      <c r="H125" s="9" t="str">
        <f t="shared" si="5"/>
        <v>Low</v>
      </c>
      <c r="I125" s="9" t="str">
        <f t="shared" si="6"/>
        <v>OK</v>
      </c>
      <c r="J125" s="9" t="str">
        <f t="shared" si="7"/>
        <v>Solid</v>
      </c>
    </row>
    <row r="126" spans="1:10" x14ac:dyDescent="0.3">
      <c r="A126" s="10">
        <f>'2_Clean_Data'!A123</f>
        <v>122</v>
      </c>
      <c r="B126" s="10">
        <f>INDEX('2_Clean_Data'!$M$2:$M$1360,MATCH($A126,'2_Clean_Data'!$A$2:$A$1360,0))</f>
        <v>6</v>
      </c>
      <c r="C126" s="9" t="str">
        <f t="shared" si="4"/>
        <v>Above Average</v>
      </c>
      <c r="D126" s="11">
        <f>INDEX('2_Clean_Data'!$L$2:$L$1360,MATCH($A126,'2_Clean_Data'!$A$2:$A$1360,0))</f>
        <v>9.9</v>
      </c>
      <c r="E126" s="9" t="str">
        <f>IF(D126&lt;'3_Summary_Tables'!$C$16,"Low",IF(D126&lt;'3_Summary_Tables'!$C$17,"Medium","High"))</f>
        <v>Low</v>
      </c>
      <c r="F126" s="12">
        <f>INDEX('2_Clean_Data'!$C$2:$C$1360,MATCH($A126,'2_Clean_Data'!$A$2:$A$1360,0))</f>
        <v>1.04</v>
      </c>
      <c r="G126" s="10">
        <f>INDEX('2_Clean_Data'!$H$2:$H$1360,MATCH($A126,'2_Clean_Data'!$A$2:$A$1360,0))</f>
        <v>29</v>
      </c>
      <c r="H126" s="9" t="str">
        <f t="shared" si="5"/>
        <v>Low</v>
      </c>
      <c r="I126" s="9" t="str">
        <f t="shared" si="6"/>
        <v>Above limit</v>
      </c>
      <c r="J126" s="9" t="str">
        <f t="shared" si="7"/>
        <v>Standard</v>
      </c>
    </row>
    <row r="127" spans="1:10" x14ac:dyDescent="0.3">
      <c r="A127" s="10">
        <f>'2_Clean_Data'!A124</f>
        <v>123</v>
      </c>
      <c r="B127" s="10">
        <f>INDEX('2_Clean_Data'!$M$2:$M$1360,MATCH($A127,'2_Clean_Data'!$A$2:$A$1360,0))</f>
        <v>5</v>
      </c>
      <c r="C127" s="9" t="str">
        <f t="shared" si="4"/>
        <v>Average</v>
      </c>
      <c r="D127" s="11">
        <f>INDEX('2_Clean_Data'!$L$2:$L$1360,MATCH($A127,'2_Clean_Data'!$A$2:$A$1360,0))</f>
        <v>9.6</v>
      </c>
      <c r="E127" s="9" t="str">
        <f>IF(D127&lt;'3_Summary_Tables'!$C$16,"Low",IF(D127&lt;'3_Summary_Tables'!$C$17,"Medium","High"))</f>
        <v>Low</v>
      </c>
      <c r="F127" s="12">
        <f>INDEX('2_Clean_Data'!$C$2:$C$1360,MATCH($A127,'2_Clean_Data'!$A$2:$A$1360,0))</f>
        <v>0.745</v>
      </c>
      <c r="G127" s="10">
        <f>INDEX('2_Clean_Data'!$H$2:$H$1360,MATCH($A127,'2_Clean_Data'!$A$2:$A$1360,0))</f>
        <v>63</v>
      </c>
      <c r="H127" s="9" t="str">
        <f t="shared" si="5"/>
        <v>Moderate</v>
      </c>
      <c r="I127" s="9" t="str">
        <f t="shared" si="6"/>
        <v>Above limit</v>
      </c>
      <c r="J127" s="9" t="str">
        <f t="shared" si="7"/>
        <v>Standard</v>
      </c>
    </row>
    <row r="128" spans="1:10" x14ac:dyDescent="0.3">
      <c r="A128" s="10">
        <f>'2_Clean_Data'!A125</f>
        <v>124</v>
      </c>
      <c r="B128" s="10">
        <f>INDEX('2_Clean_Data'!$M$2:$M$1360,MATCH($A128,'2_Clean_Data'!$A$2:$A$1360,0))</f>
        <v>5</v>
      </c>
      <c r="C128" s="9" t="str">
        <f t="shared" si="4"/>
        <v>Average</v>
      </c>
      <c r="D128" s="11">
        <f>INDEX('2_Clean_Data'!$L$2:$L$1360,MATCH($A128,'2_Clean_Data'!$A$2:$A$1360,0))</f>
        <v>9.5</v>
      </c>
      <c r="E128" s="9" t="str">
        <f>IF(D128&lt;'3_Summary_Tables'!$C$16,"Low",IF(D128&lt;'3_Summary_Tables'!$C$17,"Medium","High"))</f>
        <v>Low</v>
      </c>
      <c r="F128" s="12">
        <f>INDEX('2_Clean_Data'!$C$2:$C$1360,MATCH($A128,'2_Clean_Data'!$A$2:$A$1360,0))</f>
        <v>0.71499999999999997</v>
      </c>
      <c r="G128" s="10">
        <f>INDEX('2_Clean_Data'!$H$2:$H$1360,MATCH($A128,'2_Clean_Data'!$A$2:$A$1360,0))</f>
        <v>52</v>
      </c>
      <c r="H128" s="9" t="str">
        <f t="shared" si="5"/>
        <v>Moderate</v>
      </c>
      <c r="I128" s="9" t="str">
        <f t="shared" si="6"/>
        <v>Above limit</v>
      </c>
      <c r="J128" s="9" t="str">
        <f t="shared" si="7"/>
        <v>Standard</v>
      </c>
    </row>
    <row r="129" spans="1:10" x14ac:dyDescent="0.3">
      <c r="A129" s="10">
        <f>'2_Clean_Data'!A126</f>
        <v>125</v>
      </c>
      <c r="B129" s="10">
        <f>INDEX('2_Clean_Data'!$M$2:$M$1360,MATCH($A129,'2_Clean_Data'!$A$2:$A$1360,0))</f>
        <v>5</v>
      </c>
      <c r="C129" s="9" t="str">
        <f t="shared" si="4"/>
        <v>Average</v>
      </c>
      <c r="D129" s="11">
        <f>INDEX('2_Clean_Data'!$L$2:$L$1360,MATCH($A129,'2_Clean_Data'!$A$2:$A$1360,0))</f>
        <v>9.1999999999999993</v>
      </c>
      <c r="E129" s="9" t="str">
        <f>IF(D129&lt;'3_Summary_Tables'!$C$16,"Low",IF(D129&lt;'3_Summary_Tables'!$C$17,"Medium","High"))</f>
        <v>Low</v>
      </c>
      <c r="F129" s="12">
        <f>INDEX('2_Clean_Data'!$C$2:$C$1360,MATCH($A129,'2_Clean_Data'!$A$2:$A$1360,0))</f>
        <v>0.41499999999999998</v>
      </c>
      <c r="G129" s="10">
        <f>INDEX('2_Clean_Data'!$H$2:$H$1360,MATCH($A129,'2_Clean_Data'!$A$2:$A$1360,0))</f>
        <v>45</v>
      </c>
      <c r="H129" s="9" t="str">
        <f t="shared" si="5"/>
        <v>Low</v>
      </c>
      <c r="I129" s="9" t="str">
        <f t="shared" si="6"/>
        <v>OK</v>
      </c>
      <c r="J129" s="9" t="str">
        <f t="shared" si="7"/>
        <v>Standard</v>
      </c>
    </row>
    <row r="130" spans="1:10" x14ac:dyDescent="0.3">
      <c r="A130" s="10">
        <f>'2_Clean_Data'!A127</f>
        <v>126</v>
      </c>
      <c r="B130" s="10">
        <f>INDEX('2_Clean_Data'!$M$2:$M$1360,MATCH($A130,'2_Clean_Data'!$A$2:$A$1360,0))</f>
        <v>5</v>
      </c>
      <c r="C130" s="9" t="str">
        <f t="shared" si="4"/>
        <v>Average</v>
      </c>
      <c r="D130" s="11">
        <f>INDEX('2_Clean_Data'!$L$2:$L$1360,MATCH($A130,'2_Clean_Data'!$A$2:$A$1360,0))</f>
        <v>9.5</v>
      </c>
      <c r="E130" s="9" t="str">
        <f>IF(D130&lt;'3_Summary_Tables'!$C$16,"Low",IF(D130&lt;'3_Summary_Tables'!$C$17,"Medium","High"))</f>
        <v>Low</v>
      </c>
      <c r="F130" s="12">
        <f>INDEX('2_Clean_Data'!$C$2:$C$1360,MATCH($A130,'2_Clean_Data'!$A$2:$A$1360,0))</f>
        <v>0.56000000000000005</v>
      </c>
      <c r="G130" s="10">
        <f>INDEX('2_Clean_Data'!$H$2:$H$1360,MATCH($A130,'2_Clean_Data'!$A$2:$A$1360,0))</f>
        <v>105</v>
      </c>
      <c r="H130" s="9" t="str">
        <f t="shared" si="5"/>
        <v>High</v>
      </c>
      <c r="I130" s="9" t="str">
        <f t="shared" si="6"/>
        <v>OK</v>
      </c>
      <c r="J130" s="9" t="str">
        <f t="shared" si="7"/>
        <v>Standard</v>
      </c>
    </row>
    <row r="131" spans="1:10" x14ac:dyDescent="0.3">
      <c r="A131" s="10">
        <f>'2_Clean_Data'!A128</f>
        <v>127</v>
      </c>
      <c r="B131" s="10">
        <f>INDEX('2_Clean_Data'!$M$2:$M$1360,MATCH($A131,'2_Clean_Data'!$A$2:$A$1360,0))</f>
        <v>5</v>
      </c>
      <c r="C131" s="9" t="str">
        <f t="shared" si="4"/>
        <v>Average</v>
      </c>
      <c r="D131" s="11">
        <f>INDEX('2_Clean_Data'!$L$2:$L$1360,MATCH($A131,'2_Clean_Data'!$A$2:$A$1360,0))</f>
        <v>9.5</v>
      </c>
      <c r="E131" s="9" t="str">
        <f>IF(D131&lt;'3_Summary_Tables'!$C$16,"Low",IF(D131&lt;'3_Summary_Tables'!$C$17,"Medium","High"))</f>
        <v>Low</v>
      </c>
      <c r="F131" s="12">
        <f>INDEX('2_Clean_Data'!$C$2:$C$1360,MATCH($A131,'2_Clean_Data'!$A$2:$A$1360,0))</f>
        <v>0.56000000000000005</v>
      </c>
      <c r="G131" s="10">
        <f>INDEX('2_Clean_Data'!$H$2:$H$1360,MATCH($A131,'2_Clean_Data'!$A$2:$A$1360,0))</f>
        <v>108</v>
      </c>
      <c r="H131" s="9" t="str">
        <f t="shared" si="5"/>
        <v>High</v>
      </c>
      <c r="I131" s="9" t="str">
        <f t="shared" si="6"/>
        <v>OK</v>
      </c>
      <c r="J131" s="9" t="str">
        <f t="shared" si="7"/>
        <v>Standard</v>
      </c>
    </row>
    <row r="132" spans="1:10" x14ac:dyDescent="0.3">
      <c r="A132" s="10">
        <f>'2_Clean_Data'!A129</f>
        <v>128</v>
      </c>
      <c r="B132" s="10">
        <f>INDEX('2_Clean_Data'!$M$2:$M$1360,MATCH($A132,'2_Clean_Data'!$A$2:$A$1360,0))</f>
        <v>6</v>
      </c>
      <c r="C132" s="9" t="str">
        <f t="shared" si="4"/>
        <v>Above Average</v>
      </c>
      <c r="D132" s="11">
        <f>INDEX('2_Clean_Data'!$L$2:$L$1360,MATCH($A132,'2_Clean_Data'!$A$2:$A$1360,0))</f>
        <v>14</v>
      </c>
      <c r="E132" s="9" t="str">
        <f>IF(D132&lt;'3_Summary_Tables'!$C$16,"Low",IF(D132&lt;'3_Summary_Tables'!$C$17,"Medium","High"))</f>
        <v>High</v>
      </c>
      <c r="F132" s="12">
        <f>INDEX('2_Clean_Data'!$C$2:$C$1360,MATCH($A132,'2_Clean_Data'!$A$2:$A$1360,0))</f>
        <v>0.34</v>
      </c>
      <c r="G132" s="10">
        <f>INDEX('2_Clean_Data'!$H$2:$H$1360,MATCH($A132,'2_Clean_Data'!$A$2:$A$1360,0))</f>
        <v>63</v>
      </c>
      <c r="H132" s="9" t="str">
        <f t="shared" si="5"/>
        <v>Moderate</v>
      </c>
      <c r="I132" s="9" t="str">
        <f t="shared" si="6"/>
        <v>OK</v>
      </c>
      <c r="J132" s="9" t="str">
        <f t="shared" si="7"/>
        <v>Solid</v>
      </c>
    </row>
    <row r="133" spans="1:10" x14ac:dyDescent="0.3">
      <c r="A133" s="10">
        <f>'2_Clean_Data'!A130</f>
        <v>129</v>
      </c>
      <c r="B133" s="10">
        <f>INDEX('2_Clean_Data'!$M$2:$M$1360,MATCH($A133,'2_Clean_Data'!$A$2:$A$1360,0))</f>
        <v>5</v>
      </c>
      <c r="C133" s="9" t="str">
        <f t="shared" ref="C133:C196" si="8">VLOOKUP(B133,$L$12:$N$17,2,FALSE())</f>
        <v>Average</v>
      </c>
      <c r="D133" s="11">
        <f>INDEX('2_Clean_Data'!$L$2:$L$1360,MATCH($A133,'2_Clean_Data'!$A$2:$A$1360,0))</f>
        <v>9.4</v>
      </c>
      <c r="E133" s="9" t="str">
        <f>IF(D133&lt;'3_Summary_Tables'!$C$16,"Low",IF(D133&lt;'3_Summary_Tables'!$C$17,"Medium","High"))</f>
        <v>Low</v>
      </c>
      <c r="F133" s="12">
        <f>INDEX('2_Clean_Data'!$C$2:$C$1360,MATCH($A133,'2_Clean_Data'!$A$2:$A$1360,0))</f>
        <v>0.39</v>
      </c>
      <c r="G133" s="10">
        <f>INDEX('2_Clean_Data'!$H$2:$H$1360,MATCH($A133,'2_Clean_Data'!$A$2:$A$1360,0))</f>
        <v>20</v>
      </c>
      <c r="H133" s="9" t="str">
        <f t="shared" ref="H133:H196" si="9">IF(G133&gt;$M$8,"High",IF(G133&gt;$M$7,"Moderate","Low"))</f>
        <v>Low</v>
      </c>
      <c r="I133" s="9" t="str">
        <f t="shared" ref="I133:I196" si="10">IF(F133&gt;$M$6,"Above limit","OK")</f>
        <v>OK</v>
      </c>
      <c r="J133" s="9" t="str">
        <f t="shared" ref="J133:J196" si="11">IF(AND(B133&gt;=7,E133="High"),"Premium",IF(AND(B133&gt;=6,I133="OK"),"Solid",IF(B133&lt;=4,"Poor","Standard")))</f>
        <v>Standard</v>
      </c>
    </row>
    <row r="134" spans="1:10" x14ac:dyDescent="0.3">
      <c r="A134" s="10">
        <f>'2_Clean_Data'!A131</f>
        <v>130</v>
      </c>
      <c r="B134" s="10">
        <f>INDEX('2_Clean_Data'!$M$2:$M$1360,MATCH($A134,'2_Clean_Data'!$A$2:$A$1360,0))</f>
        <v>5</v>
      </c>
      <c r="C134" s="9" t="str">
        <f t="shared" si="8"/>
        <v>Average</v>
      </c>
      <c r="D134" s="11">
        <f>INDEX('2_Clean_Data'!$L$2:$L$1360,MATCH($A134,'2_Clean_Data'!$A$2:$A$1360,0))</f>
        <v>9.4</v>
      </c>
      <c r="E134" s="9" t="str">
        <f>IF(D134&lt;'3_Summary_Tables'!$C$16,"Low",IF(D134&lt;'3_Summary_Tables'!$C$17,"Medium","High"))</f>
        <v>Low</v>
      </c>
      <c r="F134" s="12">
        <f>INDEX('2_Clean_Data'!$C$2:$C$1360,MATCH($A134,'2_Clean_Data'!$A$2:$A$1360,0))</f>
        <v>0.67</v>
      </c>
      <c r="G134" s="10">
        <f>INDEX('2_Clean_Data'!$H$2:$H$1360,MATCH($A134,'2_Clean_Data'!$A$2:$A$1360,0))</f>
        <v>141</v>
      </c>
      <c r="H134" s="9" t="str">
        <f t="shared" si="9"/>
        <v>High</v>
      </c>
      <c r="I134" s="9" t="str">
        <f t="shared" si="10"/>
        <v>OK</v>
      </c>
      <c r="J134" s="9" t="str">
        <f t="shared" si="11"/>
        <v>Standard</v>
      </c>
    </row>
    <row r="135" spans="1:10" x14ac:dyDescent="0.3">
      <c r="A135" s="10">
        <f>'2_Clean_Data'!A132</f>
        <v>131</v>
      </c>
      <c r="B135" s="10">
        <f>INDEX('2_Clean_Data'!$M$2:$M$1360,MATCH($A135,'2_Clean_Data'!$A$2:$A$1360,0))</f>
        <v>5</v>
      </c>
      <c r="C135" s="9" t="str">
        <f t="shared" si="8"/>
        <v>Average</v>
      </c>
      <c r="D135" s="11">
        <f>INDEX('2_Clean_Data'!$L$2:$L$1360,MATCH($A135,'2_Clean_Data'!$A$2:$A$1360,0))</f>
        <v>10</v>
      </c>
      <c r="E135" s="9" t="str">
        <f>IF(D135&lt;'3_Summary_Tables'!$C$16,"Low",IF(D135&lt;'3_Summary_Tables'!$C$17,"Medium","High"))</f>
        <v>Medium</v>
      </c>
      <c r="F135" s="12">
        <f>INDEX('2_Clean_Data'!$C$2:$C$1360,MATCH($A135,'2_Clean_Data'!$A$2:$A$1360,0))</f>
        <v>0.68</v>
      </c>
      <c r="G135" s="10">
        <f>INDEX('2_Clean_Data'!$H$2:$H$1360,MATCH($A135,'2_Clean_Data'!$A$2:$A$1360,0))</f>
        <v>94</v>
      </c>
      <c r="H135" s="9" t="str">
        <f t="shared" si="9"/>
        <v>Moderate</v>
      </c>
      <c r="I135" s="9" t="str">
        <f t="shared" si="10"/>
        <v>OK</v>
      </c>
      <c r="J135" s="9" t="str">
        <f t="shared" si="11"/>
        <v>Standard</v>
      </c>
    </row>
    <row r="136" spans="1:10" x14ac:dyDescent="0.3">
      <c r="A136" s="10">
        <f>'2_Clean_Data'!A133</f>
        <v>132</v>
      </c>
      <c r="B136" s="10">
        <f>INDEX('2_Clean_Data'!$M$2:$M$1360,MATCH($A136,'2_Clean_Data'!$A$2:$A$1360,0))</f>
        <v>5</v>
      </c>
      <c r="C136" s="9" t="str">
        <f t="shared" si="8"/>
        <v>Average</v>
      </c>
      <c r="D136" s="11">
        <f>INDEX('2_Clean_Data'!$L$2:$L$1360,MATCH($A136,'2_Clean_Data'!$A$2:$A$1360,0))</f>
        <v>9.3000000000000007</v>
      </c>
      <c r="E136" s="9" t="str">
        <f>IF(D136&lt;'3_Summary_Tables'!$C$16,"Low",IF(D136&lt;'3_Summary_Tables'!$C$17,"Medium","High"))</f>
        <v>Low</v>
      </c>
      <c r="F136" s="12">
        <f>INDEX('2_Clean_Data'!$C$2:$C$1360,MATCH($A136,'2_Clean_Data'!$A$2:$A$1360,0))</f>
        <v>0.49</v>
      </c>
      <c r="G136" s="10">
        <f>INDEX('2_Clean_Data'!$H$2:$H$1360,MATCH($A136,'2_Clean_Data'!$A$2:$A$1360,0))</f>
        <v>88</v>
      </c>
      <c r="H136" s="9" t="str">
        <f t="shared" si="9"/>
        <v>Moderate</v>
      </c>
      <c r="I136" s="9" t="str">
        <f t="shared" si="10"/>
        <v>OK</v>
      </c>
      <c r="J136" s="9" t="str">
        <f t="shared" si="11"/>
        <v>Standard</v>
      </c>
    </row>
    <row r="137" spans="1:10" x14ac:dyDescent="0.3">
      <c r="A137" s="10">
        <f>'2_Clean_Data'!A134</f>
        <v>133</v>
      </c>
      <c r="B137" s="10">
        <f>INDEX('2_Clean_Data'!$M$2:$M$1360,MATCH($A137,'2_Clean_Data'!$A$2:$A$1360,0))</f>
        <v>6</v>
      </c>
      <c r="C137" s="9" t="str">
        <f t="shared" si="8"/>
        <v>Above Average</v>
      </c>
      <c r="D137" s="11">
        <f>INDEX('2_Clean_Data'!$L$2:$L$1360,MATCH($A137,'2_Clean_Data'!$A$2:$A$1360,0))</f>
        <v>10.199999999999999</v>
      </c>
      <c r="E137" s="9" t="str">
        <f>IF(D137&lt;'3_Summary_Tables'!$C$16,"Low",IF(D137&lt;'3_Summary_Tables'!$C$17,"Medium","High"))</f>
        <v>Medium</v>
      </c>
      <c r="F137" s="12">
        <f>INDEX('2_Clean_Data'!$C$2:$C$1360,MATCH($A137,'2_Clean_Data'!$A$2:$A$1360,0))</f>
        <v>0.49</v>
      </c>
      <c r="G137" s="10">
        <f>INDEX('2_Clean_Data'!$H$2:$H$1360,MATCH($A137,'2_Clean_Data'!$A$2:$A$1360,0))</f>
        <v>30</v>
      </c>
      <c r="H137" s="9" t="str">
        <f t="shared" si="9"/>
        <v>Low</v>
      </c>
      <c r="I137" s="9" t="str">
        <f t="shared" si="10"/>
        <v>OK</v>
      </c>
      <c r="J137" s="9" t="str">
        <f t="shared" si="11"/>
        <v>Solid</v>
      </c>
    </row>
    <row r="138" spans="1:10" x14ac:dyDescent="0.3">
      <c r="A138" s="10">
        <f>'2_Clean_Data'!A135</f>
        <v>134</v>
      </c>
      <c r="B138" s="10">
        <f>INDEX('2_Clean_Data'!$M$2:$M$1360,MATCH($A138,'2_Clean_Data'!$A$2:$A$1360,0))</f>
        <v>6</v>
      </c>
      <c r="C138" s="9" t="str">
        <f t="shared" si="8"/>
        <v>Above Average</v>
      </c>
      <c r="D138" s="11">
        <f>INDEX('2_Clean_Data'!$L$2:$L$1360,MATCH($A138,'2_Clean_Data'!$A$2:$A$1360,0))</f>
        <v>10.5</v>
      </c>
      <c r="E138" s="9" t="str">
        <f>IF(D138&lt;'3_Summary_Tables'!$C$16,"Low",IF(D138&lt;'3_Summary_Tables'!$C$17,"Medium","High"))</f>
        <v>Medium</v>
      </c>
      <c r="F138" s="12">
        <f>INDEX('2_Clean_Data'!$C$2:$C$1360,MATCH($A138,'2_Clean_Data'!$A$2:$A$1360,0))</f>
        <v>0.4</v>
      </c>
      <c r="G138" s="10">
        <f>INDEX('2_Clean_Data'!$H$2:$H$1360,MATCH($A138,'2_Clean_Data'!$A$2:$A$1360,0))</f>
        <v>43</v>
      </c>
      <c r="H138" s="9" t="str">
        <f t="shared" si="9"/>
        <v>Low</v>
      </c>
      <c r="I138" s="9" t="str">
        <f t="shared" si="10"/>
        <v>OK</v>
      </c>
      <c r="J138" s="9" t="str">
        <f t="shared" si="11"/>
        <v>Solid</v>
      </c>
    </row>
    <row r="139" spans="1:10" x14ac:dyDescent="0.3">
      <c r="A139" s="10">
        <f>'2_Clean_Data'!A136</f>
        <v>135</v>
      </c>
      <c r="B139" s="10">
        <f>INDEX('2_Clean_Data'!$M$2:$M$1360,MATCH($A139,'2_Clean_Data'!$A$2:$A$1360,0))</f>
        <v>6</v>
      </c>
      <c r="C139" s="9" t="str">
        <f t="shared" si="8"/>
        <v>Above Average</v>
      </c>
      <c r="D139" s="11">
        <f>INDEX('2_Clean_Data'!$L$2:$L$1360,MATCH($A139,'2_Clean_Data'!$A$2:$A$1360,0))</f>
        <v>10.3</v>
      </c>
      <c r="E139" s="9" t="str">
        <f>IF(D139&lt;'3_Summary_Tables'!$C$16,"Low",IF(D139&lt;'3_Summary_Tables'!$C$17,"Medium","High"))</f>
        <v>Medium</v>
      </c>
      <c r="F139" s="12">
        <f>INDEX('2_Clean_Data'!$C$2:$C$1360,MATCH($A139,'2_Clean_Data'!$A$2:$A$1360,0))</f>
        <v>0.33</v>
      </c>
      <c r="G139" s="10">
        <f>INDEX('2_Clean_Data'!$H$2:$H$1360,MATCH($A139,'2_Clean_Data'!$A$2:$A$1360,0))</f>
        <v>11</v>
      </c>
      <c r="H139" s="9" t="str">
        <f t="shared" si="9"/>
        <v>Low</v>
      </c>
      <c r="I139" s="9" t="str">
        <f t="shared" si="10"/>
        <v>OK</v>
      </c>
      <c r="J139" s="9" t="str">
        <f t="shared" si="11"/>
        <v>Solid</v>
      </c>
    </row>
    <row r="140" spans="1:10" x14ac:dyDescent="0.3">
      <c r="A140" s="10">
        <f>'2_Clean_Data'!A137</f>
        <v>136</v>
      </c>
      <c r="B140" s="10">
        <f>INDEX('2_Clean_Data'!$M$2:$M$1360,MATCH($A140,'2_Clean_Data'!$A$2:$A$1360,0))</f>
        <v>4</v>
      </c>
      <c r="C140" s="9" t="str">
        <f t="shared" si="8"/>
        <v>Poor</v>
      </c>
      <c r="D140" s="11">
        <f>INDEX('2_Clean_Data'!$L$2:$L$1360,MATCH($A140,'2_Clean_Data'!$A$2:$A$1360,0))</f>
        <v>9.4</v>
      </c>
      <c r="E140" s="9" t="str">
        <f>IF(D140&lt;'3_Summary_Tables'!$C$16,"Low",IF(D140&lt;'3_Summary_Tables'!$C$17,"Medium","High"))</f>
        <v>Low</v>
      </c>
      <c r="F140" s="12">
        <f>INDEX('2_Clean_Data'!$C$2:$C$1360,MATCH($A140,'2_Clean_Data'!$A$2:$A$1360,0))</f>
        <v>0.52</v>
      </c>
      <c r="G140" s="10">
        <f>INDEX('2_Clean_Data'!$H$2:$H$1360,MATCH($A140,'2_Clean_Data'!$A$2:$A$1360,0))</f>
        <v>69</v>
      </c>
      <c r="H140" s="9" t="str">
        <f t="shared" si="9"/>
        <v>Moderate</v>
      </c>
      <c r="I140" s="9" t="str">
        <f t="shared" si="10"/>
        <v>OK</v>
      </c>
      <c r="J140" s="9" t="str">
        <f t="shared" si="11"/>
        <v>Poor</v>
      </c>
    </row>
    <row r="141" spans="1:10" x14ac:dyDescent="0.3">
      <c r="A141" s="10">
        <f>'2_Clean_Data'!A138</f>
        <v>137</v>
      </c>
      <c r="B141" s="10">
        <f>INDEX('2_Clean_Data'!$M$2:$M$1360,MATCH($A141,'2_Clean_Data'!$A$2:$A$1360,0))</f>
        <v>5</v>
      </c>
      <c r="C141" s="9" t="str">
        <f t="shared" si="8"/>
        <v>Average</v>
      </c>
      <c r="D141" s="11">
        <f>INDEX('2_Clean_Data'!$L$2:$L$1360,MATCH($A141,'2_Clean_Data'!$A$2:$A$1360,0))</f>
        <v>10.1</v>
      </c>
      <c r="E141" s="9" t="str">
        <f>IF(D141&lt;'3_Summary_Tables'!$C$16,"Low",IF(D141&lt;'3_Summary_Tables'!$C$17,"Medium","High"))</f>
        <v>Medium</v>
      </c>
      <c r="F141" s="12">
        <f>INDEX('2_Clean_Data'!$C$2:$C$1360,MATCH($A141,'2_Clean_Data'!$A$2:$A$1360,0))</f>
        <v>0.6</v>
      </c>
      <c r="G141" s="10">
        <f>INDEX('2_Clean_Data'!$H$2:$H$1360,MATCH($A141,'2_Clean_Data'!$A$2:$A$1360,0))</f>
        <v>99</v>
      </c>
      <c r="H141" s="9" t="str">
        <f t="shared" si="9"/>
        <v>Moderate</v>
      </c>
      <c r="I141" s="9" t="str">
        <f t="shared" si="10"/>
        <v>OK</v>
      </c>
      <c r="J141" s="9" t="str">
        <f t="shared" si="11"/>
        <v>Standard</v>
      </c>
    </row>
    <row r="142" spans="1:10" x14ac:dyDescent="0.3">
      <c r="A142" s="10">
        <f>'2_Clean_Data'!A139</f>
        <v>138</v>
      </c>
      <c r="B142" s="10">
        <f>INDEX('2_Clean_Data'!$M$2:$M$1360,MATCH($A142,'2_Clean_Data'!$A$2:$A$1360,0))</f>
        <v>5</v>
      </c>
      <c r="C142" s="9" t="str">
        <f t="shared" si="8"/>
        <v>Average</v>
      </c>
      <c r="D142" s="11">
        <f>INDEX('2_Clean_Data'!$L$2:$L$1360,MATCH($A142,'2_Clean_Data'!$A$2:$A$1360,0))</f>
        <v>10.5</v>
      </c>
      <c r="E142" s="9" t="str">
        <f>IF(D142&lt;'3_Summary_Tables'!$C$16,"Low",IF(D142&lt;'3_Summary_Tables'!$C$17,"Medium","High"))</f>
        <v>Medium</v>
      </c>
      <c r="F142" s="12">
        <f>INDEX('2_Clean_Data'!$C$2:$C$1360,MATCH($A142,'2_Clean_Data'!$A$2:$A$1360,0))</f>
        <v>0.43</v>
      </c>
      <c r="G142" s="10">
        <f>INDEX('2_Clean_Data'!$H$2:$H$1360,MATCH($A142,'2_Clean_Data'!$A$2:$A$1360,0))</f>
        <v>129</v>
      </c>
      <c r="H142" s="9" t="str">
        <f t="shared" si="9"/>
        <v>High</v>
      </c>
      <c r="I142" s="9" t="str">
        <f t="shared" si="10"/>
        <v>OK</v>
      </c>
      <c r="J142" s="9" t="str">
        <f t="shared" si="11"/>
        <v>Standard</v>
      </c>
    </row>
    <row r="143" spans="1:10" x14ac:dyDescent="0.3">
      <c r="A143" s="10">
        <f>'2_Clean_Data'!A140</f>
        <v>139</v>
      </c>
      <c r="B143" s="10">
        <f>INDEX('2_Clean_Data'!$M$2:$M$1360,MATCH($A143,'2_Clean_Data'!$A$2:$A$1360,0))</f>
        <v>5</v>
      </c>
      <c r="C143" s="9" t="str">
        <f t="shared" si="8"/>
        <v>Average</v>
      </c>
      <c r="D143" s="11">
        <f>INDEX('2_Clean_Data'!$L$2:$L$1360,MATCH($A143,'2_Clean_Data'!$A$2:$A$1360,0))</f>
        <v>10.5</v>
      </c>
      <c r="E143" s="9" t="str">
        <f>IF(D143&lt;'3_Summary_Tables'!$C$16,"Low",IF(D143&lt;'3_Summary_Tables'!$C$17,"Medium","High"))</f>
        <v>Medium</v>
      </c>
      <c r="F143" s="12">
        <f>INDEX('2_Clean_Data'!$C$2:$C$1360,MATCH($A143,'2_Clean_Data'!$A$2:$A$1360,0))</f>
        <v>0.43</v>
      </c>
      <c r="G143" s="10">
        <f>INDEX('2_Clean_Data'!$H$2:$H$1360,MATCH($A143,'2_Clean_Data'!$A$2:$A$1360,0))</f>
        <v>128</v>
      </c>
      <c r="H143" s="9" t="str">
        <f t="shared" si="9"/>
        <v>High</v>
      </c>
      <c r="I143" s="9" t="str">
        <f t="shared" si="10"/>
        <v>OK</v>
      </c>
      <c r="J143" s="9" t="str">
        <f t="shared" si="11"/>
        <v>Standard</v>
      </c>
    </row>
    <row r="144" spans="1:10" x14ac:dyDescent="0.3">
      <c r="A144" s="10">
        <f>'2_Clean_Data'!A141</f>
        <v>140</v>
      </c>
      <c r="B144" s="10">
        <f>INDEX('2_Clean_Data'!$M$2:$M$1360,MATCH($A144,'2_Clean_Data'!$A$2:$A$1360,0))</f>
        <v>5</v>
      </c>
      <c r="C144" s="9" t="str">
        <f t="shared" si="8"/>
        <v>Average</v>
      </c>
      <c r="D144" s="11">
        <f>INDEX('2_Clean_Data'!$L$2:$L$1360,MATCH($A144,'2_Clean_Data'!$A$2:$A$1360,0))</f>
        <v>9.3000000000000007</v>
      </c>
      <c r="E144" s="9" t="str">
        <f>IF(D144&lt;'3_Summary_Tables'!$C$16,"Low",IF(D144&lt;'3_Summary_Tables'!$C$17,"Medium","High"))</f>
        <v>Low</v>
      </c>
      <c r="F144" s="12">
        <f>INDEX('2_Clean_Data'!$C$2:$C$1360,MATCH($A144,'2_Clean_Data'!$A$2:$A$1360,0))</f>
        <v>0.68</v>
      </c>
      <c r="G144" s="10">
        <f>INDEX('2_Clean_Data'!$H$2:$H$1360,MATCH($A144,'2_Clean_Data'!$A$2:$A$1360,0))</f>
        <v>22</v>
      </c>
      <c r="H144" s="9" t="str">
        <f t="shared" si="9"/>
        <v>Low</v>
      </c>
      <c r="I144" s="9" t="str">
        <f t="shared" si="10"/>
        <v>OK</v>
      </c>
      <c r="J144" s="9" t="str">
        <f t="shared" si="11"/>
        <v>Standard</v>
      </c>
    </row>
    <row r="145" spans="1:10" x14ac:dyDescent="0.3">
      <c r="A145" s="10">
        <f>'2_Clean_Data'!A142</f>
        <v>141</v>
      </c>
      <c r="B145" s="10">
        <f>INDEX('2_Clean_Data'!$M$2:$M$1360,MATCH($A145,'2_Clean_Data'!$A$2:$A$1360,0))</f>
        <v>6</v>
      </c>
      <c r="C145" s="9" t="str">
        <f t="shared" si="8"/>
        <v>Above Average</v>
      </c>
      <c r="D145" s="11">
        <f>INDEX('2_Clean_Data'!$L$2:$L$1360,MATCH($A145,'2_Clean_Data'!$A$2:$A$1360,0))</f>
        <v>9.3000000000000007</v>
      </c>
      <c r="E145" s="9" t="str">
        <f>IF(D145&lt;'3_Summary_Tables'!$C$16,"Low",IF(D145&lt;'3_Summary_Tables'!$C$17,"Medium","High"))</f>
        <v>Low</v>
      </c>
      <c r="F145" s="12">
        <f>INDEX('2_Clean_Data'!$C$2:$C$1360,MATCH($A145,'2_Clean_Data'!$A$2:$A$1360,0))</f>
        <v>0.6</v>
      </c>
      <c r="G145" s="10">
        <f>INDEX('2_Clean_Data'!$H$2:$H$1360,MATCH($A145,'2_Clean_Data'!$A$2:$A$1360,0))</f>
        <v>86</v>
      </c>
      <c r="H145" s="9" t="str">
        <f t="shared" si="9"/>
        <v>Moderate</v>
      </c>
      <c r="I145" s="9" t="str">
        <f t="shared" si="10"/>
        <v>OK</v>
      </c>
      <c r="J145" s="9" t="str">
        <f t="shared" si="11"/>
        <v>Solid</v>
      </c>
    </row>
    <row r="146" spans="1:10" x14ac:dyDescent="0.3">
      <c r="A146" s="10">
        <f>'2_Clean_Data'!A143</f>
        <v>142</v>
      </c>
      <c r="B146" s="10">
        <f>INDEX('2_Clean_Data'!$M$2:$M$1360,MATCH($A146,'2_Clean_Data'!$A$2:$A$1360,0))</f>
        <v>5</v>
      </c>
      <c r="C146" s="9" t="str">
        <f t="shared" si="8"/>
        <v>Average</v>
      </c>
      <c r="D146" s="11">
        <f>INDEX('2_Clean_Data'!$L$2:$L$1360,MATCH($A146,'2_Clean_Data'!$A$2:$A$1360,0))</f>
        <v>9.6</v>
      </c>
      <c r="E146" s="9" t="str">
        <f>IF(D146&lt;'3_Summary_Tables'!$C$16,"Low",IF(D146&lt;'3_Summary_Tables'!$C$17,"Medium","High"))</f>
        <v>Low</v>
      </c>
      <c r="F146" s="12">
        <f>INDEX('2_Clean_Data'!$C$2:$C$1360,MATCH($A146,'2_Clean_Data'!$A$2:$A$1360,0))</f>
        <v>0.95</v>
      </c>
      <c r="G146" s="10">
        <f>INDEX('2_Clean_Data'!$H$2:$H$1360,MATCH($A146,'2_Clean_Data'!$A$2:$A$1360,0))</f>
        <v>20</v>
      </c>
      <c r="H146" s="9" t="str">
        <f t="shared" si="9"/>
        <v>Low</v>
      </c>
      <c r="I146" s="9" t="str">
        <f t="shared" si="10"/>
        <v>Above limit</v>
      </c>
      <c r="J146" s="9" t="str">
        <f t="shared" si="11"/>
        <v>Standard</v>
      </c>
    </row>
    <row r="147" spans="1:10" x14ac:dyDescent="0.3">
      <c r="A147" s="10">
        <f>'2_Clean_Data'!A144</f>
        <v>143</v>
      </c>
      <c r="B147" s="10">
        <f>INDEX('2_Clean_Data'!$M$2:$M$1360,MATCH($A147,'2_Clean_Data'!$A$2:$A$1360,0))</f>
        <v>4</v>
      </c>
      <c r="C147" s="9" t="str">
        <f t="shared" si="8"/>
        <v>Poor</v>
      </c>
      <c r="D147" s="11">
        <f>INDEX('2_Clean_Data'!$L$2:$L$1360,MATCH($A147,'2_Clean_Data'!$A$2:$A$1360,0))</f>
        <v>9.1999999999999993</v>
      </c>
      <c r="E147" s="9" t="str">
        <f>IF(D147&lt;'3_Summary_Tables'!$C$16,"Low",IF(D147&lt;'3_Summary_Tables'!$C$17,"Medium","High"))</f>
        <v>Low</v>
      </c>
      <c r="F147" s="12">
        <f>INDEX('2_Clean_Data'!$C$2:$C$1360,MATCH($A147,'2_Clean_Data'!$A$2:$A$1360,0))</f>
        <v>0.68</v>
      </c>
      <c r="G147" s="10">
        <f>INDEX('2_Clean_Data'!$H$2:$H$1360,MATCH($A147,'2_Clean_Data'!$A$2:$A$1360,0))</f>
        <v>20</v>
      </c>
      <c r="H147" s="9" t="str">
        <f t="shared" si="9"/>
        <v>Low</v>
      </c>
      <c r="I147" s="9" t="str">
        <f t="shared" si="10"/>
        <v>OK</v>
      </c>
      <c r="J147" s="9" t="str">
        <f t="shared" si="11"/>
        <v>Poor</v>
      </c>
    </row>
    <row r="148" spans="1:10" x14ac:dyDescent="0.3">
      <c r="A148" s="10">
        <f>'2_Clean_Data'!A145</f>
        <v>144</v>
      </c>
      <c r="B148" s="10">
        <f>INDEX('2_Clean_Data'!$M$2:$M$1360,MATCH($A148,'2_Clean_Data'!$A$2:$A$1360,0))</f>
        <v>6</v>
      </c>
      <c r="C148" s="9" t="str">
        <f t="shared" si="8"/>
        <v>Above Average</v>
      </c>
      <c r="D148" s="11">
        <f>INDEX('2_Clean_Data'!$L$2:$L$1360,MATCH($A148,'2_Clean_Data'!$A$2:$A$1360,0))</f>
        <v>10</v>
      </c>
      <c r="E148" s="9" t="str">
        <f>IF(D148&lt;'3_Summary_Tables'!$C$16,"Low",IF(D148&lt;'3_Summary_Tables'!$C$17,"Medium","High"))</f>
        <v>Medium</v>
      </c>
      <c r="F148" s="12">
        <f>INDEX('2_Clean_Data'!$C$2:$C$1360,MATCH($A148,'2_Clean_Data'!$A$2:$A$1360,0))</f>
        <v>0.53</v>
      </c>
      <c r="G148" s="10">
        <f>INDEX('2_Clean_Data'!$H$2:$H$1360,MATCH($A148,'2_Clean_Data'!$A$2:$A$1360,0))</f>
        <v>31</v>
      </c>
      <c r="H148" s="9" t="str">
        <f t="shared" si="9"/>
        <v>Low</v>
      </c>
      <c r="I148" s="9" t="str">
        <f t="shared" si="10"/>
        <v>OK</v>
      </c>
      <c r="J148" s="9" t="str">
        <f t="shared" si="11"/>
        <v>Solid</v>
      </c>
    </row>
    <row r="149" spans="1:10" x14ac:dyDescent="0.3">
      <c r="A149" s="10">
        <f>'2_Clean_Data'!A146</f>
        <v>145</v>
      </c>
      <c r="B149" s="10">
        <f>INDEX('2_Clean_Data'!$M$2:$M$1360,MATCH($A149,'2_Clean_Data'!$A$2:$A$1360,0))</f>
        <v>5</v>
      </c>
      <c r="C149" s="9" t="str">
        <f t="shared" si="8"/>
        <v>Average</v>
      </c>
      <c r="D149" s="11">
        <f>INDEX('2_Clean_Data'!$L$2:$L$1360,MATCH($A149,'2_Clean_Data'!$A$2:$A$1360,0))</f>
        <v>9.4</v>
      </c>
      <c r="E149" s="9" t="str">
        <f>IF(D149&lt;'3_Summary_Tables'!$C$16,"Low",IF(D149&lt;'3_Summary_Tables'!$C$17,"Medium","High"))</f>
        <v>Low</v>
      </c>
      <c r="F149" s="12">
        <f>INDEX('2_Clean_Data'!$C$2:$C$1360,MATCH($A149,'2_Clean_Data'!$A$2:$A$1360,0))</f>
        <v>0.6</v>
      </c>
      <c r="G149" s="10">
        <f>INDEX('2_Clean_Data'!$H$2:$H$1360,MATCH($A149,'2_Clean_Data'!$A$2:$A$1360,0))</f>
        <v>121</v>
      </c>
      <c r="H149" s="9" t="str">
        <f t="shared" si="9"/>
        <v>High</v>
      </c>
      <c r="I149" s="9" t="str">
        <f t="shared" si="10"/>
        <v>OK</v>
      </c>
      <c r="J149" s="9" t="str">
        <f t="shared" si="11"/>
        <v>Standard</v>
      </c>
    </row>
    <row r="150" spans="1:10" x14ac:dyDescent="0.3">
      <c r="A150" s="10">
        <f>'2_Clean_Data'!A147</f>
        <v>146</v>
      </c>
      <c r="B150" s="10">
        <f>INDEX('2_Clean_Data'!$M$2:$M$1360,MATCH($A150,'2_Clean_Data'!$A$2:$A$1360,0))</f>
        <v>5</v>
      </c>
      <c r="C150" s="9" t="str">
        <f t="shared" si="8"/>
        <v>Average</v>
      </c>
      <c r="D150" s="11">
        <f>INDEX('2_Clean_Data'!$L$2:$L$1360,MATCH($A150,'2_Clean_Data'!$A$2:$A$1360,0))</f>
        <v>9.4</v>
      </c>
      <c r="E150" s="9" t="str">
        <f>IF(D150&lt;'3_Summary_Tables'!$C$16,"Low",IF(D150&lt;'3_Summary_Tables'!$C$17,"Medium","High"))</f>
        <v>Low</v>
      </c>
      <c r="F150" s="12">
        <f>INDEX('2_Clean_Data'!$C$2:$C$1360,MATCH($A150,'2_Clean_Data'!$A$2:$A$1360,0))</f>
        <v>0.59</v>
      </c>
      <c r="G150" s="10">
        <f>INDEX('2_Clean_Data'!$H$2:$H$1360,MATCH($A150,'2_Clean_Data'!$A$2:$A$1360,0))</f>
        <v>121</v>
      </c>
      <c r="H150" s="9" t="str">
        <f t="shared" si="9"/>
        <v>High</v>
      </c>
      <c r="I150" s="9" t="str">
        <f t="shared" si="10"/>
        <v>OK</v>
      </c>
      <c r="J150" s="9" t="str">
        <f t="shared" si="11"/>
        <v>Standard</v>
      </c>
    </row>
    <row r="151" spans="1:10" x14ac:dyDescent="0.3">
      <c r="A151" s="10">
        <f>'2_Clean_Data'!A148</f>
        <v>147</v>
      </c>
      <c r="B151" s="10">
        <f>INDEX('2_Clean_Data'!$M$2:$M$1360,MATCH($A151,'2_Clean_Data'!$A$2:$A$1360,0))</f>
        <v>5</v>
      </c>
      <c r="C151" s="9" t="str">
        <f t="shared" si="8"/>
        <v>Average</v>
      </c>
      <c r="D151" s="11">
        <f>INDEX('2_Clean_Data'!$L$2:$L$1360,MATCH($A151,'2_Clean_Data'!$A$2:$A$1360,0))</f>
        <v>9.5</v>
      </c>
      <c r="E151" s="9" t="str">
        <f>IF(D151&lt;'3_Summary_Tables'!$C$16,"Low",IF(D151&lt;'3_Summary_Tables'!$C$17,"Medium","High"))</f>
        <v>Low</v>
      </c>
      <c r="F151" s="12">
        <f>INDEX('2_Clean_Data'!$C$2:$C$1360,MATCH($A151,'2_Clean_Data'!$A$2:$A$1360,0))</f>
        <v>0.63</v>
      </c>
      <c r="G151" s="10">
        <f>INDEX('2_Clean_Data'!$H$2:$H$1360,MATCH($A151,'2_Clean_Data'!$A$2:$A$1360,0))</f>
        <v>96</v>
      </c>
      <c r="H151" s="9" t="str">
        <f t="shared" si="9"/>
        <v>Moderate</v>
      </c>
      <c r="I151" s="9" t="str">
        <f t="shared" si="10"/>
        <v>OK</v>
      </c>
      <c r="J151" s="9" t="str">
        <f t="shared" si="11"/>
        <v>Standard</v>
      </c>
    </row>
    <row r="152" spans="1:10" x14ac:dyDescent="0.3">
      <c r="A152" s="10">
        <f>'2_Clean_Data'!A149</f>
        <v>148</v>
      </c>
      <c r="B152" s="10">
        <f>INDEX('2_Clean_Data'!$M$2:$M$1360,MATCH($A152,'2_Clean_Data'!$A$2:$A$1360,0))</f>
        <v>5</v>
      </c>
      <c r="C152" s="9" t="str">
        <f t="shared" si="8"/>
        <v>Average</v>
      </c>
      <c r="D152" s="11">
        <f>INDEX('2_Clean_Data'!$L$2:$L$1360,MATCH($A152,'2_Clean_Data'!$A$2:$A$1360,0))</f>
        <v>10.199999999999999</v>
      </c>
      <c r="E152" s="9" t="str">
        <f>IF(D152&lt;'3_Summary_Tables'!$C$16,"Low",IF(D152&lt;'3_Summary_Tables'!$C$17,"Medium","High"))</f>
        <v>Medium</v>
      </c>
      <c r="F152" s="12">
        <f>INDEX('2_Clean_Data'!$C$2:$C$1360,MATCH($A152,'2_Clean_Data'!$A$2:$A$1360,0))</f>
        <v>0.64</v>
      </c>
      <c r="G152" s="10">
        <f>INDEX('2_Clean_Data'!$H$2:$H$1360,MATCH($A152,'2_Clean_Data'!$A$2:$A$1360,0))</f>
        <v>101</v>
      </c>
      <c r="H152" s="9" t="str">
        <f t="shared" si="9"/>
        <v>High</v>
      </c>
      <c r="I152" s="9" t="str">
        <f t="shared" si="10"/>
        <v>OK</v>
      </c>
      <c r="J152" s="9" t="str">
        <f t="shared" si="11"/>
        <v>Standard</v>
      </c>
    </row>
    <row r="153" spans="1:10" x14ac:dyDescent="0.3">
      <c r="A153" s="10">
        <f>'2_Clean_Data'!A150</f>
        <v>149</v>
      </c>
      <c r="B153" s="10">
        <f>INDEX('2_Clean_Data'!$M$2:$M$1360,MATCH($A153,'2_Clean_Data'!$A$2:$A$1360,0))</f>
        <v>4</v>
      </c>
      <c r="C153" s="9" t="str">
        <f t="shared" si="8"/>
        <v>Poor</v>
      </c>
      <c r="D153" s="11">
        <f>INDEX('2_Clean_Data'!$L$2:$L$1360,MATCH($A153,'2_Clean_Data'!$A$2:$A$1360,0))</f>
        <v>9</v>
      </c>
      <c r="E153" s="9" t="str">
        <f>IF(D153&lt;'3_Summary_Tables'!$C$16,"Low",IF(D153&lt;'3_Summary_Tables'!$C$17,"Medium","High"))</f>
        <v>Low</v>
      </c>
      <c r="F153" s="12">
        <f>INDEX('2_Clean_Data'!$C$2:$C$1360,MATCH($A153,'2_Clean_Data'!$A$2:$A$1360,0))</f>
        <v>0.55000000000000004</v>
      </c>
      <c r="G153" s="10">
        <f>INDEX('2_Clean_Data'!$H$2:$H$1360,MATCH($A153,'2_Clean_Data'!$A$2:$A$1360,0))</f>
        <v>42</v>
      </c>
      <c r="H153" s="9" t="str">
        <f t="shared" si="9"/>
        <v>Low</v>
      </c>
      <c r="I153" s="9" t="str">
        <f t="shared" si="10"/>
        <v>OK</v>
      </c>
      <c r="J153" s="9" t="str">
        <f t="shared" si="11"/>
        <v>Poor</v>
      </c>
    </row>
    <row r="154" spans="1:10" x14ac:dyDescent="0.3">
      <c r="A154" s="10">
        <f>'2_Clean_Data'!A151</f>
        <v>150</v>
      </c>
      <c r="B154" s="10">
        <f>INDEX('2_Clean_Data'!$M$2:$M$1360,MATCH($A154,'2_Clean_Data'!$A$2:$A$1360,0))</f>
        <v>6</v>
      </c>
      <c r="C154" s="9" t="str">
        <f t="shared" si="8"/>
        <v>Above Average</v>
      </c>
      <c r="D154" s="11">
        <f>INDEX('2_Clean_Data'!$L$2:$L$1360,MATCH($A154,'2_Clean_Data'!$A$2:$A$1360,0))</f>
        <v>10.4</v>
      </c>
      <c r="E154" s="9" t="str">
        <f>IF(D154&lt;'3_Summary_Tables'!$C$16,"Low",IF(D154&lt;'3_Summary_Tables'!$C$17,"Medium","High"))</f>
        <v>Medium</v>
      </c>
      <c r="F154" s="12">
        <f>INDEX('2_Clean_Data'!$C$2:$C$1360,MATCH($A154,'2_Clean_Data'!$A$2:$A$1360,0))</f>
        <v>0.63</v>
      </c>
      <c r="G154" s="10">
        <f>INDEX('2_Clean_Data'!$H$2:$H$1360,MATCH($A154,'2_Clean_Data'!$A$2:$A$1360,0))</f>
        <v>44</v>
      </c>
      <c r="H154" s="9" t="str">
        <f t="shared" si="9"/>
        <v>Low</v>
      </c>
      <c r="I154" s="9" t="str">
        <f t="shared" si="10"/>
        <v>OK</v>
      </c>
      <c r="J154" s="9" t="str">
        <f t="shared" si="11"/>
        <v>Solid</v>
      </c>
    </row>
    <row r="155" spans="1:10" x14ac:dyDescent="0.3">
      <c r="A155" s="10">
        <f>'2_Clean_Data'!A152</f>
        <v>151</v>
      </c>
      <c r="B155" s="10">
        <f>INDEX('2_Clean_Data'!$M$2:$M$1360,MATCH($A155,'2_Clean_Data'!$A$2:$A$1360,0))</f>
        <v>5</v>
      </c>
      <c r="C155" s="9" t="str">
        <f t="shared" si="8"/>
        <v>Average</v>
      </c>
      <c r="D155" s="11">
        <f>INDEX('2_Clean_Data'!$L$2:$L$1360,MATCH($A155,'2_Clean_Data'!$A$2:$A$1360,0))</f>
        <v>9.5</v>
      </c>
      <c r="E155" s="9" t="str">
        <f>IF(D155&lt;'3_Summary_Tables'!$C$16,"Low",IF(D155&lt;'3_Summary_Tables'!$C$17,"Medium","High"))</f>
        <v>Low</v>
      </c>
      <c r="F155" s="12">
        <f>INDEX('2_Clean_Data'!$C$2:$C$1360,MATCH($A155,'2_Clean_Data'!$A$2:$A$1360,0))</f>
        <v>0.70499999999999996</v>
      </c>
      <c r="G155" s="10">
        <f>INDEX('2_Clean_Data'!$H$2:$H$1360,MATCH($A155,'2_Clean_Data'!$A$2:$A$1360,0))</f>
        <v>63</v>
      </c>
      <c r="H155" s="9" t="str">
        <f t="shared" si="9"/>
        <v>Moderate</v>
      </c>
      <c r="I155" s="9" t="str">
        <f t="shared" si="10"/>
        <v>Above limit</v>
      </c>
      <c r="J155" s="9" t="str">
        <f t="shared" si="11"/>
        <v>Standard</v>
      </c>
    </row>
    <row r="156" spans="1:10" x14ac:dyDescent="0.3">
      <c r="A156" s="10">
        <f>'2_Clean_Data'!A153</f>
        <v>152</v>
      </c>
      <c r="B156" s="10">
        <f>INDEX('2_Clean_Data'!$M$2:$M$1360,MATCH($A156,'2_Clean_Data'!$A$2:$A$1360,0))</f>
        <v>4</v>
      </c>
      <c r="C156" s="9" t="str">
        <f t="shared" si="8"/>
        <v>Poor</v>
      </c>
      <c r="D156" s="11">
        <f>INDEX('2_Clean_Data'!$L$2:$L$1360,MATCH($A156,'2_Clean_Data'!$A$2:$A$1360,0))</f>
        <v>9.1</v>
      </c>
      <c r="E156" s="9" t="str">
        <f>IF(D156&lt;'3_Summary_Tables'!$C$16,"Low",IF(D156&lt;'3_Summary_Tables'!$C$17,"Medium","High"))</f>
        <v>Low</v>
      </c>
      <c r="F156" s="12">
        <f>INDEX('2_Clean_Data'!$C$2:$C$1360,MATCH($A156,'2_Clean_Data'!$A$2:$A$1360,0))</f>
        <v>0.88500000000000001</v>
      </c>
      <c r="G156" s="10">
        <f>INDEX('2_Clean_Data'!$H$2:$H$1360,MATCH($A156,'2_Clean_Data'!$A$2:$A$1360,0))</f>
        <v>8</v>
      </c>
      <c r="H156" s="9" t="str">
        <f t="shared" si="9"/>
        <v>Low</v>
      </c>
      <c r="I156" s="9" t="str">
        <f t="shared" si="10"/>
        <v>Above limit</v>
      </c>
      <c r="J156" s="9" t="str">
        <f t="shared" si="11"/>
        <v>Poor</v>
      </c>
    </row>
    <row r="157" spans="1:10" x14ac:dyDescent="0.3">
      <c r="A157" s="10">
        <f>'2_Clean_Data'!A154</f>
        <v>153</v>
      </c>
      <c r="B157" s="10">
        <f>INDEX('2_Clean_Data'!$M$2:$M$1360,MATCH($A157,'2_Clean_Data'!$A$2:$A$1360,0))</f>
        <v>6</v>
      </c>
      <c r="C157" s="9" t="str">
        <f t="shared" si="8"/>
        <v>Above Average</v>
      </c>
      <c r="D157" s="11">
        <f>INDEX('2_Clean_Data'!$L$2:$L$1360,MATCH($A157,'2_Clean_Data'!$A$2:$A$1360,0))</f>
        <v>9.1999999999999993</v>
      </c>
      <c r="E157" s="9" t="str">
        <f>IF(D157&lt;'3_Summary_Tables'!$C$16,"Low",IF(D157&lt;'3_Summary_Tables'!$C$17,"Medium","High"))</f>
        <v>Low</v>
      </c>
      <c r="F157" s="12">
        <f>INDEX('2_Clean_Data'!$C$2:$C$1360,MATCH($A157,'2_Clean_Data'!$A$2:$A$1360,0))</f>
        <v>0.42</v>
      </c>
      <c r="G157" s="10">
        <f>INDEX('2_Clean_Data'!$H$2:$H$1360,MATCH($A157,'2_Clean_Data'!$A$2:$A$1360,0))</f>
        <v>18</v>
      </c>
      <c r="H157" s="9" t="str">
        <f t="shared" si="9"/>
        <v>Low</v>
      </c>
      <c r="I157" s="9" t="str">
        <f t="shared" si="10"/>
        <v>OK</v>
      </c>
      <c r="J157" s="9" t="str">
        <f t="shared" si="11"/>
        <v>Solid</v>
      </c>
    </row>
    <row r="158" spans="1:10" x14ac:dyDescent="0.3">
      <c r="A158" s="10">
        <f>'2_Clean_Data'!A155</f>
        <v>154</v>
      </c>
      <c r="B158" s="10">
        <f>INDEX('2_Clean_Data'!$M$2:$M$1360,MATCH($A158,'2_Clean_Data'!$A$2:$A$1360,0))</f>
        <v>6</v>
      </c>
      <c r="C158" s="9" t="str">
        <f t="shared" si="8"/>
        <v>Above Average</v>
      </c>
      <c r="D158" s="11">
        <f>INDEX('2_Clean_Data'!$L$2:$L$1360,MATCH($A158,'2_Clean_Data'!$A$2:$A$1360,0))</f>
        <v>11.5</v>
      </c>
      <c r="E158" s="9" t="str">
        <f>IF(D158&lt;'3_Summary_Tables'!$C$16,"Low",IF(D158&lt;'3_Summary_Tables'!$C$17,"Medium","High"))</f>
        <v>High</v>
      </c>
      <c r="F158" s="12">
        <f>INDEX('2_Clean_Data'!$C$2:$C$1360,MATCH($A158,'2_Clean_Data'!$A$2:$A$1360,0))</f>
        <v>0.62</v>
      </c>
      <c r="G158" s="10">
        <f>INDEX('2_Clean_Data'!$H$2:$H$1360,MATCH($A158,'2_Clean_Data'!$A$2:$A$1360,0))</f>
        <v>42</v>
      </c>
      <c r="H158" s="9" t="str">
        <f t="shared" si="9"/>
        <v>Low</v>
      </c>
      <c r="I158" s="9" t="str">
        <f t="shared" si="10"/>
        <v>OK</v>
      </c>
      <c r="J158" s="9" t="str">
        <f t="shared" si="11"/>
        <v>Solid</v>
      </c>
    </row>
    <row r="159" spans="1:10" x14ac:dyDescent="0.3">
      <c r="A159" s="10">
        <f>'2_Clean_Data'!A156</f>
        <v>155</v>
      </c>
      <c r="B159" s="10">
        <f>INDEX('2_Clean_Data'!$M$2:$M$1360,MATCH($A159,'2_Clean_Data'!$A$2:$A$1360,0))</f>
        <v>5</v>
      </c>
      <c r="C159" s="9" t="str">
        <f t="shared" si="8"/>
        <v>Average</v>
      </c>
      <c r="D159" s="11">
        <f>INDEX('2_Clean_Data'!$L$2:$L$1360,MATCH($A159,'2_Clean_Data'!$A$2:$A$1360,0))</f>
        <v>9.5</v>
      </c>
      <c r="E159" s="9" t="str">
        <f>IF(D159&lt;'3_Summary_Tables'!$C$16,"Low",IF(D159&lt;'3_Summary_Tables'!$C$17,"Medium","High"))</f>
        <v>Low</v>
      </c>
      <c r="F159" s="12">
        <f>INDEX('2_Clean_Data'!$C$2:$C$1360,MATCH($A159,'2_Clean_Data'!$A$2:$A$1360,0))</f>
        <v>0.38</v>
      </c>
      <c r="G159" s="10">
        <f>INDEX('2_Clean_Data'!$H$2:$H$1360,MATCH($A159,'2_Clean_Data'!$A$2:$A$1360,0))</f>
        <v>35</v>
      </c>
      <c r="H159" s="9" t="str">
        <f t="shared" si="9"/>
        <v>Low</v>
      </c>
      <c r="I159" s="9" t="str">
        <f t="shared" si="10"/>
        <v>OK</v>
      </c>
      <c r="J159" s="9" t="str">
        <f t="shared" si="11"/>
        <v>Standard</v>
      </c>
    </row>
    <row r="160" spans="1:10" x14ac:dyDescent="0.3">
      <c r="A160" s="10">
        <f>'2_Clean_Data'!A157</f>
        <v>156</v>
      </c>
      <c r="B160" s="10">
        <f>INDEX('2_Clean_Data'!$M$2:$M$1360,MATCH($A160,'2_Clean_Data'!$A$2:$A$1360,0))</f>
        <v>5</v>
      </c>
      <c r="C160" s="9" t="str">
        <f t="shared" si="8"/>
        <v>Average</v>
      </c>
      <c r="D160" s="11">
        <f>INDEX('2_Clean_Data'!$L$2:$L$1360,MATCH($A160,'2_Clean_Data'!$A$2:$A$1360,0))</f>
        <v>9.5</v>
      </c>
      <c r="E160" s="9" t="str">
        <f>IF(D160&lt;'3_Summary_Tables'!$C$16,"Low",IF(D160&lt;'3_Summary_Tables'!$C$17,"Medium","High"))</f>
        <v>Low</v>
      </c>
      <c r="F160" s="12">
        <f>INDEX('2_Clean_Data'!$C$2:$C$1360,MATCH($A160,'2_Clean_Data'!$A$2:$A$1360,0))</f>
        <v>0.5</v>
      </c>
      <c r="G160" s="10">
        <f>INDEX('2_Clean_Data'!$H$2:$H$1360,MATCH($A160,'2_Clean_Data'!$A$2:$A$1360,0))</f>
        <v>49</v>
      </c>
      <c r="H160" s="9" t="str">
        <f t="shared" si="9"/>
        <v>Low</v>
      </c>
      <c r="I160" s="9" t="str">
        <f t="shared" si="10"/>
        <v>OK</v>
      </c>
      <c r="J160" s="9" t="str">
        <f t="shared" si="11"/>
        <v>Standard</v>
      </c>
    </row>
    <row r="161" spans="1:10" x14ac:dyDescent="0.3">
      <c r="A161" s="10">
        <f>'2_Clean_Data'!A158</f>
        <v>157</v>
      </c>
      <c r="B161" s="10">
        <f>INDEX('2_Clean_Data'!$M$2:$M$1360,MATCH($A161,'2_Clean_Data'!$A$2:$A$1360,0))</f>
        <v>6</v>
      </c>
      <c r="C161" s="9" t="str">
        <f t="shared" si="8"/>
        <v>Above Average</v>
      </c>
      <c r="D161" s="11">
        <f>INDEX('2_Clean_Data'!$L$2:$L$1360,MATCH($A161,'2_Clean_Data'!$A$2:$A$1360,0))</f>
        <v>10.5</v>
      </c>
      <c r="E161" s="9" t="str">
        <f>IF(D161&lt;'3_Summary_Tables'!$C$16,"Low",IF(D161&lt;'3_Summary_Tables'!$C$17,"Medium","High"))</f>
        <v>Medium</v>
      </c>
      <c r="F161" s="12">
        <f>INDEX('2_Clean_Data'!$C$2:$C$1360,MATCH($A161,'2_Clean_Data'!$A$2:$A$1360,0))</f>
        <v>0.52</v>
      </c>
      <c r="G161" s="10">
        <f>INDEX('2_Clean_Data'!$H$2:$H$1360,MATCH($A161,'2_Clean_Data'!$A$2:$A$1360,0))</f>
        <v>38</v>
      </c>
      <c r="H161" s="9" t="str">
        <f t="shared" si="9"/>
        <v>Low</v>
      </c>
      <c r="I161" s="9" t="str">
        <f t="shared" si="10"/>
        <v>OK</v>
      </c>
      <c r="J161" s="9" t="str">
        <f t="shared" si="11"/>
        <v>Solid</v>
      </c>
    </row>
    <row r="162" spans="1:10" x14ac:dyDescent="0.3">
      <c r="A162" s="10">
        <f>'2_Clean_Data'!A159</f>
        <v>158</v>
      </c>
      <c r="B162" s="10">
        <f>INDEX('2_Clean_Data'!$M$2:$M$1360,MATCH($A162,'2_Clean_Data'!$A$2:$A$1360,0))</f>
        <v>5</v>
      </c>
      <c r="C162" s="9" t="str">
        <f t="shared" si="8"/>
        <v>Average</v>
      </c>
      <c r="D162" s="11">
        <f>INDEX('2_Clean_Data'!$L$2:$L$1360,MATCH($A162,'2_Clean_Data'!$A$2:$A$1360,0))</f>
        <v>9.6</v>
      </c>
      <c r="E162" s="9" t="str">
        <f>IF(D162&lt;'3_Summary_Tables'!$C$16,"Low",IF(D162&lt;'3_Summary_Tables'!$C$17,"Medium","High"))</f>
        <v>Low</v>
      </c>
      <c r="F162" s="12">
        <f>INDEX('2_Clean_Data'!$C$2:$C$1360,MATCH($A162,'2_Clean_Data'!$A$2:$A$1360,0))</f>
        <v>0.80500000000000005</v>
      </c>
      <c r="G162" s="10">
        <f>INDEX('2_Clean_Data'!$H$2:$H$1360,MATCH($A162,'2_Clean_Data'!$A$2:$A$1360,0))</f>
        <v>20</v>
      </c>
      <c r="H162" s="9" t="str">
        <f t="shared" si="9"/>
        <v>Low</v>
      </c>
      <c r="I162" s="9" t="str">
        <f t="shared" si="10"/>
        <v>Above limit</v>
      </c>
      <c r="J162" s="9" t="str">
        <f t="shared" si="11"/>
        <v>Standard</v>
      </c>
    </row>
    <row r="163" spans="1:10" x14ac:dyDescent="0.3">
      <c r="A163" s="10">
        <f>'2_Clean_Data'!A160</f>
        <v>159</v>
      </c>
      <c r="B163" s="10">
        <f>INDEX('2_Clean_Data'!$M$2:$M$1360,MATCH($A163,'2_Clean_Data'!$A$2:$A$1360,0))</f>
        <v>5</v>
      </c>
      <c r="C163" s="9" t="str">
        <f t="shared" si="8"/>
        <v>Average</v>
      </c>
      <c r="D163" s="11">
        <f>INDEX('2_Clean_Data'!$L$2:$L$1360,MATCH($A163,'2_Clean_Data'!$A$2:$A$1360,0))</f>
        <v>9.5</v>
      </c>
      <c r="E163" s="9" t="str">
        <f>IF(D163&lt;'3_Summary_Tables'!$C$16,"Low",IF(D163&lt;'3_Summary_Tables'!$C$17,"Medium","High"))</f>
        <v>Low</v>
      </c>
      <c r="F163" s="12">
        <f>INDEX('2_Clean_Data'!$C$2:$C$1360,MATCH($A163,'2_Clean_Data'!$A$2:$A$1360,0))</f>
        <v>0.61</v>
      </c>
      <c r="G163" s="10">
        <f>INDEX('2_Clean_Data'!$H$2:$H$1360,MATCH($A163,'2_Clean_Data'!$A$2:$A$1360,0))</f>
        <v>42</v>
      </c>
      <c r="H163" s="9" t="str">
        <f t="shared" si="9"/>
        <v>Low</v>
      </c>
      <c r="I163" s="9" t="str">
        <f t="shared" si="10"/>
        <v>OK</v>
      </c>
      <c r="J163" s="9" t="str">
        <f t="shared" si="11"/>
        <v>Standard</v>
      </c>
    </row>
    <row r="164" spans="1:10" x14ac:dyDescent="0.3">
      <c r="A164" s="10">
        <f>'2_Clean_Data'!A161</f>
        <v>160</v>
      </c>
      <c r="B164" s="10">
        <f>INDEX('2_Clean_Data'!$M$2:$M$1360,MATCH($A164,'2_Clean_Data'!$A$2:$A$1360,0))</f>
        <v>5</v>
      </c>
      <c r="C164" s="9" t="str">
        <f t="shared" si="8"/>
        <v>Average</v>
      </c>
      <c r="D164" s="11">
        <f>INDEX('2_Clean_Data'!$L$2:$L$1360,MATCH($A164,'2_Clean_Data'!$A$2:$A$1360,0))</f>
        <v>9.3000000000000007</v>
      </c>
      <c r="E164" s="9" t="str">
        <f>IF(D164&lt;'3_Summary_Tables'!$C$16,"Low",IF(D164&lt;'3_Summary_Tables'!$C$17,"Medium","High"))</f>
        <v>Low</v>
      </c>
      <c r="F164" s="12">
        <f>INDEX('2_Clean_Data'!$C$2:$C$1360,MATCH($A164,'2_Clean_Data'!$A$2:$A$1360,0))</f>
        <v>0.61</v>
      </c>
      <c r="G164" s="10">
        <f>INDEX('2_Clean_Data'!$H$2:$H$1360,MATCH($A164,'2_Clean_Data'!$A$2:$A$1360,0))</f>
        <v>110</v>
      </c>
      <c r="H164" s="9" t="str">
        <f t="shared" si="9"/>
        <v>High</v>
      </c>
      <c r="I164" s="9" t="str">
        <f t="shared" si="10"/>
        <v>OK</v>
      </c>
      <c r="J164" s="9" t="str">
        <f t="shared" si="11"/>
        <v>Standard</v>
      </c>
    </row>
    <row r="165" spans="1:10" x14ac:dyDescent="0.3">
      <c r="A165" s="10">
        <f>'2_Clean_Data'!A162</f>
        <v>161</v>
      </c>
      <c r="B165" s="10">
        <f>INDEX('2_Clean_Data'!$M$2:$M$1360,MATCH($A165,'2_Clean_Data'!$A$2:$A$1360,0))</f>
        <v>5</v>
      </c>
      <c r="C165" s="9" t="str">
        <f t="shared" si="8"/>
        <v>Average</v>
      </c>
      <c r="D165" s="11">
        <f>INDEX('2_Clean_Data'!$L$2:$L$1360,MATCH($A165,'2_Clean_Data'!$A$2:$A$1360,0))</f>
        <v>9.3000000000000007</v>
      </c>
      <c r="E165" s="9" t="str">
        <f>IF(D165&lt;'3_Summary_Tables'!$C$16,"Low",IF(D165&lt;'3_Summary_Tables'!$C$17,"Medium","High"))</f>
        <v>Low</v>
      </c>
      <c r="F165" s="12">
        <f>INDEX('2_Clean_Data'!$C$2:$C$1360,MATCH($A165,'2_Clean_Data'!$A$2:$A$1360,0))</f>
        <v>0.73</v>
      </c>
      <c r="G165" s="10">
        <f>INDEX('2_Clean_Data'!$H$2:$H$1360,MATCH($A165,'2_Clean_Data'!$A$2:$A$1360,0))</f>
        <v>42</v>
      </c>
      <c r="H165" s="9" t="str">
        <f t="shared" si="9"/>
        <v>Low</v>
      </c>
      <c r="I165" s="9" t="str">
        <f t="shared" si="10"/>
        <v>Above limit</v>
      </c>
      <c r="J165" s="9" t="str">
        <f t="shared" si="11"/>
        <v>Standard</v>
      </c>
    </row>
    <row r="166" spans="1:10" x14ac:dyDescent="0.3">
      <c r="A166" s="10">
        <f>'2_Clean_Data'!A163</f>
        <v>162</v>
      </c>
      <c r="B166" s="10">
        <f>INDEX('2_Clean_Data'!$M$2:$M$1360,MATCH($A166,'2_Clean_Data'!$A$2:$A$1360,0))</f>
        <v>5</v>
      </c>
      <c r="C166" s="9" t="str">
        <f t="shared" si="8"/>
        <v>Average</v>
      </c>
      <c r="D166" s="11">
        <f>INDEX('2_Clean_Data'!$L$2:$L$1360,MATCH($A166,'2_Clean_Data'!$A$2:$A$1360,0))</f>
        <v>9.3000000000000007</v>
      </c>
      <c r="E166" s="9" t="str">
        <f>IF(D166&lt;'3_Summary_Tables'!$C$16,"Low",IF(D166&lt;'3_Summary_Tables'!$C$17,"Medium","High"))</f>
        <v>Low</v>
      </c>
      <c r="F166" s="12">
        <f>INDEX('2_Clean_Data'!$C$2:$C$1360,MATCH($A166,'2_Clean_Data'!$A$2:$A$1360,0))</f>
        <v>0.61</v>
      </c>
      <c r="G166" s="10">
        <f>INDEX('2_Clean_Data'!$H$2:$H$1360,MATCH($A166,'2_Clean_Data'!$A$2:$A$1360,0))</f>
        <v>65</v>
      </c>
      <c r="H166" s="9" t="str">
        <f t="shared" si="9"/>
        <v>Moderate</v>
      </c>
      <c r="I166" s="9" t="str">
        <f t="shared" si="10"/>
        <v>OK</v>
      </c>
      <c r="J166" s="9" t="str">
        <f t="shared" si="11"/>
        <v>Standard</v>
      </c>
    </row>
    <row r="167" spans="1:10" x14ac:dyDescent="0.3">
      <c r="A167" s="10">
        <f>'2_Clean_Data'!A164</f>
        <v>163</v>
      </c>
      <c r="B167" s="10">
        <f>INDEX('2_Clean_Data'!$M$2:$M$1360,MATCH($A167,'2_Clean_Data'!$A$2:$A$1360,0))</f>
        <v>6</v>
      </c>
      <c r="C167" s="9" t="str">
        <f t="shared" si="8"/>
        <v>Above Average</v>
      </c>
      <c r="D167" s="11">
        <f>INDEX('2_Clean_Data'!$L$2:$L$1360,MATCH($A167,'2_Clean_Data'!$A$2:$A$1360,0))</f>
        <v>9.3000000000000007</v>
      </c>
      <c r="E167" s="9" t="str">
        <f>IF(D167&lt;'3_Summary_Tables'!$C$16,"Low",IF(D167&lt;'3_Summary_Tables'!$C$17,"Medium","High"))</f>
        <v>Low</v>
      </c>
      <c r="F167" s="12">
        <f>INDEX('2_Clean_Data'!$C$2:$C$1360,MATCH($A167,'2_Clean_Data'!$A$2:$A$1360,0))</f>
        <v>0.62</v>
      </c>
      <c r="G167" s="10">
        <f>INDEX('2_Clean_Data'!$H$2:$H$1360,MATCH($A167,'2_Clean_Data'!$A$2:$A$1360,0))</f>
        <v>62</v>
      </c>
      <c r="H167" s="9" t="str">
        <f t="shared" si="9"/>
        <v>Moderate</v>
      </c>
      <c r="I167" s="9" t="str">
        <f t="shared" si="10"/>
        <v>OK</v>
      </c>
      <c r="J167" s="9" t="str">
        <f t="shared" si="11"/>
        <v>Solid</v>
      </c>
    </row>
    <row r="168" spans="1:10" x14ac:dyDescent="0.3">
      <c r="A168" s="10">
        <f>'2_Clean_Data'!A165</f>
        <v>164</v>
      </c>
      <c r="B168" s="10">
        <f>INDEX('2_Clean_Data'!$M$2:$M$1360,MATCH($A168,'2_Clean_Data'!$A$2:$A$1360,0))</f>
        <v>5</v>
      </c>
      <c r="C168" s="9" t="str">
        <f t="shared" si="8"/>
        <v>Average</v>
      </c>
      <c r="D168" s="11">
        <f>INDEX('2_Clean_Data'!$L$2:$L$1360,MATCH($A168,'2_Clean_Data'!$A$2:$A$1360,0))</f>
        <v>9.6999999999999993</v>
      </c>
      <c r="E168" s="9" t="str">
        <f>IF(D168&lt;'3_Summary_Tables'!$C$16,"Low",IF(D168&lt;'3_Summary_Tables'!$C$17,"Medium","High"))</f>
        <v>Low</v>
      </c>
      <c r="F168" s="12">
        <f>INDEX('2_Clean_Data'!$C$2:$C$1360,MATCH($A168,'2_Clean_Data'!$A$2:$A$1360,0))</f>
        <v>0.31</v>
      </c>
      <c r="G168" s="10">
        <f>INDEX('2_Clean_Data'!$H$2:$H$1360,MATCH($A168,'2_Clean_Data'!$A$2:$A$1360,0))</f>
        <v>85</v>
      </c>
      <c r="H168" s="9" t="str">
        <f t="shared" si="9"/>
        <v>Moderate</v>
      </c>
      <c r="I168" s="9" t="str">
        <f t="shared" si="10"/>
        <v>OK</v>
      </c>
      <c r="J168" s="9" t="str">
        <f t="shared" si="11"/>
        <v>Standard</v>
      </c>
    </row>
    <row r="169" spans="1:10" x14ac:dyDescent="0.3">
      <c r="A169" s="10">
        <f>'2_Clean_Data'!A166</f>
        <v>165</v>
      </c>
      <c r="B169" s="10">
        <f>INDEX('2_Clean_Data'!$M$2:$M$1360,MATCH($A169,'2_Clean_Data'!$A$2:$A$1360,0))</f>
        <v>5</v>
      </c>
      <c r="C169" s="9" t="str">
        <f t="shared" si="8"/>
        <v>Average</v>
      </c>
      <c r="D169" s="11">
        <f>INDEX('2_Clean_Data'!$L$2:$L$1360,MATCH($A169,'2_Clean_Data'!$A$2:$A$1360,0))</f>
        <v>9.1999999999999993</v>
      </c>
      <c r="E169" s="9" t="str">
        <f>IF(D169&lt;'3_Summary_Tables'!$C$16,"Low",IF(D169&lt;'3_Summary_Tables'!$C$17,"Medium","High"))</f>
        <v>Low</v>
      </c>
      <c r="F169" s="12">
        <f>INDEX('2_Clean_Data'!$C$2:$C$1360,MATCH($A169,'2_Clean_Data'!$A$2:$A$1360,0))</f>
        <v>0.39</v>
      </c>
      <c r="G169" s="10">
        <f>INDEX('2_Clean_Data'!$H$2:$H$1360,MATCH($A169,'2_Clean_Data'!$A$2:$A$1360,0))</f>
        <v>67</v>
      </c>
      <c r="H169" s="9" t="str">
        <f t="shared" si="9"/>
        <v>Moderate</v>
      </c>
      <c r="I169" s="9" t="str">
        <f t="shared" si="10"/>
        <v>OK</v>
      </c>
      <c r="J169" s="9" t="str">
        <f t="shared" si="11"/>
        <v>Standard</v>
      </c>
    </row>
    <row r="170" spans="1:10" x14ac:dyDescent="0.3">
      <c r="A170" s="10">
        <f>'2_Clean_Data'!A167</f>
        <v>166</v>
      </c>
      <c r="B170" s="10">
        <f>INDEX('2_Clean_Data'!$M$2:$M$1360,MATCH($A170,'2_Clean_Data'!$A$2:$A$1360,0))</f>
        <v>5</v>
      </c>
      <c r="C170" s="9" t="str">
        <f t="shared" si="8"/>
        <v>Average</v>
      </c>
      <c r="D170" s="11">
        <f>INDEX('2_Clean_Data'!$L$2:$L$1360,MATCH($A170,'2_Clean_Data'!$A$2:$A$1360,0))</f>
        <v>9.6999999999999993</v>
      </c>
      <c r="E170" s="9" t="str">
        <f>IF(D170&lt;'3_Summary_Tables'!$C$16,"Low",IF(D170&lt;'3_Summary_Tables'!$C$17,"Medium","High"))</f>
        <v>Low</v>
      </c>
      <c r="F170" s="12">
        <f>INDEX('2_Clean_Data'!$C$2:$C$1360,MATCH($A170,'2_Clean_Data'!$A$2:$A$1360,0))</f>
        <v>0.70499999999999996</v>
      </c>
      <c r="G170" s="10">
        <f>INDEX('2_Clean_Data'!$H$2:$H$1360,MATCH($A170,'2_Clean_Data'!$A$2:$A$1360,0))</f>
        <v>26</v>
      </c>
      <c r="H170" s="9" t="str">
        <f t="shared" si="9"/>
        <v>Low</v>
      </c>
      <c r="I170" s="9" t="str">
        <f t="shared" si="10"/>
        <v>Above limit</v>
      </c>
      <c r="J170" s="9" t="str">
        <f t="shared" si="11"/>
        <v>Standard</v>
      </c>
    </row>
    <row r="171" spans="1:10" x14ac:dyDescent="0.3">
      <c r="A171" s="10">
        <f>'2_Clean_Data'!A168</f>
        <v>167</v>
      </c>
      <c r="B171" s="10">
        <f>INDEX('2_Clean_Data'!$M$2:$M$1360,MATCH($A171,'2_Clean_Data'!$A$2:$A$1360,0))</f>
        <v>5</v>
      </c>
      <c r="C171" s="9" t="str">
        <f t="shared" si="8"/>
        <v>Average</v>
      </c>
      <c r="D171" s="11">
        <f>INDEX('2_Clean_Data'!$L$2:$L$1360,MATCH($A171,'2_Clean_Data'!$A$2:$A$1360,0))</f>
        <v>9.5</v>
      </c>
      <c r="E171" s="9" t="str">
        <f>IF(D171&lt;'3_Summary_Tables'!$C$16,"Low",IF(D171&lt;'3_Summary_Tables'!$C$17,"Medium","High"))</f>
        <v>Low</v>
      </c>
      <c r="F171" s="12">
        <f>INDEX('2_Clean_Data'!$C$2:$C$1360,MATCH($A171,'2_Clean_Data'!$A$2:$A$1360,0))</f>
        <v>0.5</v>
      </c>
      <c r="G171" s="10">
        <f>INDEX('2_Clean_Data'!$H$2:$H$1360,MATCH($A171,'2_Clean_Data'!$A$2:$A$1360,0))</f>
        <v>143</v>
      </c>
      <c r="H171" s="9" t="str">
        <f t="shared" si="9"/>
        <v>High</v>
      </c>
      <c r="I171" s="9" t="str">
        <f t="shared" si="10"/>
        <v>OK</v>
      </c>
      <c r="J171" s="9" t="str">
        <f t="shared" si="11"/>
        <v>Standard</v>
      </c>
    </row>
    <row r="172" spans="1:10" x14ac:dyDescent="0.3">
      <c r="A172" s="10">
        <f>'2_Clean_Data'!A169</f>
        <v>168</v>
      </c>
      <c r="B172" s="10">
        <f>INDEX('2_Clean_Data'!$M$2:$M$1360,MATCH($A172,'2_Clean_Data'!$A$2:$A$1360,0))</f>
        <v>5</v>
      </c>
      <c r="C172" s="9" t="str">
        <f t="shared" si="8"/>
        <v>Average</v>
      </c>
      <c r="D172" s="11">
        <f>INDEX('2_Clean_Data'!$L$2:$L$1360,MATCH($A172,'2_Clean_Data'!$A$2:$A$1360,0))</f>
        <v>9.5</v>
      </c>
      <c r="E172" s="9" t="str">
        <f>IF(D172&lt;'3_Summary_Tables'!$C$16,"Low",IF(D172&lt;'3_Summary_Tables'!$C$17,"Medium","High"))</f>
        <v>Low</v>
      </c>
      <c r="F172" s="12">
        <f>INDEX('2_Clean_Data'!$C$2:$C$1360,MATCH($A172,'2_Clean_Data'!$A$2:$A$1360,0))</f>
        <v>0.49</v>
      </c>
      <c r="G172" s="10">
        <f>INDEX('2_Clean_Data'!$H$2:$H$1360,MATCH($A172,'2_Clean_Data'!$A$2:$A$1360,0))</f>
        <v>144</v>
      </c>
      <c r="H172" s="9" t="str">
        <f t="shared" si="9"/>
        <v>High</v>
      </c>
      <c r="I172" s="9" t="str">
        <f t="shared" si="10"/>
        <v>OK</v>
      </c>
      <c r="J172" s="9" t="str">
        <f t="shared" si="11"/>
        <v>Standard</v>
      </c>
    </row>
    <row r="173" spans="1:10" x14ac:dyDescent="0.3">
      <c r="A173" s="10">
        <f>'2_Clean_Data'!A170</f>
        <v>169</v>
      </c>
      <c r="B173" s="10">
        <f>INDEX('2_Clean_Data'!$M$2:$M$1360,MATCH($A173,'2_Clean_Data'!$A$2:$A$1360,0))</f>
        <v>5</v>
      </c>
      <c r="C173" s="9" t="str">
        <f t="shared" si="8"/>
        <v>Average</v>
      </c>
      <c r="D173" s="11">
        <f>INDEX('2_Clean_Data'!$L$2:$L$1360,MATCH($A173,'2_Clean_Data'!$A$2:$A$1360,0))</f>
        <v>9.4</v>
      </c>
      <c r="E173" s="9" t="str">
        <f>IF(D173&lt;'3_Summary_Tables'!$C$16,"Low",IF(D173&lt;'3_Summary_Tables'!$C$17,"Medium","High"))</f>
        <v>Low</v>
      </c>
      <c r="F173" s="12">
        <f>INDEX('2_Clean_Data'!$C$2:$C$1360,MATCH($A173,'2_Clean_Data'!$A$2:$A$1360,0))</f>
        <v>0.5</v>
      </c>
      <c r="G173" s="10">
        <f>INDEX('2_Clean_Data'!$H$2:$H$1360,MATCH($A173,'2_Clean_Data'!$A$2:$A$1360,0))</f>
        <v>127</v>
      </c>
      <c r="H173" s="9" t="str">
        <f t="shared" si="9"/>
        <v>High</v>
      </c>
      <c r="I173" s="9" t="str">
        <f t="shared" si="10"/>
        <v>OK</v>
      </c>
      <c r="J173" s="9" t="str">
        <f t="shared" si="11"/>
        <v>Standard</v>
      </c>
    </row>
    <row r="174" spans="1:10" x14ac:dyDescent="0.3">
      <c r="A174" s="10">
        <f>'2_Clean_Data'!A171</f>
        <v>170</v>
      </c>
      <c r="B174" s="10">
        <f>INDEX('2_Clean_Data'!$M$2:$M$1360,MATCH($A174,'2_Clean_Data'!$A$2:$A$1360,0))</f>
        <v>6</v>
      </c>
      <c r="C174" s="9" t="str">
        <f t="shared" si="8"/>
        <v>Above Average</v>
      </c>
      <c r="D174" s="11">
        <f>INDEX('2_Clean_Data'!$L$2:$L$1360,MATCH($A174,'2_Clean_Data'!$A$2:$A$1360,0))</f>
        <v>9.8000000000000007</v>
      </c>
      <c r="E174" s="9" t="str">
        <f>IF(D174&lt;'3_Summary_Tables'!$C$16,"Low",IF(D174&lt;'3_Summary_Tables'!$C$17,"Medium","High"))</f>
        <v>Low</v>
      </c>
      <c r="F174" s="12">
        <f>INDEX('2_Clean_Data'!$C$2:$C$1360,MATCH($A174,'2_Clean_Data'!$A$2:$A$1360,0))</f>
        <v>0.37</v>
      </c>
      <c r="G174" s="10">
        <f>INDEX('2_Clean_Data'!$H$2:$H$1360,MATCH($A174,'2_Clean_Data'!$A$2:$A$1360,0))</f>
        <v>49</v>
      </c>
      <c r="H174" s="9" t="str">
        <f t="shared" si="9"/>
        <v>Low</v>
      </c>
      <c r="I174" s="9" t="str">
        <f t="shared" si="10"/>
        <v>OK</v>
      </c>
      <c r="J174" s="9" t="str">
        <f t="shared" si="11"/>
        <v>Solid</v>
      </c>
    </row>
    <row r="175" spans="1:10" x14ac:dyDescent="0.3">
      <c r="A175" s="10">
        <f>'2_Clean_Data'!A172</f>
        <v>171</v>
      </c>
      <c r="B175" s="10">
        <f>INDEX('2_Clean_Data'!$M$2:$M$1360,MATCH($A175,'2_Clean_Data'!$A$2:$A$1360,0))</f>
        <v>5</v>
      </c>
      <c r="C175" s="9" t="str">
        <f t="shared" si="8"/>
        <v>Average</v>
      </c>
      <c r="D175" s="11">
        <f>INDEX('2_Clean_Data'!$L$2:$L$1360,MATCH($A175,'2_Clean_Data'!$A$2:$A$1360,0))</f>
        <v>9.5</v>
      </c>
      <c r="E175" s="9" t="str">
        <f>IF(D175&lt;'3_Summary_Tables'!$C$16,"Low",IF(D175&lt;'3_Summary_Tables'!$C$17,"Medium","High"))</f>
        <v>Low</v>
      </c>
      <c r="F175" s="12">
        <f>INDEX('2_Clean_Data'!$C$2:$C$1360,MATCH($A175,'2_Clean_Data'!$A$2:$A$1360,0))</f>
        <v>0.63</v>
      </c>
      <c r="G175" s="10">
        <f>INDEX('2_Clean_Data'!$H$2:$H$1360,MATCH($A175,'2_Clean_Data'!$A$2:$A$1360,0))</f>
        <v>126</v>
      </c>
      <c r="H175" s="9" t="str">
        <f t="shared" si="9"/>
        <v>High</v>
      </c>
      <c r="I175" s="9" t="str">
        <f t="shared" si="10"/>
        <v>OK</v>
      </c>
      <c r="J175" s="9" t="str">
        <f t="shared" si="11"/>
        <v>Standard</v>
      </c>
    </row>
    <row r="176" spans="1:10" x14ac:dyDescent="0.3">
      <c r="A176" s="10">
        <f>'2_Clean_Data'!A173</f>
        <v>172</v>
      </c>
      <c r="B176" s="10">
        <f>INDEX('2_Clean_Data'!$M$2:$M$1360,MATCH($A176,'2_Clean_Data'!$A$2:$A$1360,0))</f>
        <v>5</v>
      </c>
      <c r="C176" s="9" t="str">
        <f t="shared" si="8"/>
        <v>Average</v>
      </c>
      <c r="D176" s="11">
        <f>INDEX('2_Clean_Data'!$L$2:$L$1360,MATCH($A176,'2_Clean_Data'!$A$2:$A$1360,0))</f>
        <v>9.6999999999999993</v>
      </c>
      <c r="E176" s="9" t="str">
        <f>IF(D176&lt;'3_Summary_Tables'!$C$16,"Low",IF(D176&lt;'3_Summary_Tables'!$C$17,"Medium","High"))</f>
        <v>Low</v>
      </c>
      <c r="F176" s="12">
        <f>INDEX('2_Clean_Data'!$C$2:$C$1360,MATCH($A176,'2_Clean_Data'!$A$2:$A$1360,0))</f>
        <v>0.55000000000000004</v>
      </c>
      <c r="G176" s="10">
        <f>INDEX('2_Clean_Data'!$H$2:$H$1360,MATCH($A176,'2_Clean_Data'!$A$2:$A$1360,0))</f>
        <v>28</v>
      </c>
      <c r="H176" s="9" t="str">
        <f t="shared" si="9"/>
        <v>Low</v>
      </c>
      <c r="I176" s="9" t="str">
        <f t="shared" si="10"/>
        <v>OK</v>
      </c>
      <c r="J176" s="9" t="str">
        <f t="shared" si="11"/>
        <v>Standard</v>
      </c>
    </row>
    <row r="177" spans="1:10" x14ac:dyDescent="0.3">
      <c r="A177" s="10">
        <f>'2_Clean_Data'!A174</f>
        <v>173</v>
      </c>
      <c r="B177" s="10">
        <f>INDEX('2_Clean_Data'!$M$2:$M$1360,MATCH($A177,'2_Clean_Data'!$A$2:$A$1360,0))</f>
        <v>5</v>
      </c>
      <c r="C177" s="9" t="str">
        <f t="shared" si="8"/>
        <v>Average</v>
      </c>
      <c r="D177" s="11">
        <f>INDEX('2_Clean_Data'!$L$2:$L$1360,MATCH($A177,'2_Clean_Data'!$A$2:$A$1360,0))</f>
        <v>9.4</v>
      </c>
      <c r="E177" s="9" t="str">
        <f>IF(D177&lt;'3_Summary_Tables'!$C$16,"Low",IF(D177&lt;'3_Summary_Tables'!$C$17,"Medium","High"))</f>
        <v>Low</v>
      </c>
      <c r="F177" s="12">
        <f>INDEX('2_Clean_Data'!$C$2:$C$1360,MATCH($A177,'2_Clean_Data'!$A$2:$A$1360,0))</f>
        <v>0.59</v>
      </c>
      <c r="G177" s="10">
        <f>INDEX('2_Clean_Data'!$H$2:$H$1360,MATCH($A177,'2_Clean_Data'!$A$2:$A$1360,0))</f>
        <v>120</v>
      </c>
      <c r="H177" s="9" t="str">
        <f t="shared" si="9"/>
        <v>High</v>
      </c>
      <c r="I177" s="9" t="str">
        <f t="shared" si="10"/>
        <v>OK</v>
      </c>
      <c r="J177" s="9" t="str">
        <f t="shared" si="11"/>
        <v>Standard</v>
      </c>
    </row>
    <row r="178" spans="1:10" x14ac:dyDescent="0.3">
      <c r="A178" s="10">
        <f>'2_Clean_Data'!A175</f>
        <v>174</v>
      </c>
      <c r="B178" s="10">
        <f>INDEX('2_Clean_Data'!$M$2:$M$1360,MATCH($A178,'2_Clean_Data'!$A$2:$A$1360,0))</f>
        <v>5</v>
      </c>
      <c r="C178" s="9" t="str">
        <f t="shared" si="8"/>
        <v>Average</v>
      </c>
      <c r="D178" s="11">
        <f>INDEX('2_Clean_Data'!$L$2:$L$1360,MATCH($A178,'2_Clean_Data'!$A$2:$A$1360,0))</f>
        <v>10.199999999999999</v>
      </c>
      <c r="E178" s="9" t="str">
        <f>IF(D178&lt;'3_Summary_Tables'!$C$16,"Low",IF(D178&lt;'3_Summary_Tables'!$C$17,"Medium","High"))</f>
        <v>Medium</v>
      </c>
      <c r="F178" s="12">
        <f>INDEX('2_Clean_Data'!$C$2:$C$1360,MATCH($A178,'2_Clean_Data'!$A$2:$A$1360,0))</f>
        <v>0.57999999999999996</v>
      </c>
      <c r="G178" s="10">
        <f>INDEX('2_Clean_Data'!$H$2:$H$1360,MATCH($A178,'2_Clean_Data'!$A$2:$A$1360,0))</f>
        <v>55</v>
      </c>
      <c r="H178" s="9" t="str">
        <f t="shared" si="9"/>
        <v>Moderate</v>
      </c>
      <c r="I178" s="9" t="str">
        <f t="shared" si="10"/>
        <v>OK</v>
      </c>
      <c r="J178" s="9" t="str">
        <f t="shared" si="11"/>
        <v>Standard</v>
      </c>
    </row>
    <row r="179" spans="1:10" x14ac:dyDescent="0.3">
      <c r="A179" s="10">
        <f>'2_Clean_Data'!A176</f>
        <v>175</v>
      </c>
      <c r="B179" s="10">
        <f>INDEX('2_Clean_Data'!$M$2:$M$1360,MATCH($A179,'2_Clean_Data'!$A$2:$A$1360,0))</f>
        <v>6</v>
      </c>
      <c r="C179" s="9" t="str">
        <f t="shared" si="8"/>
        <v>Above Average</v>
      </c>
      <c r="D179" s="11">
        <f>INDEX('2_Clean_Data'!$L$2:$L$1360,MATCH($A179,'2_Clean_Data'!$A$2:$A$1360,0))</f>
        <v>10.1</v>
      </c>
      <c r="E179" s="9" t="str">
        <f>IF(D179&lt;'3_Summary_Tables'!$C$16,"Low",IF(D179&lt;'3_Summary_Tables'!$C$17,"Medium","High"))</f>
        <v>Medium</v>
      </c>
      <c r="F179" s="12">
        <f>INDEX('2_Clean_Data'!$C$2:$C$1360,MATCH($A179,'2_Clean_Data'!$A$2:$A$1360,0))</f>
        <v>0.3</v>
      </c>
      <c r="G179" s="10">
        <f>INDEX('2_Clean_Data'!$H$2:$H$1360,MATCH($A179,'2_Clean_Data'!$A$2:$A$1360,0))</f>
        <v>27</v>
      </c>
      <c r="H179" s="9" t="str">
        <f t="shared" si="9"/>
        <v>Low</v>
      </c>
      <c r="I179" s="9" t="str">
        <f t="shared" si="10"/>
        <v>OK</v>
      </c>
      <c r="J179" s="9" t="str">
        <f t="shared" si="11"/>
        <v>Solid</v>
      </c>
    </row>
    <row r="180" spans="1:10" x14ac:dyDescent="0.3">
      <c r="A180" s="10">
        <f>'2_Clean_Data'!A177</f>
        <v>176</v>
      </c>
      <c r="B180" s="10">
        <f>INDEX('2_Clean_Data'!$M$2:$M$1360,MATCH($A180,'2_Clean_Data'!$A$2:$A$1360,0))</f>
        <v>7</v>
      </c>
      <c r="C180" s="9" t="str">
        <f t="shared" si="8"/>
        <v>Good</v>
      </c>
      <c r="D180" s="11">
        <f>INDEX('2_Clean_Data'!$L$2:$L$1360,MATCH($A180,'2_Clean_Data'!$A$2:$A$1360,0))</f>
        <v>13</v>
      </c>
      <c r="E180" s="9" t="str">
        <f>IF(D180&lt;'3_Summary_Tables'!$C$16,"Low",IF(D180&lt;'3_Summary_Tables'!$C$17,"Medium","High"))</f>
        <v>High</v>
      </c>
      <c r="F180" s="12">
        <f>INDEX('2_Clean_Data'!$C$2:$C$1360,MATCH($A180,'2_Clean_Data'!$A$2:$A$1360,0))</f>
        <v>0.83499999999999996</v>
      </c>
      <c r="G180" s="10">
        <f>INDEX('2_Clean_Data'!$H$2:$H$1360,MATCH($A180,'2_Clean_Data'!$A$2:$A$1360,0))</f>
        <v>93</v>
      </c>
      <c r="H180" s="9" t="str">
        <f t="shared" si="9"/>
        <v>Moderate</v>
      </c>
      <c r="I180" s="9" t="str">
        <f t="shared" si="10"/>
        <v>Above limit</v>
      </c>
      <c r="J180" s="9" t="str">
        <f t="shared" si="11"/>
        <v>Premium</v>
      </c>
    </row>
    <row r="181" spans="1:10" x14ac:dyDescent="0.3">
      <c r="A181" s="10">
        <f>'2_Clean_Data'!A178</f>
        <v>177</v>
      </c>
      <c r="B181" s="10">
        <f>INDEX('2_Clean_Data'!$M$2:$M$1360,MATCH($A181,'2_Clean_Data'!$A$2:$A$1360,0))</f>
        <v>4</v>
      </c>
      <c r="C181" s="9" t="str">
        <f t="shared" si="8"/>
        <v>Poor</v>
      </c>
      <c r="D181" s="11">
        <f>INDEX('2_Clean_Data'!$L$2:$L$1360,MATCH($A181,'2_Clean_Data'!$A$2:$A$1360,0))</f>
        <v>11.4</v>
      </c>
      <c r="E181" s="9" t="str">
        <f>IF(D181&lt;'3_Summary_Tables'!$C$16,"Low",IF(D181&lt;'3_Summary_Tables'!$C$17,"Medium","High"))</f>
        <v>Medium</v>
      </c>
      <c r="F181" s="12">
        <f>INDEX('2_Clean_Data'!$C$2:$C$1360,MATCH($A181,'2_Clean_Data'!$A$2:$A$1360,0))</f>
        <v>1.0900000000000001</v>
      </c>
      <c r="G181" s="10">
        <f>INDEX('2_Clean_Data'!$H$2:$H$1360,MATCH($A181,'2_Clean_Data'!$A$2:$A$1360,0))</f>
        <v>31</v>
      </c>
      <c r="H181" s="9" t="str">
        <f t="shared" si="9"/>
        <v>Low</v>
      </c>
      <c r="I181" s="9" t="str">
        <f t="shared" si="10"/>
        <v>Above limit</v>
      </c>
      <c r="J181" s="9" t="str">
        <f t="shared" si="11"/>
        <v>Poor</v>
      </c>
    </row>
    <row r="182" spans="1:10" x14ac:dyDescent="0.3">
      <c r="A182" s="10">
        <f>'2_Clean_Data'!A179</f>
        <v>178</v>
      </c>
      <c r="B182" s="10">
        <f>INDEX('2_Clean_Data'!$M$2:$M$1360,MATCH($A182,'2_Clean_Data'!$A$2:$A$1360,0))</f>
        <v>7</v>
      </c>
      <c r="C182" s="9" t="str">
        <f t="shared" si="8"/>
        <v>Good</v>
      </c>
      <c r="D182" s="11">
        <f>INDEX('2_Clean_Data'!$L$2:$L$1360,MATCH($A182,'2_Clean_Data'!$A$2:$A$1360,0))</f>
        <v>10.3</v>
      </c>
      <c r="E182" s="9" t="str">
        <f>IF(D182&lt;'3_Summary_Tables'!$C$16,"Low",IF(D182&lt;'3_Summary_Tables'!$C$17,"Medium","High"))</f>
        <v>Medium</v>
      </c>
      <c r="F182" s="12">
        <f>INDEX('2_Clean_Data'!$C$2:$C$1360,MATCH($A182,'2_Clean_Data'!$A$2:$A$1360,0))</f>
        <v>0.32</v>
      </c>
      <c r="G182" s="10">
        <f>INDEX('2_Clean_Data'!$H$2:$H$1360,MATCH($A182,'2_Clean_Data'!$A$2:$A$1360,0))</f>
        <v>24</v>
      </c>
      <c r="H182" s="9" t="str">
        <f t="shared" si="9"/>
        <v>Low</v>
      </c>
      <c r="I182" s="9" t="str">
        <f t="shared" si="10"/>
        <v>OK</v>
      </c>
      <c r="J182" s="9" t="str">
        <f t="shared" si="11"/>
        <v>Solid</v>
      </c>
    </row>
    <row r="183" spans="1:10" x14ac:dyDescent="0.3">
      <c r="A183" s="10">
        <f>'2_Clean_Data'!A180</f>
        <v>179</v>
      </c>
      <c r="B183" s="10">
        <f>INDEX('2_Clean_Data'!$M$2:$M$1360,MATCH($A183,'2_Clean_Data'!$A$2:$A$1360,0))</f>
        <v>5</v>
      </c>
      <c r="C183" s="9" t="str">
        <f t="shared" si="8"/>
        <v>Average</v>
      </c>
      <c r="D183" s="11">
        <f>INDEX('2_Clean_Data'!$L$2:$L$1360,MATCH($A183,'2_Clean_Data'!$A$2:$A$1360,0))</f>
        <v>9.3000000000000007</v>
      </c>
      <c r="E183" s="9" t="str">
        <f>IF(D183&lt;'3_Summary_Tables'!$C$16,"Low",IF(D183&lt;'3_Summary_Tables'!$C$17,"Medium","High"))</f>
        <v>Low</v>
      </c>
      <c r="F183" s="12">
        <f>INDEX('2_Clean_Data'!$C$2:$C$1360,MATCH($A183,'2_Clean_Data'!$A$2:$A$1360,0))</f>
        <v>0.37</v>
      </c>
      <c r="G183" s="10">
        <f>INDEX('2_Clean_Data'!$H$2:$H$1360,MATCH($A183,'2_Clean_Data'!$A$2:$A$1360,0))</f>
        <v>145</v>
      </c>
      <c r="H183" s="9" t="str">
        <f t="shared" si="9"/>
        <v>High</v>
      </c>
      <c r="I183" s="9" t="str">
        <f t="shared" si="10"/>
        <v>OK</v>
      </c>
      <c r="J183" s="9" t="str">
        <f t="shared" si="11"/>
        <v>Standard</v>
      </c>
    </row>
    <row r="184" spans="1:10" x14ac:dyDescent="0.3">
      <c r="A184" s="10">
        <f>'2_Clean_Data'!A181</f>
        <v>180</v>
      </c>
      <c r="B184" s="10">
        <f>INDEX('2_Clean_Data'!$M$2:$M$1360,MATCH($A184,'2_Clean_Data'!$A$2:$A$1360,0))</f>
        <v>5</v>
      </c>
      <c r="C184" s="9" t="str">
        <f t="shared" si="8"/>
        <v>Average</v>
      </c>
      <c r="D184" s="11">
        <f>INDEX('2_Clean_Data'!$L$2:$L$1360,MATCH($A184,'2_Clean_Data'!$A$2:$A$1360,0))</f>
        <v>9.5</v>
      </c>
      <c r="E184" s="9" t="str">
        <f>IF(D184&lt;'3_Summary_Tables'!$C$16,"Low",IF(D184&lt;'3_Summary_Tables'!$C$17,"Medium","High"))</f>
        <v>Low</v>
      </c>
      <c r="F184" s="12">
        <f>INDEX('2_Clean_Data'!$C$2:$C$1360,MATCH($A184,'2_Clean_Data'!$A$2:$A$1360,0))</f>
        <v>0.5</v>
      </c>
      <c r="G184" s="10">
        <f>INDEX('2_Clean_Data'!$H$2:$H$1360,MATCH($A184,'2_Clean_Data'!$A$2:$A$1360,0))</f>
        <v>49</v>
      </c>
      <c r="H184" s="9" t="str">
        <f t="shared" si="9"/>
        <v>Low</v>
      </c>
      <c r="I184" s="9" t="str">
        <f t="shared" si="10"/>
        <v>OK</v>
      </c>
      <c r="J184" s="9" t="str">
        <f t="shared" si="11"/>
        <v>Standard</v>
      </c>
    </row>
    <row r="185" spans="1:10" x14ac:dyDescent="0.3">
      <c r="A185" s="10">
        <f>'2_Clean_Data'!A182</f>
        <v>181</v>
      </c>
      <c r="B185" s="10">
        <f>INDEX('2_Clean_Data'!$M$2:$M$1360,MATCH($A185,'2_Clean_Data'!$A$2:$A$1360,0))</f>
        <v>5</v>
      </c>
      <c r="C185" s="9" t="str">
        <f t="shared" si="8"/>
        <v>Average</v>
      </c>
      <c r="D185" s="11">
        <f>INDEX('2_Clean_Data'!$L$2:$L$1360,MATCH($A185,'2_Clean_Data'!$A$2:$A$1360,0))</f>
        <v>9.1999999999999993</v>
      </c>
      <c r="E185" s="9" t="str">
        <f>IF(D185&lt;'3_Summary_Tables'!$C$16,"Low",IF(D185&lt;'3_Summary_Tables'!$C$17,"Medium","High"))</f>
        <v>Low</v>
      </c>
      <c r="F185" s="12">
        <f>INDEX('2_Clean_Data'!$C$2:$C$1360,MATCH($A185,'2_Clean_Data'!$A$2:$A$1360,0))</f>
        <v>0.42</v>
      </c>
      <c r="G185" s="10">
        <f>INDEX('2_Clean_Data'!$H$2:$H$1360,MATCH($A185,'2_Clean_Data'!$A$2:$A$1360,0))</f>
        <v>39</v>
      </c>
      <c r="H185" s="9" t="str">
        <f t="shared" si="9"/>
        <v>Low</v>
      </c>
      <c r="I185" s="9" t="str">
        <f t="shared" si="10"/>
        <v>OK</v>
      </c>
      <c r="J185" s="9" t="str">
        <f t="shared" si="11"/>
        <v>Standard</v>
      </c>
    </row>
    <row r="186" spans="1:10" x14ac:dyDescent="0.3">
      <c r="A186" s="10">
        <f>'2_Clean_Data'!A183</f>
        <v>182</v>
      </c>
      <c r="B186" s="10">
        <f>INDEX('2_Clean_Data'!$M$2:$M$1360,MATCH($A186,'2_Clean_Data'!$A$2:$A$1360,0))</f>
        <v>6</v>
      </c>
      <c r="C186" s="9" t="str">
        <f t="shared" si="8"/>
        <v>Above Average</v>
      </c>
      <c r="D186" s="11">
        <f>INDEX('2_Clean_Data'!$L$2:$L$1360,MATCH($A186,'2_Clean_Data'!$A$2:$A$1360,0))</f>
        <v>9.1999999999999993</v>
      </c>
      <c r="E186" s="9" t="str">
        <f>IF(D186&lt;'3_Summary_Tables'!$C$16,"Low",IF(D186&lt;'3_Summary_Tables'!$C$17,"Medium","High"))</f>
        <v>Low</v>
      </c>
      <c r="F186" s="12">
        <f>INDEX('2_Clean_Data'!$C$2:$C$1360,MATCH($A186,'2_Clean_Data'!$A$2:$A$1360,0))</f>
        <v>0.43</v>
      </c>
      <c r="G186" s="10">
        <f>INDEX('2_Clean_Data'!$H$2:$H$1360,MATCH($A186,'2_Clean_Data'!$A$2:$A$1360,0))</f>
        <v>37</v>
      </c>
      <c r="H186" s="9" t="str">
        <f t="shared" si="9"/>
        <v>Low</v>
      </c>
      <c r="I186" s="9" t="str">
        <f t="shared" si="10"/>
        <v>OK</v>
      </c>
      <c r="J186" s="9" t="str">
        <f t="shared" si="11"/>
        <v>Solid</v>
      </c>
    </row>
    <row r="187" spans="1:10" x14ac:dyDescent="0.3">
      <c r="A187" s="10">
        <f>'2_Clean_Data'!A184</f>
        <v>183</v>
      </c>
      <c r="B187" s="10">
        <f>INDEX('2_Clean_Data'!$M$2:$M$1360,MATCH($A187,'2_Clean_Data'!$A$2:$A$1360,0))</f>
        <v>7</v>
      </c>
      <c r="C187" s="9" t="str">
        <f t="shared" si="8"/>
        <v>Good</v>
      </c>
      <c r="D187" s="11">
        <f>INDEX('2_Clean_Data'!$L$2:$L$1360,MATCH($A187,'2_Clean_Data'!$A$2:$A$1360,0))</f>
        <v>10.8</v>
      </c>
      <c r="E187" s="9" t="str">
        <f>IF(D187&lt;'3_Summary_Tables'!$C$16,"Low",IF(D187&lt;'3_Summary_Tables'!$C$17,"Medium","High"))</f>
        <v>Medium</v>
      </c>
      <c r="F187" s="12">
        <f>INDEX('2_Clean_Data'!$C$2:$C$1360,MATCH($A187,'2_Clean_Data'!$A$2:$A$1360,0))</f>
        <v>0.3</v>
      </c>
      <c r="G187" s="10">
        <f>INDEX('2_Clean_Data'!$H$2:$H$1360,MATCH($A187,'2_Clean_Data'!$A$2:$A$1360,0))</f>
        <v>28</v>
      </c>
      <c r="H187" s="9" t="str">
        <f t="shared" si="9"/>
        <v>Low</v>
      </c>
      <c r="I187" s="9" t="str">
        <f t="shared" si="10"/>
        <v>OK</v>
      </c>
      <c r="J187" s="9" t="str">
        <f t="shared" si="11"/>
        <v>Solid</v>
      </c>
    </row>
    <row r="188" spans="1:10" x14ac:dyDescent="0.3">
      <c r="A188" s="10">
        <f>'2_Clean_Data'!A185</f>
        <v>184</v>
      </c>
      <c r="B188" s="10">
        <f>INDEX('2_Clean_Data'!$M$2:$M$1360,MATCH($A188,'2_Clean_Data'!$A$2:$A$1360,0))</f>
        <v>5</v>
      </c>
      <c r="C188" s="9" t="str">
        <f t="shared" si="8"/>
        <v>Average</v>
      </c>
      <c r="D188" s="11">
        <f>INDEX('2_Clean_Data'!$L$2:$L$1360,MATCH($A188,'2_Clean_Data'!$A$2:$A$1360,0))</f>
        <v>9.3000000000000007</v>
      </c>
      <c r="E188" s="9" t="str">
        <f>IF(D188&lt;'3_Summary_Tables'!$C$16,"Low",IF(D188&lt;'3_Summary_Tables'!$C$17,"Medium","High"))</f>
        <v>Low</v>
      </c>
      <c r="F188" s="12">
        <f>INDEX('2_Clean_Data'!$C$2:$C$1360,MATCH($A188,'2_Clean_Data'!$A$2:$A$1360,0))</f>
        <v>0.56999999999999995</v>
      </c>
      <c r="G188" s="10">
        <f>INDEX('2_Clean_Data'!$H$2:$H$1360,MATCH($A188,'2_Clean_Data'!$A$2:$A$1360,0))</f>
        <v>120</v>
      </c>
      <c r="H188" s="9" t="str">
        <f t="shared" si="9"/>
        <v>High</v>
      </c>
      <c r="I188" s="9" t="str">
        <f t="shared" si="10"/>
        <v>OK</v>
      </c>
      <c r="J188" s="9" t="str">
        <f t="shared" si="11"/>
        <v>Standard</v>
      </c>
    </row>
    <row r="189" spans="1:10" x14ac:dyDescent="0.3">
      <c r="A189" s="10">
        <f>'2_Clean_Data'!A186</f>
        <v>185</v>
      </c>
      <c r="B189" s="10">
        <f>INDEX('2_Clean_Data'!$M$2:$M$1360,MATCH($A189,'2_Clean_Data'!$A$2:$A$1360,0))</f>
        <v>5</v>
      </c>
      <c r="C189" s="9" t="str">
        <f t="shared" si="8"/>
        <v>Average</v>
      </c>
      <c r="D189" s="11">
        <f>INDEX('2_Clean_Data'!$L$2:$L$1360,MATCH($A189,'2_Clean_Data'!$A$2:$A$1360,0))</f>
        <v>9.4</v>
      </c>
      <c r="E189" s="9" t="str">
        <f>IF(D189&lt;'3_Summary_Tables'!$C$16,"Low",IF(D189&lt;'3_Summary_Tables'!$C$17,"Medium","High"))</f>
        <v>Low</v>
      </c>
      <c r="F189" s="12">
        <f>INDEX('2_Clean_Data'!$C$2:$C$1360,MATCH($A189,'2_Clean_Data'!$A$2:$A$1360,0))</f>
        <v>0.44</v>
      </c>
      <c r="G189" s="10">
        <f>INDEX('2_Clean_Data'!$H$2:$H$1360,MATCH($A189,'2_Clean_Data'!$A$2:$A$1360,0))</f>
        <v>95</v>
      </c>
      <c r="H189" s="9" t="str">
        <f t="shared" si="9"/>
        <v>Moderate</v>
      </c>
      <c r="I189" s="9" t="str">
        <f t="shared" si="10"/>
        <v>OK</v>
      </c>
      <c r="J189" s="9" t="str">
        <f t="shared" si="11"/>
        <v>Standard</v>
      </c>
    </row>
    <row r="190" spans="1:10" x14ac:dyDescent="0.3">
      <c r="A190" s="10">
        <f>'2_Clean_Data'!A187</f>
        <v>186</v>
      </c>
      <c r="B190" s="10">
        <f>INDEX('2_Clean_Data'!$M$2:$M$1360,MATCH($A190,'2_Clean_Data'!$A$2:$A$1360,0))</f>
        <v>7</v>
      </c>
      <c r="C190" s="9" t="str">
        <f t="shared" si="8"/>
        <v>Good</v>
      </c>
      <c r="D190" s="11">
        <f>INDEX('2_Clean_Data'!$L$2:$L$1360,MATCH($A190,'2_Clean_Data'!$A$2:$A$1360,0))</f>
        <v>10.5</v>
      </c>
      <c r="E190" s="9" t="str">
        <f>IF(D190&lt;'3_Summary_Tables'!$C$16,"Low",IF(D190&lt;'3_Summary_Tables'!$C$17,"Medium","High"))</f>
        <v>Medium</v>
      </c>
      <c r="F190" s="12">
        <f>INDEX('2_Clean_Data'!$C$2:$C$1360,MATCH($A190,'2_Clean_Data'!$A$2:$A$1360,0))</f>
        <v>0.3</v>
      </c>
      <c r="G190" s="10">
        <f>INDEX('2_Clean_Data'!$H$2:$H$1360,MATCH($A190,'2_Clean_Data'!$A$2:$A$1360,0))</f>
        <v>19</v>
      </c>
      <c r="H190" s="9" t="str">
        <f t="shared" si="9"/>
        <v>Low</v>
      </c>
      <c r="I190" s="9" t="str">
        <f t="shared" si="10"/>
        <v>OK</v>
      </c>
      <c r="J190" s="9" t="str">
        <f t="shared" si="11"/>
        <v>Solid</v>
      </c>
    </row>
    <row r="191" spans="1:10" x14ac:dyDescent="0.3">
      <c r="A191" s="10">
        <f>'2_Clean_Data'!A188</f>
        <v>187</v>
      </c>
      <c r="B191" s="10">
        <f>INDEX('2_Clean_Data'!$M$2:$M$1360,MATCH($A191,'2_Clean_Data'!$A$2:$A$1360,0))</f>
        <v>6</v>
      </c>
      <c r="C191" s="9" t="str">
        <f t="shared" si="8"/>
        <v>Above Average</v>
      </c>
      <c r="D191" s="11">
        <f>INDEX('2_Clean_Data'!$L$2:$L$1360,MATCH($A191,'2_Clean_Data'!$A$2:$A$1360,0))</f>
        <v>12.4</v>
      </c>
      <c r="E191" s="9" t="str">
        <f>IF(D191&lt;'3_Summary_Tables'!$C$16,"Low",IF(D191&lt;'3_Summary_Tables'!$C$17,"Medium","High"))</f>
        <v>High</v>
      </c>
      <c r="F191" s="12">
        <f>INDEX('2_Clean_Data'!$C$2:$C$1360,MATCH($A191,'2_Clean_Data'!$A$2:$A$1360,0))</f>
        <v>0.53</v>
      </c>
      <c r="G191" s="10">
        <f>INDEX('2_Clean_Data'!$H$2:$H$1360,MATCH($A191,'2_Clean_Data'!$A$2:$A$1360,0))</f>
        <v>19</v>
      </c>
      <c r="H191" s="9" t="str">
        <f t="shared" si="9"/>
        <v>Low</v>
      </c>
      <c r="I191" s="9" t="str">
        <f t="shared" si="10"/>
        <v>OK</v>
      </c>
      <c r="J191" s="9" t="str">
        <f t="shared" si="11"/>
        <v>Solid</v>
      </c>
    </row>
    <row r="192" spans="1:10" x14ac:dyDescent="0.3">
      <c r="A192" s="10">
        <f>'2_Clean_Data'!A189</f>
        <v>188</v>
      </c>
      <c r="B192" s="10">
        <f>INDEX('2_Clean_Data'!$M$2:$M$1360,MATCH($A192,'2_Clean_Data'!$A$2:$A$1360,0))</f>
        <v>6</v>
      </c>
      <c r="C192" s="9" t="str">
        <f t="shared" si="8"/>
        <v>Above Average</v>
      </c>
      <c r="D192" s="11">
        <f>INDEX('2_Clean_Data'!$L$2:$L$1360,MATCH($A192,'2_Clean_Data'!$A$2:$A$1360,0))</f>
        <v>10</v>
      </c>
      <c r="E192" s="9" t="str">
        <f>IF(D192&lt;'3_Summary_Tables'!$C$16,"Low",IF(D192&lt;'3_Summary_Tables'!$C$17,"Medium","High"))</f>
        <v>Medium</v>
      </c>
      <c r="F192" s="12">
        <f>INDEX('2_Clean_Data'!$C$2:$C$1360,MATCH($A192,'2_Clean_Data'!$A$2:$A$1360,0))</f>
        <v>0.72499999999999998</v>
      </c>
      <c r="G192" s="10">
        <f>INDEX('2_Clean_Data'!$H$2:$H$1360,MATCH($A192,'2_Clean_Data'!$A$2:$A$1360,0))</f>
        <v>62</v>
      </c>
      <c r="H192" s="9" t="str">
        <f t="shared" si="9"/>
        <v>Moderate</v>
      </c>
      <c r="I192" s="9" t="str">
        <f t="shared" si="10"/>
        <v>Above limit</v>
      </c>
      <c r="J192" s="9" t="str">
        <f t="shared" si="11"/>
        <v>Standard</v>
      </c>
    </row>
    <row r="193" spans="1:10" x14ac:dyDescent="0.3">
      <c r="A193" s="10">
        <f>'2_Clean_Data'!A190</f>
        <v>189</v>
      </c>
      <c r="B193" s="10">
        <f>INDEX('2_Clean_Data'!$M$2:$M$1360,MATCH($A193,'2_Clean_Data'!$A$2:$A$1360,0))</f>
        <v>6</v>
      </c>
      <c r="C193" s="9" t="str">
        <f t="shared" si="8"/>
        <v>Above Average</v>
      </c>
      <c r="D193" s="11">
        <f>INDEX('2_Clean_Data'!$L$2:$L$1360,MATCH($A193,'2_Clean_Data'!$A$2:$A$1360,0))</f>
        <v>10.199999999999999</v>
      </c>
      <c r="E193" s="9" t="str">
        <f>IF(D193&lt;'3_Summary_Tables'!$C$16,"Low",IF(D193&lt;'3_Summary_Tables'!$C$17,"Medium","High"))</f>
        <v>Medium</v>
      </c>
      <c r="F193" s="12">
        <f>INDEX('2_Clean_Data'!$C$2:$C$1360,MATCH($A193,'2_Clean_Data'!$A$2:$A$1360,0))</f>
        <v>0.44</v>
      </c>
      <c r="G193" s="10">
        <f>INDEX('2_Clean_Data'!$H$2:$H$1360,MATCH($A193,'2_Clean_Data'!$A$2:$A$1360,0))</f>
        <v>15</v>
      </c>
      <c r="H193" s="9" t="str">
        <f t="shared" si="9"/>
        <v>Low</v>
      </c>
      <c r="I193" s="9" t="str">
        <f t="shared" si="10"/>
        <v>OK</v>
      </c>
      <c r="J193" s="9" t="str">
        <f t="shared" si="11"/>
        <v>Solid</v>
      </c>
    </row>
    <row r="194" spans="1:10" x14ac:dyDescent="0.3">
      <c r="A194" s="10">
        <f>'2_Clean_Data'!A191</f>
        <v>190</v>
      </c>
      <c r="B194" s="10">
        <f>INDEX('2_Clean_Data'!$M$2:$M$1360,MATCH($A194,'2_Clean_Data'!$A$2:$A$1360,0))</f>
        <v>5</v>
      </c>
      <c r="C194" s="9" t="str">
        <f t="shared" si="8"/>
        <v>Average</v>
      </c>
      <c r="D194" s="11">
        <f>INDEX('2_Clean_Data'!$L$2:$L$1360,MATCH($A194,'2_Clean_Data'!$A$2:$A$1360,0))</f>
        <v>10.1</v>
      </c>
      <c r="E194" s="9" t="str">
        <f>IF(D194&lt;'3_Summary_Tables'!$C$16,"Low",IF(D194&lt;'3_Summary_Tables'!$C$17,"Medium","High"))</f>
        <v>Medium</v>
      </c>
      <c r="F194" s="12">
        <f>INDEX('2_Clean_Data'!$C$2:$C$1360,MATCH($A194,'2_Clean_Data'!$A$2:$A$1360,0))</f>
        <v>0.56999999999999995</v>
      </c>
      <c r="G194" s="10">
        <f>INDEX('2_Clean_Data'!$H$2:$H$1360,MATCH($A194,'2_Clean_Data'!$A$2:$A$1360,0))</f>
        <v>65</v>
      </c>
      <c r="H194" s="9" t="str">
        <f t="shared" si="9"/>
        <v>Moderate</v>
      </c>
      <c r="I194" s="9" t="str">
        <f t="shared" si="10"/>
        <v>OK</v>
      </c>
      <c r="J194" s="9" t="str">
        <f t="shared" si="11"/>
        <v>Standard</v>
      </c>
    </row>
    <row r="195" spans="1:10" x14ac:dyDescent="0.3">
      <c r="A195" s="10">
        <f>'2_Clean_Data'!A192</f>
        <v>191</v>
      </c>
      <c r="B195" s="10">
        <f>INDEX('2_Clean_Data'!$M$2:$M$1360,MATCH($A195,'2_Clean_Data'!$A$2:$A$1360,0))</f>
        <v>6</v>
      </c>
      <c r="C195" s="9" t="str">
        <f t="shared" si="8"/>
        <v>Above Average</v>
      </c>
      <c r="D195" s="11">
        <f>INDEX('2_Clean_Data'!$L$2:$L$1360,MATCH($A195,'2_Clean_Data'!$A$2:$A$1360,0))</f>
        <v>9.8000000000000007</v>
      </c>
      <c r="E195" s="9" t="str">
        <f>IF(D195&lt;'3_Summary_Tables'!$C$16,"Low",IF(D195&lt;'3_Summary_Tables'!$C$17,"Medium","High"))</f>
        <v>Low</v>
      </c>
      <c r="F195" s="12">
        <f>INDEX('2_Clean_Data'!$C$2:$C$1360,MATCH($A195,'2_Clean_Data'!$A$2:$A$1360,0))</f>
        <v>0.73499999999999999</v>
      </c>
      <c r="G195" s="10">
        <f>INDEX('2_Clean_Data'!$H$2:$H$1360,MATCH($A195,'2_Clean_Data'!$A$2:$A$1360,0))</f>
        <v>41</v>
      </c>
      <c r="H195" s="9" t="str">
        <f t="shared" si="9"/>
        <v>Low</v>
      </c>
      <c r="I195" s="9" t="str">
        <f t="shared" si="10"/>
        <v>Above limit</v>
      </c>
      <c r="J195" s="9" t="str">
        <f t="shared" si="11"/>
        <v>Standard</v>
      </c>
    </row>
    <row r="196" spans="1:10" x14ac:dyDescent="0.3">
      <c r="A196" s="10">
        <f>'2_Clean_Data'!A193</f>
        <v>192</v>
      </c>
      <c r="B196" s="10">
        <f>INDEX('2_Clean_Data'!$M$2:$M$1360,MATCH($A196,'2_Clean_Data'!$A$2:$A$1360,0))</f>
        <v>5</v>
      </c>
      <c r="C196" s="9" t="str">
        <f t="shared" si="8"/>
        <v>Average</v>
      </c>
      <c r="D196" s="11">
        <f>INDEX('2_Clean_Data'!$L$2:$L$1360,MATCH($A196,'2_Clean_Data'!$A$2:$A$1360,0))</f>
        <v>10.5</v>
      </c>
      <c r="E196" s="9" t="str">
        <f>IF(D196&lt;'3_Summary_Tables'!$C$16,"Low",IF(D196&lt;'3_Summary_Tables'!$C$17,"Medium","High"))</f>
        <v>Medium</v>
      </c>
      <c r="F196" s="12">
        <f>INDEX('2_Clean_Data'!$C$2:$C$1360,MATCH($A196,'2_Clean_Data'!$A$2:$A$1360,0))</f>
        <v>0.49</v>
      </c>
      <c r="G196" s="10">
        <f>INDEX('2_Clean_Data'!$H$2:$H$1360,MATCH($A196,'2_Clean_Data'!$A$2:$A$1360,0))</f>
        <v>121</v>
      </c>
      <c r="H196" s="9" t="str">
        <f t="shared" si="9"/>
        <v>High</v>
      </c>
      <c r="I196" s="9" t="str">
        <f t="shared" si="10"/>
        <v>OK</v>
      </c>
      <c r="J196" s="9" t="str">
        <f t="shared" si="11"/>
        <v>Standard</v>
      </c>
    </row>
    <row r="197" spans="1:10" x14ac:dyDescent="0.3">
      <c r="A197" s="10">
        <f>'2_Clean_Data'!A194</f>
        <v>193</v>
      </c>
      <c r="B197" s="10">
        <f>INDEX('2_Clean_Data'!$M$2:$M$1360,MATCH($A197,'2_Clean_Data'!$A$2:$A$1360,0))</f>
        <v>5</v>
      </c>
      <c r="C197" s="9" t="str">
        <f t="shared" ref="C197:C260" si="12">VLOOKUP(B197,$L$12:$N$17,2,FALSE())</f>
        <v>Average</v>
      </c>
      <c r="D197" s="11">
        <f>INDEX('2_Clean_Data'!$L$2:$L$1360,MATCH($A197,'2_Clean_Data'!$A$2:$A$1360,0))</f>
        <v>11</v>
      </c>
      <c r="E197" s="9" t="str">
        <f>IF(D197&lt;'3_Summary_Tables'!$C$16,"Low",IF(D197&lt;'3_Summary_Tables'!$C$17,"Medium","High"))</f>
        <v>Medium</v>
      </c>
      <c r="F197" s="12">
        <f>INDEX('2_Clean_Data'!$C$2:$C$1360,MATCH($A197,'2_Clean_Data'!$A$2:$A$1360,0))</f>
        <v>0.625</v>
      </c>
      <c r="G197" s="10">
        <f>INDEX('2_Clean_Data'!$H$2:$H$1360,MATCH($A197,'2_Clean_Data'!$A$2:$A$1360,0))</f>
        <v>49</v>
      </c>
      <c r="H197" s="9" t="str">
        <f t="shared" ref="H197:H260" si="13">IF(G197&gt;$M$8,"High",IF(G197&gt;$M$7,"Moderate","Low"))</f>
        <v>Low</v>
      </c>
      <c r="I197" s="9" t="str">
        <f t="shared" ref="I197:I260" si="14">IF(F197&gt;$M$6,"Above limit","OK")</f>
        <v>OK</v>
      </c>
      <c r="J197" s="9" t="str">
        <f t="shared" ref="J197:J260" si="15">IF(AND(B197&gt;=7,E197="High"),"Premium",IF(AND(B197&gt;=6,I197="OK"),"Solid",IF(B197&lt;=4,"Poor","Standard")))</f>
        <v>Standard</v>
      </c>
    </row>
    <row r="198" spans="1:10" x14ac:dyDescent="0.3">
      <c r="A198" s="10">
        <f>'2_Clean_Data'!A195</f>
        <v>194</v>
      </c>
      <c r="B198" s="10">
        <f>INDEX('2_Clean_Data'!$M$2:$M$1360,MATCH($A198,'2_Clean_Data'!$A$2:$A$1360,0))</f>
        <v>5</v>
      </c>
      <c r="C198" s="9" t="str">
        <f t="shared" si="12"/>
        <v>Average</v>
      </c>
      <c r="D198" s="11">
        <f>INDEX('2_Clean_Data'!$L$2:$L$1360,MATCH($A198,'2_Clean_Data'!$A$2:$A$1360,0))</f>
        <v>9.1</v>
      </c>
      <c r="E198" s="9" t="str">
        <f>IF(D198&lt;'3_Summary_Tables'!$C$16,"Low",IF(D198&lt;'3_Summary_Tables'!$C$17,"Medium","High"))</f>
        <v>Low</v>
      </c>
      <c r="F198" s="12">
        <f>INDEX('2_Clean_Data'!$C$2:$C$1360,MATCH($A198,'2_Clean_Data'!$A$2:$A$1360,0))</f>
        <v>0.72499999999999998</v>
      </c>
      <c r="G198" s="10">
        <f>INDEX('2_Clean_Data'!$H$2:$H$1360,MATCH($A198,'2_Clean_Data'!$A$2:$A$1360,0))</f>
        <v>41</v>
      </c>
      <c r="H198" s="9" t="str">
        <f t="shared" si="13"/>
        <v>Low</v>
      </c>
      <c r="I198" s="9" t="str">
        <f t="shared" si="14"/>
        <v>Above limit</v>
      </c>
      <c r="J198" s="9" t="str">
        <f t="shared" si="15"/>
        <v>Standard</v>
      </c>
    </row>
    <row r="199" spans="1:10" x14ac:dyDescent="0.3">
      <c r="A199" s="10">
        <f>'2_Clean_Data'!A196</f>
        <v>195</v>
      </c>
      <c r="B199" s="10">
        <f>INDEX('2_Clean_Data'!$M$2:$M$1360,MATCH($A199,'2_Clean_Data'!$A$2:$A$1360,0))</f>
        <v>5</v>
      </c>
      <c r="C199" s="9" t="str">
        <f t="shared" si="12"/>
        <v>Average</v>
      </c>
      <c r="D199" s="11">
        <f>INDEX('2_Clean_Data'!$L$2:$L$1360,MATCH($A199,'2_Clean_Data'!$A$2:$A$1360,0))</f>
        <v>9.6999999999999993</v>
      </c>
      <c r="E199" s="9" t="str">
        <f>IF(D199&lt;'3_Summary_Tables'!$C$16,"Low",IF(D199&lt;'3_Summary_Tables'!$C$17,"Medium","High"))</f>
        <v>Low</v>
      </c>
      <c r="F199" s="12">
        <f>INDEX('2_Clean_Data'!$C$2:$C$1360,MATCH($A199,'2_Clean_Data'!$A$2:$A$1360,0))</f>
        <v>0.49</v>
      </c>
      <c r="G199" s="10">
        <f>INDEX('2_Clean_Data'!$H$2:$H$1360,MATCH($A199,'2_Clean_Data'!$A$2:$A$1360,0))</f>
        <v>44</v>
      </c>
      <c r="H199" s="9" t="str">
        <f t="shared" si="13"/>
        <v>Low</v>
      </c>
      <c r="I199" s="9" t="str">
        <f t="shared" si="14"/>
        <v>OK</v>
      </c>
      <c r="J199" s="9" t="str">
        <f t="shared" si="15"/>
        <v>Standard</v>
      </c>
    </row>
    <row r="200" spans="1:10" x14ac:dyDescent="0.3">
      <c r="A200" s="10">
        <f>'2_Clean_Data'!A197</f>
        <v>196</v>
      </c>
      <c r="B200" s="10">
        <f>INDEX('2_Clean_Data'!$M$2:$M$1360,MATCH($A200,'2_Clean_Data'!$A$2:$A$1360,0))</f>
        <v>5</v>
      </c>
      <c r="C200" s="9" t="str">
        <f t="shared" si="12"/>
        <v>Average</v>
      </c>
      <c r="D200" s="11">
        <f>INDEX('2_Clean_Data'!$L$2:$L$1360,MATCH($A200,'2_Clean_Data'!$A$2:$A$1360,0))</f>
        <v>9.5</v>
      </c>
      <c r="E200" s="9" t="str">
        <f>IF(D200&lt;'3_Summary_Tables'!$C$16,"Low",IF(D200&lt;'3_Summary_Tables'!$C$17,"Medium","High"))</f>
        <v>Low</v>
      </c>
      <c r="F200" s="12">
        <f>INDEX('2_Clean_Data'!$C$2:$C$1360,MATCH($A200,'2_Clean_Data'!$A$2:$A$1360,0))</f>
        <v>0.53</v>
      </c>
      <c r="G200" s="10">
        <f>INDEX('2_Clean_Data'!$H$2:$H$1360,MATCH($A200,'2_Clean_Data'!$A$2:$A$1360,0))</f>
        <v>144</v>
      </c>
      <c r="H200" s="9" t="str">
        <f t="shared" si="13"/>
        <v>High</v>
      </c>
      <c r="I200" s="9" t="str">
        <f t="shared" si="14"/>
        <v>OK</v>
      </c>
      <c r="J200" s="9" t="str">
        <f t="shared" si="15"/>
        <v>Standard</v>
      </c>
    </row>
    <row r="201" spans="1:10" x14ac:dyDescent="0.3">
      <c r="A201" s="10">
        <f>'2_Clean_Data'!A198</f>
        <v>197</v>
      </c>
      <c r="B201" s="10">
        <f>INDEX('2_Clean_Data'!$M$2:$M$1360,MATCH($A201,'2_Clean_Data'!$A$2:$A$1360,0))</f>
        <v>6</v>
      </c>
      <c r="C201" s="9" t="str">
        <f t="shared" si="12"/>
        <v>Above Average</v>
      </c>
      <c r="D201" s="11">
        <f>INDEX('2_Clean_Data'!$L$2:$L$1360,MATCH($A201,'2_Clean_Data'!$A$2:$A$1360,0))</f>
        <v>9.4</v>
      </c>
      <c r="E201" s="9" t="str">
        <f>IF(D201&lt;'3_Summary_Tables'!$C$16,"Low",IF(D201&lt;'3_Summary_Tables'!$C$17,"Medium","High"))</f>
        <v>Low</v>
      </c>
      <c r="F201" s="12">
        <f>INDEX('2_Clean_Data'!$C$2:$C$1360,MATCH($A201,'2_Clean_Data'!$A$2:$A$1360,0))</f>
        <v>0.34</v>
      </c>
      <c r="G201" s="10">
        <f>INDEX('2_Clean_Data'!$H$2:$H$1360,MATCH($A201,'2_Clean_Data'!$A$2:$A$1360,0))</f>
        <v>58</v>
      </c>
      <c r="H201" s="9" t="str">
        <f t="shared" si="13"/>
        <v>Moderate</v>
      </c>
      <c r="I201" s="9" t="str">
        <f t="shared" si="14"/>
        <v>OK</v>
      </c>
      <c r="J201" s="9" t="str">
        <f t="shared" si="15"/>
        <v>Solid</v>
      </c>
    </row>
    <row r="202" spans="1:10" x14ac:dyDescent="0.3">
      <c r="A202" s="10">
        <f>'2_Clean_Data'!A199</f>
        <v>198</v>
      </c>
      <c r="B202" s="10">
        <f>INDEX('2_Clean_Data'!$M$2:$M$1360,MATCH($A202,'2_Clean_Data'!$A$2:$A$1360,0))</f>
        <v>5</v>
      </c>
      <c r="C202" s="9" t="str">
        <f t="shared" si="12"/>
        <v>Average</v>
      </c>
      <c r="D202" s="11">
        <f>INDEX('2_Clean_Data'!$L$2:$L$1360,MATCH($A202,'2_Clean_Data'!$A$2:$A$1360,0))</f>
        <v>9.4</v>
      </c>
      <c r="E202" s="9" t="str">
        <f>IF(D202&lt;'3_Summary_Tables'!$C$16,"Low",IF(D202&lt;'3_Summary_Tables'!$C$17,"Medium","High"))</f>
        <v>Low</v>
      </c>
      <c r="F202" s="12">
        <f>INDEX('2_Clean_Data'!$C$2:$C$1360,MATCH($A202,'2_Clean_Data'!$A$2:$A$1360,0))</f>
        <v>0.53</v>
      </c>
      <c r="G202" s="10">
        <f>INDEX('2_Clean_Data'!$H$2:$H$1360,MATCH($A202,'2_Clean_Data'!$A$2:$A$1360,0))</f>
        <v>72</v>
      </c>
      <c r="H202" s="9" t="str">
        <f t="shared" si="13"/>
        <v>Moderate</v>
      </c>
      <c r="I202" s="9" t="str">
        <f t="shared" si="14"/>
        <v>OK</v>
      </c>
      <c r="J202" s="9" t="str">
        <f t="shared" si="15"/>
        <v>Standard</v>
      </c>
    </row>
    <row r="203" spans="1:10" x14ac:dyDescent="0.3">
      <c r="A203" s="10">
        <f>'2_Clean_Data'!A200</f>
        <v>199</v>
      </c>
      <c r="B203" s="10">
        <f>INDEX('2_Clean_Data'!$M$2:$M$1360,MATCH($A203,'2_Clean_Data'!$A$2:$A$1360,0))</f>
        <v>5</v>
      </c>
      <c r="C203" s="9" t="str">
        <f t="shared" si="12"/>
        <v>Average</v>
      </c>
      <c r="D203" s="11">
        <f>INDEX('2_Clean_Data'!$L$2:$L$1360,MATCH($A203,'2_Clean_Data'!$A$2:$A$1360,0))</f>
        <v>9.5</v>
      </c>
      <c r="E203" s="9" t="str">
        <f>IF(D203&lt;'3_Summary_Tables'!$C$16,"Low",IF(D203&lt;'3_Summary_Tables'!$C$17,"Medium","High"))</f>
        <v>Low</v>
      </c>
      <c r="F203" s="12">
        <f>INDEX('2_Clean_Data'!$C$2:$C$1360,MATCH($A203,'2_Clean_Data'!$A$2:$A$1360,0))</f>
        <v>0.61</v>
      </c>
      <c r="G203" s="10">
        <f>INDEX('2_Clean_Data'!$H$2:$H$1360,MATCH($A203,'2_Clean_Data'!$A$2:$A$1360,0))</f>
        <v>10</v>
      </c>
      <c r="H203" s="9" t="str">
        <f t="shared" si="13"/>
        <v>Low</v>
      </c>
      <c r="I203" s="9" t="str">
        <f t="shared" si="14"/>
        <v>OK</v>
      </c>
      <c r="J203" s="9" t="str">
        <f t="shared" si="15"/>
        <v>Standard</v>
      </c>
    </row>
    <row r="204" spans="1:10" x14ac:dyDescent="0.3">
      <c r="A204" s="10">
        <f>'2_Clean_Data'!A201</f>
        <v>200</v>
      </c>
      <c r="B204" s="10">
        <f>INDEX('2_Clean_Data'!$M$2:$M$1360,MATCH($A204,'2_Clean_Data'!$A$2:$A$1360,0))</f>
        <v>6</v>
      </c>
      <c r="C204" s="9" t="str">
        <f t="shared" si="12"/>
        <v>Above Average</v>
      </c>
      <c r="D204" s="11">
        <f>INDEX('2_Clean_Data'!$L$2:$L$1360,MATCH($A204,'2_Clean_Data'!$A$2:$A$1360,0))</f>
        <v>10</v>
      </c>
      <c r="E204" s="9" t="str">
        <f>IF(D204&lt;'3_Summary_Tables'!$C$16,"Low",IF(D204&lt;'3_Summary_Tables'!$C$17,"Medium","High"))</f>
        <v>Medium</v>
      </c>
      <c r="F204" s="12">
        <f>INDEX('2_Clean_Data'!$C$2:$C$1360,MATCH($A204,'2_Clean_Data'!$A$2:$A$1360,0))</f>
        <v>0.64500000000000002</v>
      </c>
      <c r="G204" s="10">
        <f>INDEX('2_Clean_Data'!$H$2:$H$1360,MATCH($A204,'2_Clean_Data'!$A$2:$A$1360,0))</f>
        <v>28</v>
      </c>
      <c r="H204" s="9" t="str">
        <f t="shared" si="13"/>
        <v>Low</v>
      </c>
      <c r="I204" s="9" t="str">
        <f t="shared" si="14"/>
        <v>OK</v>
      </c>
      <c r="J204" s="9" t="str">
        <f t="shared" si="15"/>
        <v>Solid</v>
      </c>
    </row>
    <row r="205" spans="1:10" x14ac:dyDescent="0.3">
      <c r="A205" s="10">
        <f>'2_Clean_Data'!A202</f>
        <v>201</v>
      </c>
      <c r="B205" s="10">
        <f>INDEX('2_Clean_Data'!$M$2:$M$1360,MATCH($A205,'2_Clean_Data'!$A$2:$A$1360,0))</f>
        <v>4</v>
      </c>
      <c r="C205" s="9" t="str">
        <f t="shared" si="12"/>
        <v>Poor</v>
      </c>
      <c r="D205" s="11">
        <f>INDEX('2_Clean_Data'!$L$2:$L$1360,MATCH($A205,'2_Clean_Data'!$A$2:$A$1360,0))</f>
        <v>10.4</v>
      </c>
      <c r="E205" s="9" t="str">
        <f>IF(D205&lt;'3_Summary_Tables'!$C$16,"Low",IF(D205&lt;'3_Summary_Tables'!$C$17,"Medium","High"))</f>
        <v>Medium</v>
      </c>
      <c r="F205" s="12">
        <f>INDEX('2_Clean_Data'!$C$2:$C$1360,MATCH($A205,'2_Clean_Data'!$A$2:$A$1360,0))</f>
        <v>0.63500000000000001</v>
      </c>
      <c r="G205" s="10">
        <f>INDEX('2_Clean_Data'!$H$2:$H$1360,MATCH($A205,'2_Clean_Data'!$A$2:$A$1360,0))</f>
        <v>55</v>
      </c>
      <c r="H205" s="9" t="str">
        <f t="shared" si="13"/>
        <v>Moderate</v>
      </c>
      <c r="I205" s="9" t="str">
        <f t="shared" si="14"/>
        <v>OK</v>
      </c>
      <c r="J205" s="9" t="str">
        <f t="shared" si="15"/>
        <v>Poor</v>
      </c>
    </row>
    <row r="206" spans="1:10" x14ac:dyDescent="0.3">
      <c r="A206" s="10">
        <f>'2_Clean_Data'!A203</f>
        <v>202</v>
      </c>
      <c r="B206" s="10">
        <f>INDEX('2_Clean_Data'!$M$2:$M$1360,MATCH($A206,'2_Clean_Data'!$A$2:$A$1360,0))</f>
        <v>6</v>
      </c>
      <c r="C206" s="9" t="str">
        <f t="shared" si="12"/>
        <v>Above Average</v>
      </c>
      <c r="D206" s="11">
        <f>INDEX('2_Clean_Data'!$L$2:$L$1360,MATCH($A206,'2_Clean_Data'!$A$2:$A$1360,0))</f>
        <v>10.5</v>
      </c>
      <c r="E206" s="9" t="str">
        <f>IF(D206&lt;'3_Summary_Tables'!$C$16,"Low",IF(D206&lt;'3_Summary_Tables'!$C$17,"Medium","High"))</f>
        <v>Medium</v>
      </c>
      <c r="F206" s="12">
        <f>INDEX('2_Clean_Data'!$C$2:$C$1360,MATCH($A206,'2_Clean_Data'!$A$2:$A$1360,0))</f>
        <v>0.43</v>
      </c>
      <c r="G206" s="10">
        <f>INDEX('2_Clean_Data'!$H$2:$H$1360,MATCH($A206,'2_Clean_Data'!$A$2:$A$1360,0))</f>
        <v>63</v>
      </c>
      <c r="H206" s="9" t="str">
        <f t="shared" si="13"/>
        <v>Moderate</v>
      </c>
      <c r="I206" s="9" t="str">
        <f t="shared" si="14"/>
        <v>OK</v>
      </c>
      <c r="J206" s="9" t="str">
        <f t="shared" si="15"/>
        <v>Solid</v>
      </c>
    </row>
    <row r="207" spans="1:10" x14ac:dyDescent="0.3">
      <c r="A207" s="10">
        <f>'2_Clean_Data'!A204</f>
        <v>203</v>
      </c>
      <c r="B207" s="10">
        <f>INDEX('2_Clean_Data'!$M$2:$M$1360,MATCH($A207,'2_Clean_Data'!$A$2:$A$1360,0))</f>
        <v>6</v>
      </c>
      <c r="C207" s="9" t="str">
        <f t="shared" si="12"/>
        <v>Above Average</v>
      </c>
      <c r="D207" s="11">
        <f>INDEX('2_Clean_Data'!$L$2:$L$1360,MATCH($A207,'2_Clean_Data'!$A$2:$A$1360,0))</f>
        <v>9.5</v>
      </c>
      <c r="E207" s="9" t="str">
        <f>IF(D207&lt;'3_Summary_Tables'!$C$16,"Low",IF(D207&lt;'3_Summary_Tables'!$C$17,"Medium","High"))</f>
        <v>Low</v>
      </c>
      <c r="F207" s="12">
        <f>INDEX('2_Clean_Data'!$C$2:$C$1360,MATCH($A207,'2_Clean_Data'!$A$2:$A$1360,0))</f>
        <v>0.59</v>
      </c>
      <c r="G207" s="10">
        <f>INDEX('2_Clean_Data'!$H$2:$H$1360,MATCH($A207,'2_Clean_Data'!$A$2:$A$1360,0))</f>
        <v>81</v>
      </c>
      <c r="H207" s="9" t="str">
        <f t="shared" si="13"/>
        <v>Moderate</v>
      </c>
      <c r="I207" s="9" t="str">
        <f t="shared" si="14"/>
        <v>OK</v>
      </c>
      <c r="J207" s="9" t="str">
        <f t="shared" si="15"/>
        <v>Solid</v>
      </c>
    </row>
    <row r="208" spans="1:10" x14ac:dyDescent="0.3">
      <c r="A208" s="10">
        <f>'2_Clean_Data'!A205</f>
        <v>204</v>
      </c>
      <c r="B208" s="10">
        <f>INDEX('2_Clean_Data'!$M$2:$M$1360,MATCH($A208,'2_Clean_Data'!$A$2:$A$1360,0))</f>
        <v>5</v>
      </c>
      <c r="C208" s="9" t="str">
        <f t="shared" si="12"/>
        <v>Average</v>
      </c>
      <c r="D208" s="11">
        <f>INDEX('2_Clean_Data'!$L$2:$L$1360,MATCH($A208,'2_Clean_Data'!$A$2:$A$1360,0))</f>
        <v>9.8000000000000007</v>
      </c>
      <c r="E208" s="9" t="str">
        <f>IF(D208&lt;'3_Summary_Tables'!$C$16,"Low",IF(D208&lt;'3_Summary_Tables'!$C$17,"Medium","High"))</f>
        <v>Low</v>
      </c>
      <c r="F208" s="12">
        <f>INDEX('2_Clean_Data'!$C$2:$C$1360,MATCH($A208,'2_Clean_Data'!$A$2:$A$1360,0))</f>
        <v>0.82</v>
      </c>
      <c r="G208" s="10">
        <f>INDEX('2_Clean_Data'!$H$2:$H$1360,MATCH($A208,'2_Clean_Data'!$A$2:$A$1360,0))</f>
        <v>23</v>
      </c>
      <c r="H208" s="9" t="str">
        <f t="shared" si="13"/>
        <v>Low</v>
      </c>
      <c r="I208" s="9" t="str">
        <f t="shared" si="14"/>
        <v>Above limit</v>
      </c>
      <c r="J208" s="9" t="str">
        <f t="shared" si="15"/>
        <v>Standard</v>
      </c>
    </row>
    <row r="209" spans="1:10" x14ac:dyDescent="0.3">
      <c r="A209" s="10">
        <f>'2_Clean_Data'!A206</f>
        <v>205</v>
      </c>
      <c r="B209" s="10">
        <f>INDEX('2_Clean_Data'!$M$2:$M$1360,MATCH($A209,'2_Clean_Data'!$A$2:$A$1360,0))</f>
        <v>5</v>
      </c>
      <c r="C209" s="9" t="str">
        <f t="shared" si="12"/>
        <v>Average</v>
      </c>
      <c r="D209" s="11">
        <f>INDEX('2_Clean_Data'!$L$2:$L$1360,MATCH($A209,'2_Clean_Data'!$A$2:$A$1360,0))</f>
        <v>11</v>
      </c>
      <c r="E209" s="9" t="str">
        <f>IF(D209&lt;'3_Summary_Tables'!$C$16,"Low",IF(D209&lt;'3_Summary_Tables'!$C$17,"Medium","High"))</f>
        <v>Medium</v>
      </c>
      <c r="F209" s="12">
        <f>INDEX('2_Clean_Data'!$C$2:$C$1360,MATCH($A209,'2_Clean_Data'!$A$2:$A$1360,0))</f>
        <v>0.52</v>
      </c>
      <c r="G209" s="10">
        <f>INDEX('2_Clean_Data'!$H$2:$H$1360,MATCH($A209,'2_Clean_Data'!$A$2:$A$1360,0))</f>
        <v>37</v>
      </c>
      <c r="H209" s="9" t="str">
        <f t="shared" si="13"/>
        <v>Low</v>
      </c>
      <c r="I209" s="9" t="str">
        <f t="shared" si="14"/>
        <v>OK</v>
      </c>
      <c r="J209" s="9" t="str">
        <f t="shared" si="15"/>
        <v>Standard</v>
      </c>
    </row>
    <row r="210" spans="1:10" x14ac:dyDescent="0.3">
      <c r="A210" s="10">
        <f>'2_Clean_Data'!A207</f>
        <v>206</v>
      </c>
      <c r="B210" s="10">
        <f>INDEX('2_Clean_Data'!$M$2:$M$1360,MATCH($A210,'2_Clean_Data'!$A$2:$A$1360,0))</f>
        <v>7</v>
      </c>
      <c r="C210" s="9" t="str">
        <f t="shared" si="12"/>
        <v>Good</v>
      </c>
      <c r="D210" s="11">
        <f>INDEX('2_Clean_Data'!$L$2:$L$1360,MATCH($A210,'2_Clean_Data'!$A$2:$A$1360,0))</f>
        <v>12.2</v>
      </c>
      <c r="E210" s="9" t="str">
        <f>IF(D210&lt;'3_Summary_Tables'!$C$16,"Low",IF(D210&lt;'3_Summary_Tables'!$C$17,"Medium","High"))</f>
        <v>High</v>
      </c>
      <c r="F210" s="12">
        <f>INDEX('2_Clean_Data'!$C$2:$C$1360,MATCH($A210,'2_Clean_Data'!$A$2:$A$1360,0))</f>
        <v>0.48</v>
      </c>
      <c r="G210" s="10">
        <f>INDEX('2_Clean_Data'!$H$2:$H$1360,MATCH($A210,'2_Clean_Data'!$A$2:$A$1360,0))</f>
        <v>106</v>
      </c>
      <c r="H210" s="9" t="str">
        <f t="shared" si="13"/>
        <v>High</v>
      </c>
      <c r="I210" s="9" t="str">
        <f t="shared" si="14"/>
        <v>OK</v>
      </c>
      <c r="J210" s="9" t="str">
        <f t="shared" si="15"/>
        <v>Premium</v>
      </c>
    </row>
    <row r="211" spans="1:10" x14ac:dyDescent="0.3">
      <c r="A211" s="10">
        <f>'2_Clean_Data'!A208</f>
        <v>207</v>
      </c>
      <c r="B211" s="10">
        <f>INDEX('2_Clean_Data'!$M$2:$M$1360,MATCH($A211,'2_Clean_Data'!$A$2:$A$1360,0))</f>
        <v>6</v>
      </c>
      <c r="C211" s="9" t="str">
        <f t="shared" si="12"/>
        <v>Above Average</v>
      </c>
      <c r="D211" s="11">
        <f>INDEX('2_Clean_Data'!$L$2:$L$1360,MATCH($A211,'2_Clean_Data'!$A$2:$A$1360,0))</f>
        <v>9.9</v>
      </c>
      <c r="E211" s="9" t="str">
        <f>IF(D211&lt;'3_Summary_Tables'!$C$16,"Low",IF(D211&lt;'3_Summary_Tables'!$C$17,"Medium","High"))</f>
        <v>Low</v>
      </c>
      <c r="F211" s="12">
        <f>INDEX('2_Clean_Data'!$C$2:$C$1360,MATCH($A211,'2_Clean_Data'!$A$2:$A$1360,0))</f>
        <v>0.38</v>
      </c>
      <c r="G211" s="10">
        <f>INDEX('2_Clean_Data'!$H$2:$H$1360,MATCH($A211,'2_Clean_Data'!$A$2:$A$1360,0))</f>
        <v>49</v>
      </c>
      <c r="H211" s="9" t="str">
        <f t="shared" si="13"/>
        <v>Low</v>
      </c>
      <c r="I211" s="9" t="str">
        <f t="shared" si="14"/>
        <v>OK</v>
      </c>
      <c r="J211" s="9" t="str">
        <f t="shared" si="15"/>
        <v>Solid</v>
      </c>
    </row>
    <row r="212" spans="1:10" x14ac:dyDescent="0.3">
      <c r="A212" s="10">
        <f>'2_Clean_Data'!A209</f>
        <v>208</v>
      </c>
      <c r="B212" s="10">
        <f>INDEX('2_Clean_Data'!$M$2:$M$1360,MATCH($A212,'2_Clean_Data'!$A$2:$A$1360,0))</f>
        <v>6</v>
      </c>
      <c r="C212" s="9" t="str">
        <f t="shared" si="12"/>
        <v>Above Average</v>
      </c>
      <c r="D212" s="11">
        <f>INDEX('2_Clean_Data'!$L$2:$L$1360,MATCH($A212,'2_Clean_Data'!$A$2:$A$1360,0))</f>
        <v>9.6</v>
      </c>
      <c r="E212" s="9" t="str">
        <f>IF(D212&lt;'3_Summary_Tables'!$C$16,"Low",IF(D212&lt;'3_Summary_Tables'!$C$17,"Medium","High"))</f>
        <v>Low</v>
      </c>
      <c r="F212" s="12">
        <f>INDEX('2_Clean_Data'!$C$2:$C$1360,MATCH($A212,'2_Clean_Data'!$A$2:$A$1360,0))</f>
        <v>0.37</v>
      </c>
      <c r="G212" s="10">
        <f>INDEX('2_Clean_Data'!$H$2:$H$1360,MATCH($A212,'2_Clean_Data'!$A$2:$A$1360,0))</f>
        <v>58</v>
      </c>
      <c r="H212" s="9" t="str">
        <f t="shared" si="13"/>
        <v>Moderate</v>
      </c>
      <c r="I212" s="9" t="str">
        <f t="shared" si="14"/>
        <v>OK</v>
      </c>
      <c r="J212" s="9" t="str">
        <f t="shared" si="15"/>
        <v>Solid</v>
      </c>
    </row>
    <row r="213" spans="1:10" x14ac:dyDescent="0.3">
      <c r="A213" s="10">
        <f>'2_Clean_Data'!A210</f>
        <v>209</v>
      </c>
      <c r="B213" s="10">
        <f>INDEX('2_Clean_Data'!$M$2:$M$1360,MATCH($A213,'2_Clean_Data'!$A$2:$A$1360,0))</f>
        <v>6</v>
      </c>
      <c r="C213" s="9" t="str">
        <f t="shared" si="12"/>
        <v>Above Average</v>
      </c>
      <c r="D213" s="11">
        <f>INDEX('2_Clean_Data'!$L$2:$L$1360,MATCH($A213,'2_Clean_Data'!$A$2:$A$1360,0))</f>
        <v>9</v>
      </c>
      <c r="E213" s="9" t="str">
        <f>IF(D213&lt;'3_Summary_Tables'!$C$16,"Low",IF(D213&lt;'3_Summary_Tables'!$C$17,"Medium","High"))</f>
        <v>Low</v>
      </c>
      <c r="F213" s="12">
        <f>INDEX('2_Clean_Data'!$C$2:$C$1360,MATCH($A213,'2_Clean_Data'!$A$2:$A$1360,0))</f>
        <v>1</v>
      </c>
      <c r="G213" s="10">
        <f>INDEX('2_Clean_Data'!$H$2:$H$1360,MATCH($A213,'2_Clean_Data'!$A$2:$A$1360,0))</f>
        <v>37</v>
      </c>
      <c r="H213" s="9" t="str">
        <f t="shared" si="13"/>
        <v>Low</v>
      </c>
      <c r="I213" s="9" t="str">
        <f t="shared" si="14"/>
        <v>Above limit</v>
      </c>
      <c r="J213" s="9" t="str">
        <f t="shared" si="15"/>
        <v>Standard</v>
      </c>
    </row>
    <row r="214" spans="1:10" x14ac:dyDescent="0.3">
      <c r="A214" s="10">
        <f>'2_Clean_Data'!A211</f>
        <v>210</v>
      </c>
      <c r="B214" s="10">
        <f>INDEX('2_Clean_Data'!$M$2:$M$1360,MATCH($A214,'2_Clean_Data'!$A$2:$A$1360,0))</f>
        <v>6</v>
      </c>
      <c r="C214" s="9" t="str">
        <f t="shared" si="12"/>
        <v>Above Average</v>
      </c>
      <c r="D214" s="11">
        <f>INDEX('2_Clean_Data'!$L$2:$L$1360,MATCH($A214,'2_Clean_Data'!$A$2:$A$1360,0))</f>
        <v>9</v>
      </c>
      <c r="E214" s="9" t="str">
        <f>IF(D214&lt;'3_Summary_Tables'!$C$16,"Low",IF(D214&lt;'3_Summary_Tables'!$C$17,"Medium","High"))</f>
        <v>Low</v>
      </c>
      <c r="F214" s="12">
        <f>INDEX('2_Clean_Data'!$C$2:$C$1360,MATCH($A214,'2_Clean_Data'!$A$2:$A$1360,0))</f>
        <v>0.63</v>
      </c>
      <c r="G214" s="10">
        <f>INDEX('2_Clean_Data'!$H$2:$H$1360,MATCH($A214,'2_Clean_Data'!$A$2:$A$1360,0))</f>
        <v>38</v>
      </c>
      <c r="H214" s="9" t="str">
        <f t="shared" si="13"/>
        <v>Low</v>
      </c>
      <c r="I214" s="9" t="str">
        <f t="shared" si="14"/>
        <v>OK</v>
      </c>
      <c r="J214" s="9" t="str">
        <f t="shared" si="15"/>
        <v>Solid</v>
      </c>
    </row>
    <row r="215" spans="1:10" x14ac:dyDescent="0.3">
      <c r="A215" s="10">
        <f>'2_Clean_Data'!A212</f>
        <v>211</v>
      </c>
      <c r="B215" s="10">
        <f>INDEX('2_Clean_Data'!$M$2:$M$1360,MATCH($A215,'2_Clean_Data'!$A$2:$A$1360,0))</f>
        <v>6</v>
      </c>
      <c r="C215" s="9" t="str">
        <f t="shared" si="12"/>
        <v>Above Average</v>
      </c>
      <c r="D215" s="11">
        <f>INDEX('2_Clean_Data'!$L$2:$L$1360,MATCH($A215,'2_Clean_Data'!$A$2:$A$1360,0))</f>
        <v>9.1999999999999993</v>
      </c>
      <c r="E215" s="9" t="str">
        <f>IF(D215&lt;'3_Summary_Tables'!$C$16,"Low",IF(D215&lt;'3_Summary_Tables'!$C$17,"Medium","High"))</f>
        <v>Low</v>
      </c>
      <c r="F215" s="12">
        <f>INDEX('2_Clean_Data'!$C$2:$C$1360,MATCH($A215,'2_Clean_Data'!$A$2:$A$1360,0))</f>
        <v>0.64500000000000002</v>
      </c>
      <c r="G215" s="10">
        <f>INDEX('2_Clean_Data'!$H$2:$H$1360,MATCH($A215,'2_Clean_Data'!$A$2:$A$1360,0))</f>
        <v>39</v>
      </c>
      <c r="H215" s="9" t="str">
        <f t="shared" si="13"/>
        <v>Low</v>
      </c>
      <c r="I215" s="9" t="str">
        <f t="shared" si="14"/>
        <v>OK</v>
      </c>
      <c r="J215" s="9" t="str">
        <f t="shared" si="15"/>
        <v>Solid</v>
      </c>
    </row>
    <row r="216" spans="1:10" x14ac:dyDescent="0.3">
      <c r="A216" s="10">
        <f>'2_Clean_Data'!A213</f>
        <v>212</v>
      </c>
      <c r="B216" s="10">
        <f>INDEX('2_Clean_Data'!$M$2:$M$1360,MATCH($A216,'2_Clean_Data'!$A$2:$A$1360,0))</f>
        <v>5</v>
      </c>
      <c r="C216" s="9" t="str">
        <f t="shared" si="12"/>
        <v>Average</v>
      </c>
      <c r="D216" s="11">
        <f>INDEX('2_Clean_Data'!$L$2:$L$1360,MATCH($A216,'2_Clean_Data'!$A$2:$A$1360,0))</f>
        <v>9.3000000000000007</v>
      </c>
      <c r="E216" s="9" t="str">
        <f>IF(D216&lt;'3_Summary_Tables'!$C$16,"Low",IF(D216&lt;'3_Summary_Tables'!$C$17,"Medium","High"))</f>
        <v>Low</v>
      </c>
      <c r="F216" s="12">
        <f>INDEX('2_Clean_Data'!$C$2:$C$1360,MATCH($A216,'2_Clean_Data'!$A$2:$A$1360,0))</f>
        <v>0.63500000000000001</v>
      </c>
      <c r="G216" s="10">
        <f>INDEX('2_Clean_Data'!$H$2:$H$1360,MATCH($A216,'2_Clean_Data'!$A$2:$A$1360,0))</f>
        <v>62</v>
      </c>
      <c r="H216" s="9" t="str">
        <f t="shared" si="13"/>
        <v>Moderate</v>
      </c>
      <c r="I216" s="9" t="str">
        <f t="shared" si="14"/>
        <v>OK</v>
      </c>
      <c r="J216" s="9" t="str">
        <f t="shared" si="15"/>
        <v>Standard</v>
      </c>
    </row>
    <row r="217" spans="1:10" x14ac:dyDescent="0.3">
      <c r="A217" s="10">
        <f>'2_Clean_Data'!A214</f>
        <v>213</v>
      </c>
      <c r="B217" s="10">
        <f>INDEX('2_Clean_Data'!$M$2:$M$1360,MATCH($A217,'2_Clean_Data'!$A$2:$A$1360,0))</f>
        <v>6</v>
      </c>
      <c r="C217" s="9" t="str">
        <f t="shared" si="12"/>
        <v>Above Average</v>
      </c>
      <c r="D217" s="11">
        <f>INDEX('2_Clean_Data'!$L$2:$L$1360,MATCH($A217,'2_Clean_Data'!$A$2:$A$1360,0))</f>
        <v>10.9</v>
      </c>
      <c r="E217" s="9" t="str">
        <f>IF(D217&lt;'3_Summary_Tables'!$C$16,"Low",IF(D217&lt;'3_Summary_Tables'!$C$17,"Medium","High"))</f>
        <v>Medium</v>
      </c>
      <c r="F217" s="12">
        <f>INDEX('2_Clean_Data'!$C$2:$C$1360,MATCH($A217,'2_Clean_Data'!$A$2:$A$1360,0))</f>
        <v>0.38</v>
      </c>
      <c r="G217" s="10">
        <f>INDEX('2_Clean_Data'!$H$2:$H$1360,MATCH($A217,'2_Clean_Data'!$A$2:$A$1360,0))</f>
        <v>24</v>
      </c>
      <c r="H217" s="9" t="str">
        <f t="shared" si="13"/>
        <v>Low</v>
      </c>
      <c r="I217" s="9" t="str">
        <f t="shared" si="14"/>
        <v>OK</v>
      </c>
      <c r="J217" s="9" t="str">
        <f t="shared" si="15"/>
        <v>Solid</v>
      </c>
    </row>
    <row r="218" spans="1:10" x14ac:dyDescent="0.3">
      <c r="A218" s="10">
        <f>'2_Clean_Data'!A215</f>
        <v>214</v>
      </c>
      <c r="B218" s="10">
        <f>INDEX('2_Clean_Data'!$M$2:$M$1360,MATCH($A218,'2_Clean_Data'!$A$2:$A$1360,0))</f>
        <v>6</v>
      </c>
      <c r="C218" s="9" t="str">
        <f t="shared" si="12"/>
        <v>Above Average</v>
      </c>
      <c r="D218" s="11">
        <f>INDEX('2_Clean_Data'!$L$2:$L$1360,MATCH($A218,'2_Clean_Data'!$A$2:$A$1360,0))</f>
        <v>9.8000000000000007</v>
      </c>
      <c r="E218" s="9" t="str">
        <f>IF(D218&lt;'3_Summary_Tables'!$C$16,"Low",IF(D218&lt;'3_Summary_Tables'!$C$17,"Medium","High"))</f>
        <v>Low</v>
      </c>
      <c r="F218" s="12">
        <f>INDEX('2_Clean_Data'!$C$2:$C$1360,MATCH($A218,'2_Clean_Data'!$A$2:$A$1360,0))</f>
        <v>0.57999999999999996</v>
      </c>
      <c r="G218" s="10">
        <f>INDEX('2_Clean_Data'!$H$2:$H$1360,MATCH($A218,'2_Clean_Data'!$A$2:$A$1360,0))</f>
        <v>109</v>
      </c>
      <c r="H218" s="9" t="str">
        <f t="shared" si="13"/>
        <v>High</v>
      </c>
      <c r="I218" s="9" t="str">
        <f t="shared" si="14"/>
        <v>OK</v>
      </c>
      <c r="J218" s="9" t="str">
        <f t="shared" si="15"/>
        <v>Solid</v>
      </c>
    </row>
    <row r="219" spans="1:10" x14ac:dyDescent="0.3">
      <c r="A219" s="10">
        <f>'2_Clean_Data'!A216</f>
        <v>215</v>
      </c>
      <c r="B219" s="10">
        <f>INDEX('2_Clean_Data'!$M$2:$M$1360,MATCH($A219,'2_Clean_Data'!$A$2:$A$1360,0))</f>
        <v>7</v>
      </c>
      <c r="C219" s="9" t="str">
        <f t="shared" si="12"/>
        <v>Good</v>
      </c>
      <c r="D219" s="11">
        <f>INDEX('2_Clean_Data'!$L$2:$L$1360,MATCH($A219,'2_Clean_Data'!$A$2:$A$1360,0))</f>
        <v>9.1999999999999993</v>
      </c>
      <c r="E219" s="9" t="str">
        <f>IF(D219&lt;'3_Summary_Tables'!$C$16,"Low",IF(D219&lt;'3_Summary_Tables'!$C$17,"Medium","High"))</f>
        <v>Low</v>
      </c>
      <c r="F219" s="12">
        <f>INDEX('2_Clean_Data'!$C$2:$C$1360,MATCH($A219,'2_Clean_Data'!$A$2:$A$1360,0))</f>
        <v>0.21</v>
      </c>
      <c r="G219" s="10">
        <f>INDEX('2_Clean_Data'!$H$2:$H$1360,MATCH($A219,'2_Clean_Data'!$A$2:$A$1360,0))</f>
        <v>24</v>
      </c>
      <c r="H219" s="9" t="str">
        <f t="shared" si="13"/>
        <v>Low</v>
      </c>
      <c r="I219" s="9" t="str">
        <f t="shared" si="14"/>
        <v>OK</v>
      </c>
      <c r="J219" s="9" t="str">
        <f t="shared" si="15"/>
        <v>Solid</v>
      </c>
    </row>
    <row r="220" spans="1:10" x14ac:dyDescent="0.3">
      <c r="A220" s="10">
        <f>'2_Clean_Data'!A217</f>
        <v>216</v>
      </c>
      <c r="B220" s="10">
        <f>INDEX('2_Clean_Data'!$M$2:$M$1360,MATCH($A220,'2_Clean_Data'!$A$2:$A$1360,0))</f>
        <v>6</v>
      </c>
      <c r="C220" s="9" t="str">
        <f t="shared" si="12"/>
        <v>Above Average</v>
      </c>
      <c r="D220" s="11">
        <f>INDEX('2_Clean_Data'!$L$2:$L$1360,MATCH($A220,'2_Clean_Data'!$A$2:$A$1360,0))</f>
        <v>9.9</v>
      </c>
      <c r="E220" s="9" t="str">
        <f>IF(D220&lt;'3_Summary_Tables'!$C$16,"Low",IF(D220&lt;'3_Summary_Tables'!$C$17,"Medium","High"))</f>
        <v>Low</v>
      </c>
      <c r="F220" s="12">
        <f>INDEX('2_Clean_Data'!$C$2:$C$1360,MATCH($A220,'2_Clean_Data'!$A$2:$A$1360,0))</f>
        <v>0.66</v>
      </c>
      <c r="G220" s="10">
        <f>INDEX('2_Clean_Data'!$H$2:$H$1360,MATCH($A220,'2_Clean_Data'!$A$2:$A$1360,0))</f>
        <v>23</v>
      </c>
      <c r="H220" s="9" t="str">
        <f t="shared" si="13"/>
        <v>Low</v>
      </c>
      <c r="I220" s="9" t="str">
        <f t="shared" si="14"/>
        <v>OK</v>
      </c>
      <c r="J220" s="9" t="str">
        <f t="shared" si="15"/>
        <v>Solid</v>
      </c>
    </row>
    <row r="221" spans="1:10" x14ac:dyDescent="0.3">
      <c r="A221" s="10">
        <f>'2_Clean_Data'!A218</f>
        <v>217</v>
      </c>
      <c r="B221" s="10">
        <f>INDEX('2_Clean_Data'!$M$2:$M$1360,MATCH($A221,'2_Clean_Data'!$A$2:$A$1360,0))</f>
        <v>5</v>
      </c>
      <c r="C221" s="9" t="str">
        <f t="shared" si="12"/>
        <v>Average</v>
      </c>
      <c r="D221" s="11">
        <f>INDEX('2_Clean_Data'!$L$2:$L$1360,MATCH($A221,'2_Clean_Data'!$A$2:$A$1360,0))</f>
        <v>9.5</v>
      </c>
      <c r="E221" s="9" t="str">
        <f>IF(D221&lt;'3_Summary_Tables'!$C$16,"Low",IF(D221&lt;'3_Summary_Tables'!$C$17,"Medium","High"))</f>
        <v>Low</v>
      </c>
      <c r="F221" s="12">
        <f>INDEX('2_Clean_Data'!$C$2:$C$1360,MATCH($A221,'2_Clean_Data'!$A$2:$A$1360,0))</f>
        <v>0.68</v>
      </c>
      <c r="G221" s="10">
        <f>INDEX('2_Clean_Data'!$H$2:$H$1360,MATCH($A221,'2_Clean_Data'!$A$2:$A$1360,0))</f>
        <v>51</v>
      </c>
      <c r="H221" s="9" t="str">
        <f t="shared" si="13"/>
        <v>Moderate</v>
      </c>
      <c r="I221" s="9" t="str">
        <f t="shared" si="14"/>
        <v>OK</v>
      </c>
      <c r="J221" s="9" t="str">
        <f t="shared" si="15"/>
        <v>Standard</v>
      </c>
    </row>
    <row r="222" spans="1:10" x14ac:dyDescent="0.3">
      <c r="A222" s="10">
        <f>'2_Clean_Data'!A219</f>
        <v>218</v>
      </c>
      <c r="B222" s="10">
        <f>INDEX('2_Clean_Data'!$M$2:$M$1360,MATCH($A222,'2_Clean_Data'!$A$2:$A$1360,0))</f>
        <v>5</v>
      </c>
      <c r="C222" s="9" t="str">
        <f t="shared" si="12"/>
        <v>Average</v>
      </c>
      <c r="D222" s="11">
        <f>INDEX('2_Clean_Data'!$L$2:$L$1360,MATCH($A222,'2_Clean_Data'!$A$2:$A$1360,0))</f>
        <v>9.3000000000000007</v>
      </c>
      <c r="E222" s="9" t="str">
        <f>IF(D222&lt;'3_Summary_Tables'!$C$16,"Low",IF(D222&lt;'3_Summary_Tables'!$C$17,"Medium","High"))</f>
        <v>Low</v>
      </c>
      <c r="F222" s="12">
        <f>INDEX('2_Clean_Data'!$C$2:$C$1360,MATCH($A222,'2_Clean_Data'!$A$2:$A$1360,0))</f>
        <v>0.6</v>
      </c>
      <c r="G222" s="10">
        <f>INDEX('2_Clean_Data'!$H$2:$H$1360,MATCH($A222,'2_Clean_Data'!$A$2:$A$1360,0))</f>
        <v>73</v>
      </c>
      <c r="H222" s="9" t="str">
        <f t="shared" si="13"/>
        <v>Moderate</v>
      </c>
      <c r="I222" s="9" t="str">
        <f t="shared" si="14"/>
        <v>OK</v>
      </c>
      <c r="J222" s="9" t="str">
        <f t="shared" si="15"/>
        <v>Standard</v>
      </c>
    </row>
    <row r="223" spans="1:10" x14ac:dyDescent="0.3">
      <c r="A223" s="10">
        <f>'2_Clean_Data'!A220</f>
        <v>219</v>
      </c>
      <c r="B223" s="10">
        <f>INDEX('2_Clean_Data'!$M$2:$M$1360,MATCH($A223,'2_Clean_Data'!$A$2:$A$1360,0))</f>
        <v>6</v>
      </c>
      <c r="C223" s="9" t="str">
        <f t="shared" si="12"/>
        <v>Above Average</v>
      </c>
      <c r="D223" s="11">
        <f>INDEX('2_Clean_Data'!$L$2:$L$1360,MATCH($A223,'2_Clean_Data'!$A$2:$A$1360,0))</f>
        <v>9.8000000000000007</v>
      </c>
      <c r="E223" s="9" t="str">
        <f>IF(D223&lt;'3_Summary_Tables'!$C$16,"Low",IF(D223&lt;'3_Summary_Tables'!$C$17,"Medium","High"))</f>
        <v>Low</v>
      </c>
      <c r="F223" s="12">
        <f>INDEX('2_Clean_Data'!$C$2:$C$1360,MATCH($A223,'2_Clean_Data'!$A$2:$A$1360,0))</f>
        <v>0.53</v>
      </c>
      <c r="G223" s="10">
        <f>INDEX('2_Clean_Data'!$H$2:$H$1360,MATCH($A223,'2_Clean_Data'!$A$2:$A$1360,0))</f>
        <v>39</v>
      </c>
      <c r="H223" s="9" t="str">
        <f t="shared" si="13"/>
        <v>Low</v>
      </c>
      <c r="I223" s="9" t="str">
        <f t="shared" si="14"/>
        <v>OK</v>
      </c>
      <c r="J223" s="9" t="str">
        <f t="shared" si="15"/>
        <v>Solid</v>
      </c>
    </row>
    <row r="224" spans="1:10" x14ac:dyDescent="0.3">
      <c r="A224" s="10">
        <f>'2_Clean_Data'!A221</f>
        <v>220</v>
      </c>
      <c r="B224" s="10">
        <f>INDEX('2_Clean_Data'!$M$2:$M$1360,MATCH($A224,'2_Clean_Data'!$A$2:$A$1360,0))</f>
        <v>6</v>
      </c>
      <c r="C224" s="9" t="str">
        <f t="shared" si="12"/>
        <v>Above Average</v>
      </c>
      <c r="D224" s="11">
        <f>INDEX('2_Clean_Data'!$L$2:$L$1360,MATCH($A224,'2_Clean_Data'!$A$2:$A$1360,0))</f>
        <v>10</v>
      </c>
      <c r="E224" s="9" t="str">
        <f>IF(D224&lt;'3_Summary_Tables'!$C$16,"Low",IF(D224&lt;'3_Summary_Tables'!$C$17,"Medium","High"))</f>
        <v>Medium</v>
      </c>
      <c r="F224" s="12">
        <f>INDEX('2_Clean_Data'!$C$2:$C$1360,MATCH($A224,'2_Clean_Data'!$A$2:$A$1360,0))</f>
        <v>0.32</v>
      </c>
      <c r="G224" s="10">
        <f>INDEX('2_Clean_Data'!$H$2:$H$1360,MATCH($A224,'2_Clean_Data'!$A$2:$A$1360,0))</f>
        <v>37</v>
      </c>
      <c r="H224" s="9" t="str">
        <f t="shared" si="13"/>
        <v>Low</v>
      </c>
      <c r="I224" s="9" t="str">
        <f t="shared" si="14"/>
        <v>OK</v>
      </c>
      <c r="J224" s="9" t="str">
        <f t="shared" si="15"/>
        <v>Solid</v>
      </c>
    </row>
    <row r="225" spans="1:10" x14ac:dyDescent="0.3">
      <c r="A225" s="10">
        <f>'2_Clean_Data'!A222</f>
        <v>221</v>
      </c>
      <c r="B225" s="10">
        <f>INDEX('2_Clean_Data'!$M$2:$M$1360,MATCH($A225,'2_Clean_Data'!$A$2:$A$1360,0))</f>
        <v>6</v>
      </c>
      <c r="C225" s="9" t="str">
        <f t="shared" si="12"/>
        <v>Above Average</v>
      </c>
      <c r="D225" s="11">
        <f>INDEX('2_Clean_Data'!$L$2:$L$1360,MATCH($A225,'2_Clean_Data'!$A$2:$A$1360,0))</f>
        <v>9.9</v>
      </c>
      <c r="E225" s="9" t="str">
        <f>IF(D225&lt;'3_Summary_Tables'!$C$16,"Low",IF(D225&lt;'3_Summary_Tables'!$C$17,"Medium","High"))</f>
        <v>Low</v>
      </c>
      <c r="F225" s="12">
        <f>INDEX('2_Clean_Data'!$C$2:$C$1360,MATCH($A225,'2_Clean_Data'!$A$2:$A$1360,0))</f>
        <v>0.6</v>
      </c>
      <c r="G225" s="10">
        <f>INDEX('2_Clean_Data'!$H$2:$H$1360,MATCH($A225,'2_Clean_Data'!$A$2:$A$1360,0))</f>
        <v>34</v>
      </c>
      <c r="H225" s="9" t="str">
        <f t="shared" si="13"/>
        <v>Low</v>
      </c>
      <c r="I225" s="9" t="str">
        <f t="shared" si="14"/>
        <v>OK</v>
      </c>
      <c r="J225" s="9" t="str">
        <f t="shared" si="15"/>
        <v>Solid</v>
      </c>
    </row>
    <row r="226" spans="1:10" x14ac:dyDescent="0.3">
      <c r="A226" s="10">
        <f>'2_Clean_Data'!A223</f>
        <v>222</v>
      </c>
      <c r="B226" s="10">
        <f>INDEX('2_Clean_Data'!$M$2:$M$1360,MATCH($A226,'2_Clean_Data'!$A$2:$A$1360,0))</f>
        <v>5</v>
      </c>
      <c r="C226" s="9" t="str">
        <f t="shared" si="12"/>
        <v>Average</v>
      </c>
      <c r="D226" s="11">
        <f>INDEX('2_Clean_Data'!$L$2:$L$1360,MATCH($A226,'2_Clean_Data'!$A$2:$A$1360,0))</f>
        <v>10.5</v>
      </c>
      <c r="E226" s="9" t="str">
        <f>IF(D226&lt;'3_Summary_Tables'!$C$16,"Low",IF(D226&lt;'3_Summary_Tables'!$C$17,"Medium","High"))</f>
        <v>Medium</v>
      </c>
      <c r="F226" s="12">
        <f>INDEX('2_Clean_Data'!$C$2:$C$1360,MATCH($A226,'2_Clean_Data'!$A$2:$A$1360,0))</f>
        <v>0.35</v>
      </c>
      <c r="G226" s="10">
        <f>INDEX('2_Clean_Data'!$H$2:$H$1360,MATCH($A226,'2_Clean_Data'!$A$2:$A$1360,0))</f>
        <v>21</v>
      </c>
      <c r="H226" s="9" t="str">
        <f t="shared" si="13"/>
        <v>Low</v>
      </c>
      <c r="I226" s="9" t="str">
        <f t="shared" si="14"/>
        <v>OK</v>
      </c>
      <c r="J226" s="9" t="str">
        <f t="shared" si="15"/>
        <v>Standard</v>
      </c>
    </row>
    <row r="227" spans="1:10" x14ac:dyDescent="0.3">
      <c r="A227" s="10">
        <f>'2_Clean_Data'!A224</f>
        <v>223</v>
      </c>
      <c r="B227" s="10">
        <f>INDEX('2_Clean_Data'!$M$2:$M$1360,MATCH($A227,'2_Clean_Data'!$A$2:$A$1360,0))</f>
        <v>5</v>
      </c>
      <c r="C227" s="9" t="str">
        <f t="shared" si="12"/>
        <v>Average</v>
      </c>
      <c r="D227" s="11">
        <f>INDEX('2_Clean_Data'!$L$2:$L$1360,MATCH($A227,'2_Clean_Data'!$A$2:$A$1360,0))</f>
        <v>9.5</v>
      </c>
      <c r="E227" s="9" t="str">
        <f>IF(D227&lt;'3_Summary_Tables'!$C$16,"Low",IF(D227&lt;'3_Summary_Tables'!$C$17,"Medium","High"))</f>
        <v>Low</v>
      </c>
      <c r="F227" s="12">
        <f>INDEX('2_Clean_Data'!$C$2:$C$1360,MATCH($A227,'2_Clean_Data'!$A$2:$A$1360,0))</f>
        <v>0.77500000000000002</v>
      </c>
      <c r="G227" s="10">
        <f>INDEX('2_Clean_Data'!$H$2:$H$1360,MATCH($A227,'2_Clean_Data'!$A$2:$A$1360,0))</f>
        <v>86</v>
      </c>
      <c r="H227" s="9" t="str">
        <f t="shared" si="13"/>
        <v>Moderate</v>
      </c>
      <c r="I227" s="9" t="str">
        <f t="shared" si="14"/>
        <v>Above limit</v>
      </c>
      <c r="J227" s="9" t="str">
        <f t="shared" si="15"/>
        <v>Standard</v>
      </c>
    </row>
    <row r="228" spans="1:10" x14ac:dyDescent="0.3">
      <c r="A228" s="10">
        <f>'2_Clean_Data'!A225</f>
        <v>224</v>
      </c>
      <c r="B228" s="10">
        <f>INDEX('2_Clean_Data'!$M$2:$M$1360,MATCH($A228,'2_Clean_Data'!$A$2:$A$1360,0))</f>
        <v>5</v>
      </c>
      <c r="C228" s="9" t="str">
        <f t="shared" si="12"/>
        <v>Average</v>
      </c>
      <c r="D228" s="11">
        <f>INDEX('2_Clean_Data'!$L$2:$L$1360,MATCH($A228,'2_Clean_Data'!$A$2:$A$1360,0))</f>
        <v>9.3000000000000007</v>
      </c>
      <c r="E228" s="9" t="str">
        <f>IF(D228&lt;'3_Summary_Tables'!$C$16,"Low",IF(D228&lt;'3_Summary_Tables'!$C$17,"Medium","High"))</f>
        <v>Low</v>
      </c>
      <c r="F228" s="12">
        <f>INDEX('2_Clean_Data'!$C$2:$C$1360,MATCH($A228,'2_Clean_Data'!$A$2:$A$1360,0))</f>
        <v>0.56999999999999995</v>
      </c>
      <c r="G228" s="10">
        <f>INDEX('2_Clean_Data'!$H$2:$H$1360,MATCH($A228,'2_Clean_Data'!$A$2:$A$1360,0))</f>
        <v>119</v>
      </c>
      <c r="H228" s="9" t="str">
        <f t="shared" si="13"/>
        <v>High</v>
      </c>
      <c r="I228" s="9" t="str">
        <f t="shared" si="14"/>
        <v>OK</v>
      </c>
      <c r="J228" s="9" t="str">
        <f t="shared" si="15"/>
        <v>Standard</v>
      </c>
    </row>
    <row r="229" spans="1:10" x14ac:dyDescent="0.3">
      <c r="A229" s="10">
        <f>'2_Clean_Data'!A226</f>
        <v>225</v>
      </c>
      <c r="B229" s="10">
        <f>INDEX('2_Clean_Data'!$M$2:$M$1360,MATCH($A229,'2_Clean_Data'!$A$2:$A$1360,0))</f>
        <v>5</v>
      </c>
      <c r="C229" s="9" t="str">
        <f t="shared" si="12"/>
        <v>Average</v>
      </c>
      <c r="D229" s="11">
        <f>INDEX('2_Clean_Data'!$L$2:$L$1360,MATCH($A229,'2_Clean_Data'!$A$2:$A$1360,0))</f>
        <v>9.1999999999999993</v>
      </c>
      <c r="E229" s="9" t="str">
        <f>IF(D229&lt;'3_Summary_Tables'!$C$16,"Low",IF(D229&lt;'3_Summary_Tables'!$C$17,"Medium","High"))</f>
        <v>Low</v>
      </c>
      <c r="F229" s="12">
        <f>INDEX('2_Clean_Data'!$C$2:$C$1360,MATCH($A229,'2_Clean_Data'!$A$2:$A$1360,0))</f>
        <v>0.34</v>
      </c>
      <c r="G229" s="10">
        <f>INDEX('2_Clean_Data'!$H$2:$H$1360,MATCH($A229,'2_Clean_Data'!$A$2:$A$1360,0))</f>
        <v>13</v>
      </c>
      <c r="H229" s="9" t="str">
        <f t="shared" si="13"/>
        <v>Low</v>
      </c>
      <c r="I229" s="9" t="str">
        <f t="shared" si="14"/>
        <v>OK</v>
      </c>
      <c r="J229" s="9" t="str">
        <f t="shared" si="15"/>
        <v>Standard</v>
      </c>
    </row>
    <row r="230" spans="1:10" x14ac:dyDescent="0.3">
      <c r="A230" s="10">
        <f>'2_Clean_Data'!A227</f>
        <v>226</v>
      </c>
      <c r="B230" s="10">
        <f>INDEX('2_Clean_Data'!$M$2:$M$1360,MATCH($A230,'2_Clean_Data'!$A$2:$A$1360,0))</f>
        <v>5</v>
      </c>
      <c r="C230" s="9" t="str">
        <f t="shared" si="12"/>
        <v>Average</v>
      </c>
      <c r="D230" s="11">
        <f>INDEX('2_Clean_Data'!$L$2:$L$1360,MATCH($A230,'2_Clean_Data'!$A$2:$A$1360,0))</f>
        <v>9.1999999999999993</v>
      </c>
      <c r="E230" s="9" t="str">
        <f>IF(D230&lt;'3_Summary_Tables'!$C$16,"Low",IF(D230&lt;'3_Summary_Tables'!$C$17,"Medium","High"))</f>
        <v>Low</v>
      </c>
      <c r="F230" s="12">
        <f>INDEX('2_Clean_Data'!$C$2:$C$1360,MATCH($A230,'2_Clean_Data'!$A$2:$A$1360,0))</f>
        <v>0.69499999999999995</v>
      </c>
      <c r="G230" s="10">
        <f>INDEX('2_Clean_Data'!$H$2:$H$1360,MATCH($A230,'2_Clean_Data'!$A$2:$A$1360,0))</f>
        <v>56</v>
      </c>
      <c r="H230" s="9" t="str">
        <f t="shared" si="13"/>
        <v>Moderate</v>
      </c>
      <c r="I230" s="9" t="str">
        <f t="shared" si="14"/>
        <v>OK</v>
      </c>
      <c r="J230" s="9" t="str">
        <f t="shared" si="15"/>
        <v>Standard</v>
      </c>
    </row>
    <row r="231" spans="1:10" x14ac:dyDescent="0.3">
      <c r="A231" s="10">
        <f>'2_Clean_Data'!A228</f>
        <v>227</v>
      </c>
      <c r="B231" s="10">
        <f>INDEX('2_Clean_Data'!$M$2:$M$1360,MATCH($A231,'2_Clean_Data'!$A$2:$A$1360,0))</f>
        <v>5</v>
      </c>
      <c r="C231" s="9" t="str">
        <f t="shared" si="12"/>
        <v>Average</v>
      </c>
      <c r="D231" s="11">
        <f>INDEX('2_Clean_Data'!$L$2:$L$1360,MATCH($A231,'2_Clean_Data'!$A$2:$A$1360,0))</f>
        <v>9.4</v>
      </c>
      <c r="E231" s="9" t="str">
        <f>IF(D231&lt;'3_Summary_Tables'!$C$16,"Low",IF(D231&lt;'3_Summary_Tables'!$C$17,"Medium","High"))</f>
        <v>Low</v>
      </c>
      <c r="F231" s="12">
        <f>INDEX('2_Clean_Data'!$C$2:$C$1360,MATCH($A231,'2_Clean_Data'!$A$2:$A$1360,0))</f>
        <v>0.41</v>
      </c>
      <c r="G231" s="10">
        <f>INDEX('2_Clean_Data'!$H$2:$H$1360,MATCH($A231,'2_Clean_Data'!$A$2:$A$1360,0))</f>
        <v>45</v>
      </c>
      <c r="H231" s="9" t="str">
        <f t="shared" si="13"/>
        <v>Low</v>
      </c>
      <c r="I231" s="9" t="str">
        <f t="shared" si="14"/>
        <v>OK</v>
      </c>
      <c r="J231" s="9" t="str">
        <f t="shared" si="15"/>
        <v>Standard</v>
      </c>
    </row>
    <row r="232" spans="1:10" x14ac:dyDescent="0.3">
      <c r="A232" s="10">
        <f>'2_Clean_Data'!A229</f>
        <v>228</v>
      </c>
      <c r="B232" s="10">
        <f>INDEX('2_Clean_Data'!$M$2:$M$1360,MATCH($A232,'2_Clean_Data'!$A$2:$A$1360,0))</f>
        <v>7</v>
      </c>
      <c r="C232" s="9" t="str">
        <f t="shared" si="12"/>
        <v>Good</v>
      </c>
      <c r="D232" s="11">
        <f>INDEX('2_Clean_Data'!$L$2:$L$1360,MATCH($A232,'2_Clean_Data'!$A$2:$A$1360,0))</f>
        <v>10.5</v>
      </c>
      <c r="E232" s="9" t="str">
        <f>IF(D232&lt;'3_Summary_Tables'!$C$16,"Low",IF(D232&lt;'3_Summary_Tables'!$C$17,"Medium","High"))</f>
        <v>Medium</v>
      </c>
      <c r="F232" s="12">
        <f>INDEX('2_Clean_Data'!$C$2:$C$1360,MATCH($A232,'2_Clean_Data'!$A$2:$A$1360,0))</f>
        <v>0.31</v>
      </c>
      <c r="G232" s="10">
        <f>INDEX('2_Clean_Data'!$H$2:$H$1360,MATCH($A232,'2_Clean_Data'!$A$2:$A$1360,0))</f>
        <v>33</v>
      </c>
      <c r="H232" s="9" t="str">
        <f t="shared" si="13"/>
        <v>Low</v>
      </c>
      <c r="I232" s="9" t="str">
        <f t="shared" si="14"/>
        <v>OK</v>
      </c>
      <c r="J232" s="9" t="str">
        <f t="shared" si="15"/>
        <v>Solid</v>
      </c>
    </row>
    <row r="233" spans="1:10" x14ac:dyDescent="0.3">
      <c r="A233" s="10">
        <f>'2_Clean_Data'!A230</f>
        <v>229</v>
      </c>
      <c r="B233" s="10">
        <f>INDEX('2_Clean_Data'!$M$2:$M$1360,MATCH($A233,'2_Clean_Data'!$A$2:$A$1360,0))</f>
        <v>5</v>
      </c>
      <c r="C233" s="9" t="str">
        <f t="shared" si="12"/>
        <v>Average</v>
      </c>
      <c r="D233" s="11">
        <f>INDEX('2_Clean_Data'!$L$2:$L$1360,MATCH($A233,'2_Clean_Data'!$A$2:$A$1360,0))</f>
        <v>9.3000000000000007</v>
      </c>
      <c r="E233" s="9" t="str">
        <f>IF(D233&lt;'3_Summary_Tables'!$C$16,"Low",IF(D233&lt;'3_Summary_Tables'!$C$17,"Medium","High"))</f>
        <v>Low</v>
      </c>
      <c r="F233" s="12">
        <f>INDEX('2_Clean_Data'!$C$2:$C$1360,MATCH($A233,'2_Clean_Data'!$A$2:$A$1360,0))</f>
        <v>0.33</v>
      </c>
      <c r="G233" s="10">
        <f>INDEX('2_Clean_Data'!$H$2:$H$1360,MATCH($A233,'2_Clean_Data'!$A$2:$A$1360,0))</f>
        <v>45</v>
      </c>
      <c r="H233" s="9" t="str">
        <f t="shared" si="13"/>
        <v>Low</v>
      </c>
      <c r="I233" s="9" t="str">
        <f t="shared" si="14"/>
        <v>OK</v>
      </c>
      <c r="J233" s="9" t="str">
        <f t="shared" si="15"/>
        <v>Standard</v>
      </c>
    </row>
    <row r="234" spans="1:10" x14ac:dyDescent="0.3">
      <c r="A234" s="10">
        <f>'2_Clean_Data'!A231</f>
        <v>230</v>
      </c>
      <c r="B234" s="10">
        <f>INDEX('2_Clean_Data'!$M$2:$M$1360,MATCH($A234,'2_Clean_Data'!$A$2:$A$1360,0))</f>
        <v>4</v>
      </c>
      <c r="C234" s="9" t="str">
        <f t="shared" si="12"/>
        <v>Poor</v>
      </c>
      <c r="D234" s="11">
        <f>INDEX('2_Clean_Data'!$L$2:$L$1360,MATCH($A234,'2_Clean_Data'!$A$2:$A$1360,0))</f>
        <v>9.4</v>
      </c>
      <c r="E234" s="9" t="str">
        <f>IF(D234&lt;'3_Summary_Tables'!$C$16,"Low",IF(D234&lt;'3_Summary_Tables'!$C$17,"Medium","High"))</f>
        <v>Low</v>
      </c>
      <c r="F234" s="12">
        <f>INDEX('2_Clean_Data'!$C$2:$C$1360,MATCH($A234,'2_Clean_Data'!$A$2:$A$1360,0))</f>
        <v>0.97499999999999998</v>
      </c>
      <c r="G234" s="10">
        <f>INDEX('2_Clean_Data'!$H$2:$H$1360,MATCH($A234,'2_Clean_Data'!$A$2:$A$1360,0))</f>
        <v>67</v>
      </c>
      <c r="H234" s="9" t="str">
        <f t="shared" si="13"/>
        <v>Moderate</v>
      </c>
      <c r="I234" s="9" t="str">
        <f t="shared" si="14"/>
        <v>Above limit</v>
      </c>
      <c r="J234" s="9" t="str">
        <f t="shared" si="15"/>
        <v>Poor</v>
      </c>
    </row>
    <row r="235" spans="1:10" x14ac:dyDescent="0.3">
      <c r="A235" s="10">
        <f>'2_Clean_Data'!A232</f>
        <v>231</v>
      </c>
      <c r="B235" s="10">
        <f>INDEX('2_Clean_Data'!$M$2:$M$1360,MATCH($A235,'2_Clean_Data'!$A$2:$A$1360,0))</f>
        <v>5</v>
      </c>
      <c r="C235" s="9" t="str">
        <f t="shared" si="12"/>
        <v>Average</v>
      </c>
      <c r="D235" s="11">
        <f>INDEX('2_Clean_Data'!$L$2:$L$1360,MATCH($A235,'2_Clean_Data'!$A$2:$A$1360,0))</f>
        <v>10</v>
      </c>
      <c r="E235" s="9" t="str">
        <f>IF(D235&lt;'3_Summary_Tables'!$C$16,"Low",IF(D235&lt;'3_Summary_Tables'!$C$17,"Medium","High"))</f>
        <v>Medium</v>
      </c>
      <c r="F235" s="12">
        <f>INDEX('2_Clean_Data'!$C$2:$C$1360,MATCH($A235,'2_Clean_Data'!$A$2:$A$1360,0))</f>
        <v>0.52</v>
      </c>
      <c r="G235" s="10">
        <f>INDEX('2_Clean_Data'!$H$2:$H$1360,MATCH($A235,'2_Clean_Data'!$A$2:$A$1360,0))</f>
        <v>35</v>
      </c>
      <c r="H235" s="9" t="str">
        <f t="shared" si="13"/>
        <v>Low</v>
      </c>
      <c r="I235" s="9" t="str">
        <f t="shared" si="14"/>
        <v>OK</v>
      </c>
      <c r="J235" s="9" t="str">
        <f t="shared" si="15"/>
        <v>Standard</v>
      </c>
    </row>
    <row r="236" spans="1:10" x14ac:dyDescent="0.3">
      <c r="A236" s="10">
        <f>'2_Clean_Data'!A233</f>
        <v>232</v>
      </c>
      <c r="B236" s="10">
        <f>INDEX('2_Clean_Data'!$M$2:$M$1360,MATCH($A236,'2_Clean_Data'!$A$2:$A$1360,0))</f>
        <v>5</v>
      </c>
      <c r="C236" s="9" t="str">
        <f t="shared" si="12"/>
        <v>Average</v>
      </c>
      <c r="D236" s="11">
        <f>INDEX('2_Clean_Data'!$L$2:$L$1360,MATCH($A236,'2_Clean_Data'!$A$2:$A$1360,0))</f>
        <v>9.3000000000000007</v>
      </c>
      <c r="E236" s="9" t="str">
        <f>IF(D236&lt;'3_Summary_Tables'!$C$16,"Low",IF(D236&lt;'3_Summary_Tables'!$C$17,"Medium","High"))</f>
        <v>Low</v>
      </c>
      <c r="F236" s="12">
        <f>INDEX('2_Clean_Data'!$C$2:$C$1360,MATCH($A236,'2_Clean_Data'!$A$2:$A$1360,0))</f>
        <v>0.37</v>
      </c>
      <c r="G236" s="10">
        <f>INDEX('2_Clean_Data'!$H$2:$H$1360,MATCH($A236,'2_Clean_Data'!$A$2:$A$1360,0))</f>
        <v>49</v>
      </c>
      <c r="H236" s="9" t="str">
        <f t="shared" si="13"/>
        <v>Low</v>
      </c>
      <c r="I236" s="9" t="str">
        <f t="shared" si="14"/>
        <v>OK</v>
      </c>
      <c r="J236" s="9" t="str">
        <f t="shared" si="15"/>
        <v>Standard</v>
      </c>
    </row>
    <row r="237" spans="1:10" x14ac:dyDescent="0.3">
      <c r="A237" s="10">
        <f>'2_Clean_Data'!A234</f>
        <v>233</v>
      </c>
      <c r="B237" s="10">
        <f>INDEX('2_Clean_Data'!$M$2:$M$1360,MATCH($A237,'2_Clean_Data'!$A$2:$A$1360,0))</f>
        <v>5</v>
      </c>
      <c r="C237" s="9" t="str">
        <f t="shared" si="12"/>
        <v>Average</v>
      </c>
      <c r="D237" s="11">
        <f>INDEX('2_Clean_Data'!$L$2:$L$1360,MATCH($A237,'2_Clean_Data'!$A$2:$A$1360,0))</f>
        <v>10.9</v>
      </c>
      <c r="E237" s="9" t="str">
        <f>IF(D237&lt;'3_Summary_Tables'!$C$16,"Low",IF(D237&lt;'3_Summary_Tables'!$C$17,"Medium","High"))</f>
        <v>Medium</v>
      </c>
      <c r="F237" s="12">
        <f>INDEX('2_Clean_Data'!$C$2:$C$1360,MATCH($A237,'2_Clean_Data'!$A$2:$A$1360,0))</f>
        <v>0.56000000000000005</v>
      </c>
      <c r="G237" s="10">
        <f>INDEX('2_Clean_Data'!$H$2:$H$1360,MATCH($A237,'2_Clean_Data'!$A$2:$A$1360,0))</f>
        <v>27</v>
      </c>
      <c r="H237" s="9" t="str">
        <f t="shared" si="13"/>
        <v>Low</v>
      </c>
      <c r="I237" s="9" t="str">
        <f t="shared" si="14"/>
        <v>OK</v>
      </c>
      <c r="J237" s="9" t="str">
        <f t="shared" si="15"/>
        <v>Standard</v>
      </c>
    </row>
    <row r="238" spans="1:10" x14ac:dyDescent="0.3">
      <c r="A238" s="10">
        <f>'2_Clean_Data'!A235</f>
        <v>234</v>
      </c>
      <c r="B238" s="10">
        <f>INDEX('2_Clean_Data'!$M$2:$M$1360,MATCH($A238,'2_Clean_Data'!$A$2:$A$1360,0))</f>
        <v>7</v>
      </c>
      <c r="C238" s="9" t="str">
        <f t="shared" si="12"/>
        <v>Good</v>
      </c>
      <c r="D238" s="11">
        <f>INDEX('2_Clean_Data'!$L$2:$L$1360,MATCH($A238,'2_Clean_Data'!$A$2:$A$1360,0))</f>
        <v>10.199999999999999</v>
      </c>
      <c r="E238" s="9" t="str">
        <f>IF(D238&lt;'3_Summary_Tables'!$C$16,"Low",IF(D238&lt;'3_Summary_Tables'!$C$17,"Medium","High"))</f>
        <v>Medium</v>
      </c>
      <c r="F238" s="12">
        <f>INDEX('2_Clean_Data'!$C$2:$C$1360,MATCH($A238,'2_Clean_Data'!$A$2:$A$1360,0))</f>
        <v>0.26</v>
      </c>
      <c r="G238" s="10">
        <f>INDEX('2_Clean_Data'!$H$2:$H$1360,MATCH($A238,'2_Clean_Data'!$A$2:$A$1360,0))</f>
        <v>10</v>
      </c>
      <c r="H238" s="9" t="str">
        <f t="shared" si="13"/>
        <v>Low</v>
      </c>
      <c r="I238" s="9" t="str">
        <f t="shared" si="14"/>
        <v>OK</v>
      </c>
      <c r="J238" s="9" t="str">
        <f t="shared" si="15"/>
        <v>Solid</v>
      </c>
    </row>
    <row r="239" spans="1:10" x14ac:dyDescent="0.3">
      <c r="A239" s="10">
        <f>'2_Clean_Data'!A236</f>
        <v>235</v>
      </c>
      <c r="B239" s="10">
        <f>INDEX('2_Clean_Data'!$M$2:$M$1360,MATCH($A239,'2_Clean_Data'!$A$2:$A$1360,0))</f>
        <v>4</v>
      </c>
      <c r="C239" s="9" t="str">
        <f t="shared" si="12"/>
        <v>Poor</v>
      </c>
      <c r="D239" s="11">
        <f>INDEX('2_Clean_Data'!$L$2:$L$1360,MATCH($A239,'2_Clean_Data'!$A$2:$A$1360,0))</f>
        <v>9.8000000000000007</v>
      </c>
      <c r="E239" s="9" t="str">
        <f>IF(D239&lt;'3_Summary_Tables'!$C$16,"Low",IF(D239&lt;'3_Summary_Tables'!$C$17,"Medium","High"))</f>
        <v>Low</v>
      </c>
      <c r="F239" s="12">
        <f>INDEX('2_Clean_Data'!$C$2:$C$1360,MATCH($A239,'2_Clean_Data'!$A$2:$A$1360,0))</f>
        <v>0.87</v>
      </c>
      <c r="G239" s="10">
        <f>INDEX('2_Clean_Data'!$H$2:$H$1360,MATCH($A239,'2_Clean_Data'!$A$2:$A$1360,0))</f>
        <v>61</v>
      </c>
      <c r="H239" s="9" t="str">
        <f t="shared" si="13"/>
        <v>Moderate</v>
      </c>
      <c r="I239" s="9" t="str">
        <f t="shared" si="14"/>
        <v>Above limit</v>
      </c>
      <c r="J239" s="9" t="str">
        <f t="shared" si="15"/>
        <v>Poor</v>
      </c>
    </row>
    <row r="240" spans="1:10" x14ac:dyDescent="0.3">
      <c r="A240" s="10">
        <f>'2_Clean_Data'!A237</f>
        <v>236</v>
      </c>
      <c r="B240" s="10">
        <f>INDEX('2_Clean_Data'!$M$2:$M$1360,MATCH($A240,'2_Clean_Data'!$A$2:$A$1360,0))</f>
        <v>8</v>
      </c>
      <c r="C240" s="9" t="str">
        <f t="shared" si="12"/>
        <v>Excellent</v>
      </c>
      <c r="D240" s="11">
        <f>INDEX('2_Clean_Data'!$L$2:$L$1360,MATCH($A240,'2_Clean_Data'!$A$2:$A$1360,0))</f>
        <v>12.8</v>
      </c>
      <c r="E240" s="9" t="str">
        <f>IF(D240&lt;'3_Summary_Tables'!$C$16,"Low",IF(D240&lt;'3_Summary_Tables'!$C$17,"Medium","High"))</f>
        <v>High</v>
      </c>
      <c r="F240" s="12">
        <f>INDEX('2_Clean_Data'!$C$2:$C$1360,MATCH($A240,'2_Clean_Data'!$A$2:$A$1360,0))</f>
        <v>0.35</v>
      </c>
      <c r="G240" s="10">
        <f>INDEX('2_Clean_Data'!$H$2:$H$1360,MATCH($A240,'2_Clean_Data'!$A$2:$A$1360,0))</f>
        <v>37</v>
      </c>
      <c r="H240" s="9" t="str">
        <f t="shared" si="13"/>
        <v>Low</v>
      </c>
      <c r="I240" s="9" t="str">
        <f t="shared" si="14"/>
        <v>OK</v>
      </c>
      <c r="J240" s="9" t="str">
        <f t="shared" si="15"/>
        <v>Premium</v>
      </c>
    </row>
    <row r="241" spans="1:10" x14ac:dyDescent="0.3">
      <c r="A241" s="10">
        <f>'2_Clean_Data'!A238</f>
        <v>237</v>
      </c>
      <c r="B241" s="10">
        <f>INDEX('2_Clean_Data'!$M$2:$M$1360,MATCH($A241,'2_Clean_Data'!$A$2:$A$1360,0))</f>
        <v>6</v>
      </c>
      <c r="C241" s="9" t="str">
        <f t="shared" si="12"/>
        <v>Above Average</v>
      </c>
      <c r="D241" s="11">
        <f>INDEX('2_Clean_Data'!$L$2:$L$1360,MATCH($A241,'2_Clean_Data'!$A$2:$A$1360,0))</f>
        <v>9.4</v>
      </c>
      <c r="E241" s="9" t="str">
        <f>IF(D241&lt;'3_Summary_Tables'!$C$16,"Low",IF(D241&lt;'3_Summary_Tables'!$C$17,"Medium","High"))</f>
        <v>Low</v>
      </c>
      <c r="F241" s="12">
        <f>INDEX('2_Clean_Data'!$C$2:$C$1360,MATCH($A241,'2_Clean_Data'!$A$2:$A$1360,0))</f>
        <v>0.54</v>
      </c>
      <c r="G241" s="10">
        <f>INDEX('2_Clean_Data'!$H$2:$H$1360,MATCH($A241,'2_Clean_Data'!$A$2:$A$1360,0))</f>
        <v>27</v>
      </c>
      <c r="H241" s="9" t="str">
        <f t="shared" si="13"/>
        <v>Low</v>
      </c>
      <c r="I241" s="9" t="str">
        <f t="shared" si="14"/>
        <v>OK</v>
      </c>
      <c r="J241" s="9" t="str">
        <f t="shared" si="15"/>
        <v>Solid</v>
      </c>
    </row>
    <row r="242" spans="1:10" x14ac:dyDescent="0.3">
      <c r="A242" s="10">
        <f>'2_Clean_Data'!A239</f>
        <v>238</v>
      </c>
      <c r="B242" s="10">
        <f>INDEX('2_Clean_Data'!$M$2:$M$1360,MATCH($A242,'2_Clean_Data'!$A$2:$A$1360,0))</f>
        <v>6</v>
      </c>
      <c r="C242" s="9" t="str">
        <f t="shared" si="12"/>
        <v>Above Average</v>
      </c>
      <c r="D242" s="11">
        <f>INDEX('2_Clean_Data'!$L$2:$L$1360,MATCH($A242,'2_Clean_Data'!$A$2:$A$1360,0))</f>
        <v>10.1</v>
      </c>
      <c r="E242" s="9" t="str">
        <f>IF(D242&lt;'3_Summary_Tables'!$C$16,"Low",IF(D242&lt;'3_Summary_Tables'!$C$17,"Medium","High"))</f>
        <v>Medium</v>
      </c>
      <c r="F242" s="12">
        <f>INDEX('2_Clean_Data'!$C$2:$C$1360,MATCH($A242,'2_Clean_Data'!$A$2:$A$1360,0))</f>
        <v>0.18</v>
      </c>
      <c r="G242" s="10">
        <f>INDEX('2_Clean_Data'!$H$2:$H$1360,MATCH($A242,'2_Clean_Data'!$A$2:$A$1360,0))</f>
        <v>23</v>
      </c>
      <c r="H242" s="9" t="str">
        <f t="shared" si="13"/>
        <v>Low</v>
      </c>
      <c r="I242" s="9" t="str">
        <f t="shared" si="14"/>
        <v>OK</v>
      </c>
      <c r="J242" s="9" t="str">
        <f t="shared" si="15"/>
        <v>Solid</v>
      </c>
    </row>
    <row r="243" spans="1:10" x14ac:dyDescent="0.3">
      <c r="A243" s="10">
        <f>'2_Clean_Data'!A240</f>
        <v>239</v>
      </c>
      <c r="B243" s="10">
        <f>INDEX('2_Clean_Data'!$M$2:$M$1360,MATCH($A243,'2_Clean_Data'!$A$2:$A$1360,0))</f>
        <v>6</v>
      </c>
      <c r="C243" s="9" t="str">
        <f t="shared" si="12"/>
        <v>Above Average</v>
      </c>
      <c r="D243" s="11">
        <f>INDEX('2_Clean_Data'!$L$2:$L$1360,MATCH($A243,'2_Clean_Data'!$A$2:$A$1360,0))</f>
        <v>10.7</v>
      </c>
      <c r="E243" s="9" t="str">
        <f>IF(D243&lt;'3_Summary_Tables'!$C$16,"Low",IF(D243&lt;'3_Summary_Tables'!$C$17,"Medium","High"))</f>
        <v>Medium</v>
      </c>
      <c r="F243" s="12">
        <f>INDEX('2_Clean_Data'!$C$2:$C$1360,MATCH($A243,'2_Clean_Data'!$A$2:$A$1360,0))</f>
        <v>0.54500000000000004</v>
      </c>
      <c r="G243" s="10">
        <f>INDEX('2_Clean_Data'!$H$2:$H$1360,MATCH($A243,'2_Clean_Data'!$A$2:$A$1360,0))</f>
        <v>61</v>
      </c>
      <c r="H243" s="9" t="str">
        <f t="shared" si="13"/>
        <v>Moderate</v>
      </c>
      <c r="I243" s="9" t="str">
        <f t="shared" si="14"/>
        <v>OK</v>
      </c>
      <c r="J243" s="9" t="str">
        <f t="shared" si="15"/>
        <v>Solid</v>
      </c>
    </row>
    <row r="244" spans="1:10" x14ac:dyDescent="0.3">
      <c r="A244" s="10">
        <f>'2_Clean_Data'!A241</f>
        <v>240</v>
      </c>
      <c r="B244" s="10">
        <f>INDEX('2_Clean_Data'!$M$2:$M$1360,MATCH($A244,'2_Clean_Data'!$A$2:$A$1360,0))</f>
        <v>5</v>
      </c>
      <c r="C244" s="9" t="str">
        <f t="shared" si="12"/>
        <v>Average</v>
      </c>
      <c r="D244" s="11">
        <f>INDEX('2_Clean_Data'!$L$2:$L$1360,MATCH($A244,'2_Clean_Data'!$A$2:$A$1360,0))</f>
        <v>10.1</v>
      </c>
      <c r="E244" s="9" t="str">
        <f>IF(D244&lt;'3_Summary_Tables'!$C$16,"Low",IF(D244&lt;'3_Summary_Tables'!$C$17,"Medium","High"))</f>
        <v>Medium</v>
      </c>
      <c r="F244" s="12">
        <f>INDEX('2_Clean_Data'!$C$2:$C$1360,MATCH($A244,'2_Clean_Data'!$A$2:$A$1360,0))</f>
        <v>0.37</v>
      </c>
      <c r="G244" s="10">
        <f>INDEX('2_Clean_Data'!$H$2:$H$1360,MATCH($A244,'2_Clean_Data'!$A$2:$A$1360,0))</f>
        <v>65</v>
      </c>
      <c r="H244" s="9" t="str">
        <f t="shared" si="13"/>
        <v>Moderate</v>
      </c>
      <c r="I244" s="9" t="str">
        <f t="shared" si="14"/>
        <v>OK</v>
      </c>
      <c r="J244" s="9" t="str">
        <f t="shared" si="15"/>
        <v>Standard</v>
      </c>
    </row>
    <row r="245" spans="1:10" x14ac:dyDescent="0.3">
      <c r="A245" s="10">
        <f>'2_Clean_Data'!A242</f>
        <v>241</v>
      </c>
      <c r="B245" s="10">
        <f>INDEX('2_Clean_Data'!$M$2:$M$1360,MATCH($A245,'2_Clean_Data'!$A$2:$A$1360,0))</f>
        <v>5</v>
      </c>
      <c r="C245" s="9" t="str">
        <f t="shared" si="12"/>
        <v>Average</v>
      </c>
      <c r="D245" s="11">
        <f>INDEX('2_Clean_Data'!$L$2:$L$1360,MATCH($A245,'2_Clean_Data'!$A$2:$A$1360,0))</f>
        <v>9.4</v>
      </c>
      <c r="E245" s="9" t="str">
        <f>IF(D245&lt;'3_Summary_Tables'!$C$16,"Low",IF(D245&lt;'3_Summary_Tables'!$C$17,"Medium","High"))</f>
        <v>Low</v>
      </c>
      <c r="F245" s="12">
        <f>INDEX('2_Clean_Data'!$C$2:$C$1360,MATCH($A245,'2_Clean_Data'!$A$2:$A$1360,0))</f>
        <v>0.71499999999999997</v>
      </c>
      <c r="G245" s="10">
        <f>INDEX('2_Clean_Data'!$H$2:$H$1360,MATCH($A245,'2_Clean_Data'!$A$2:$A$1360,0))</f>
        <v>38</v>
      </c>
      <c r="H245" s="9" t="str">
        <f t="shared" si="13"/>
        <v>Low</v>
      </c>
      <c r="I245" s="9" t="str">
        <f t="shared" si="14"/>
        <v>Above limit</v>
      </c>
      <c r="J245" s="9" t="str">
        <f t="shared" si="15"/>
        <v>Standard</v>
      </c>
    </row>
    <row r="246" spans="1:10" x14ac:dyDescent="0.3">
      <c r="A246" s="10">
        <f>'2_Clean_Data'!A243</f>
        <v>242</v>
      </c>
      <c r="B246" s="10">
        <f>INDEX('2_Clean_Data'!$M$2:$M$1360,MATCH($A246,'2_Clean_Data'!$A$2:$A$1360,0))</f>
        <v>5</v>
      </c>
      <c r="C246" s="9" t="str">
        <f t="shared" si="12"/>
        <v>Average</v>
      </c>
      <c r="D246" s="11">
        <f>INDEX('2_Clean_Data'!$L$2:$L$1360,MATCH($A246,'2_Clean_Data'!$A$2:$A$1360,0))</f>
        <v>9.4</v>
      </c>
      <c r="E246" s="9" t="str">
        <f>IF(D246&lt;'3_Summary_Tables'!$C$16,"Low",IF(D246&lt;'3_Summary_Tables'!$C$17,"Medium","High"))</f>
        <v>Low</v>
      </c>
      <c r="F246" s="12">
        <f>INDEX('2_Clean_Data'!$C$2:$C$1360,MATCH($A246,'2_Clean_Data'!$A$2:$A$1360,0))</f>
        <v>0.65</v>
      </c>
      <c r="G246" s="10">
        <f>INDEX('2_Clean_Data'!$H$2:$H$1360,MATCH($A246,'2_Clean_Data'!$A$2:$A$1360,0))</f>
        <v>94</v>
      </c>
      <c r="H246" s="9" t="str">
        <f t="shared" si="13"/>
        <v>Moderate</v>
      </c>
      <c r="I246" s="9" t="str">
        <f t="shared" si="14"/>
        <v>OK</v>
      </c>
      <c r="J246" s="9" t="str">
        <f t="shared" si="15"/>
        <v>Standard</v>
      </c>
    </row>
    <row r="247" spans="1:10" x14ac:dyDescent="0.3">
      <c r="A247" s="10">
        <f>'2_Clean_Data'!A244</f>
        <v>243</v>
      </c>
      <c r="B247" s="10">
        <f>INDEX('2_Clean_Data'!$M$2:$M$1360,MATCH($A247,'2_Clean_Data'!$A$2:$A$1360,0))</f>
        <v>8</v>
      </c>
      <c r="C247" s="9" t="str">
        <f t="shared" si="12"/>
        <v>Excellent</v>
      </c>
      <c r="D247" s="11">
        <f>INDEX('2_Clean_Data'!$L$2:$L$1360,MATCH($A247,'2_Clean_Data'!$A$2:$A$1360,0))</f>
        <v>12.6</v>
      </c>
      <c r="E247" s="9" t="str">
        <f>IF(D247&lt;'3_Summary_Tables'!$C$16,"Low",IF(D247&lt;'3_Summary_Tables'!$C$17,"Medium","High"))</f>
        <v>High</v>
      </c>
      <c r="F247" s="12">
        <f>INDEX('2_Clean_Data'!$C$2:$C$1360,MATCH($A247,'2_Clean_Data'!$A$2:$A$1360,0))</f>
        <v>0.32</v>
      </c>
      <c r="G247" s="10">
        <f>INDEX('2_Clean_Data'!$H$2:$H$1360,MATCH($A247,'2_Clean_Data'!$A$2:$A$1360,0))</f>
        <v>13</v>
      </c>
      <c r="H247" s="9" t="str">
        <f t="shared" si="13"/>
        <v>Low</v>
      </c>
      <c r="I247" s="9" t="str">
        <f t="shared" si="14"/>
        <v>OK</v>
      </c>
      <c r="J247" s="9" t="str">
        <f t="shared" si="15"/>
        <v>Premium</v>
      </c>
    </row>
    <row r="248" spans="1:10" x14ac:dyDescent="0.3">
      <c r="A248" s="10">
        <f>'2_Clean_Data'!A245</f>
        <v>244</v>
      </c>
      <c r="B248" s="10">
        <f>INDEX('2_Clean_Data'!$M$2:$M$1360,MATCH($A248,'2_Clean_Data'!$A$2:$A$1360,0))</f>
        <v>7</v>
      </c>
      <c r="C248" s="9" t="str">
        <f t="shared" si="12"/>
        <v>Good</v>
      </c>
      <c r="D248" s="11">
        <f>INDEX('2_Clean_Data'!$L$2:$L$1360,MATCH($A248,'2_Clean_Data'!$A$2:$A$1360,0))</f>
        <v>10.5</v>
      </c>
      <c r="E248" s="9" t="str">
        <f>IF(D248&lt;'3_Summary_Tables'!$C$16,"Low",IF(D248&lt;'3_Summary_Tables'!$C$17,"Medium","High"))</f>
        <v>Medium</v>
      </c>
      <c r="F248" s="12">
        <f>INDEX('2_Clean_Data'!$C$2:$C$1360,MATCH($A248,'2_Clean_Data'!$A$2:$A$1360,0))</f>
        <v>0.4</v>
      </c>
      <c r="G248" s="10">
        <f>INDEX('2_Clean_Data'!$H$2:$H$1360,MATCH($A248,'2_Clean_Data'!$A$2:$A$1360,0))</f>
        <v>47</v>
      </c>
      <c r="H248" s="9" t="str">
        <f t="shared" si="13"/>
        <v>Low</v>
      </c>
      <c r="I248" s="9" t="str">
        <f t="shared" si="14"/>
        <v>OK</v>
      </c>
      <c r="J248" s="9" t="str">
        <f t="shared" si="15"/>
        <v>Solid</v>
      </c>
    </row>
    <row r="249" spans="1:10" x14ac:dyDescent="0.3">
      <c r="A249" s="10">
        <f>'2_Clean_Data'!A246</f>
        <v>245</v>
      </c>
      <c r="B249" s="10">
        <f>INDEX('2_Clean_Data'!$M$2:$M$1360,MATCH($A249,'2_Clean_Data'!$A$2:$A$1360,0))</f>
        <v>6</v>
      </c>
      <c r="C249" s="9" t="str">
        <f t="shared" si="12"/>
        <v>Above Average</v>
      </c>
      <c r="D249" s="11">
        <f>INDEX('2_Clean_Data'!$L$2:$L$1360,MATCH($A249,'2_Clean_Data'!$A$2:$A$1360,0))</f>
        <v>9.3000000000000007</v>
      </c>
      <c r="E249" s="9" t="str">
        <f>IF(D249&lt;'3_Summary_Tables'!$C$16,"Low",IF(D249&lt;'3_Summary_Tables'!$C$17,"Medium","High"))</f>
        <v>Low</v>
      </c>
      <c r="F249" s="12">
        <f>INDEX('2_Clean_Data'!$C$2:$C$1360,MATCH($A249,'2_Clean_Data'!$A$2:$A$1360,0))</f>
        <v>0.26</v>
      </c>
      <c r="G249" s="10">
        <f>INDEX('2_Clean_Data'!$H$2:$H$1360,MATCH($A249,'2_Clean_Data'!$A$2:$A$1360,0))</f>
        <v>19</v>
      </c>
      <c r="H249" s="9" t="str">
        <f t="shared" si="13"/>
        <v>Low</v>
      </c>
      <c r="I249" s="9" t="str">
        <f t="shared" si="14"/>
        <v>OK</v>
      </c>
      <c r="J249" s="9" t="str">
        <f t="shared" si="15"/>
        <v>Solid</v>
      </c>
    </row>
    <row r="250" spans="1:10" x14ac:dyDescent="0.3">
      <c r="A250" s="10">
        <f>'2_Clean_Data'!A247</f>
        <v>246</v>
      </c>
      <c r="B250" s="10">
        <f>INDEX('2_Clean_Data'!$M$2:$M$1360,MATCH($A250,'2_Clean_Data'!$A$2:$A$1360,0))</f>
        <v>7</v>
      </c>
      <c r="C250" s="9" t="str">
        <f t="shared" si="12"/>
        <v>Good</v>
      </c>
      <c r="D250" s="11">
        <f>INDEX('2_Clean_Data'!$L$2:$L$1360,MATCH($A250,'2_Clean_Data'!$A$2:$A$1360,0))</f>
        <v>9.9</v>
      </c>
      <c r="E250" s="9" t="str">
        <f>IF(D250&lt;'3_Summary_Tables'!$C$16,"Low",IF(D250&lt;'3_Summary_Tables'!$C$17,"Medium","High"))</f>
        <v>Low</v>
      </c>
      <c r="F250" s="12">
        <f>INDEX('2_Clean_Data'!$C$2:$C$1360,MATCH($A250,'2_Clean_Data'!$A$2:$A$1360,0))</f>
        <v>0.27</v>
      </c>
      <c r="G250" s="10">
        <f>INDEX('2_Clean_Data'!$H$2:$H$1360,MATCH($A250,'2_Clean_Data'!$A$2:$A$1360,0))</f>
        <v>10</v>
      </c>
      <c r="H250" s="9" t="str">
        <f t="shared" si="13"/>
        <v>Low</v>
      </c>
      <c r="I250" s="9" t="str">
        <f t="shared" si="14"/>
        <v>OK</v>
      </c>
      <c r="J250" s="9" t="str">
        <f t="shared" si="15"/>
        <v>Solid</v>
      </c>
    </row>
    <row r="251" spans="1:10" x14ac:dyDescent="0.3">
      <c r="A251" s="10">
        <f>'2_Clean_Data'!A248</f>
        <v>247</v>
      </c>
      <c r="B251" s="10">
        <f>INDEX('2_Clean_Data'!$M$2:$M$1360,MATCH($A251,'2_Clean_Data'!$A$2:$A$1360,0))</f>
        <v>5</v>
      </c>
      <c r="C251" s="9" t="str">
        <f t="shared" si="12"/>
        <v>Average</v>
      </c>
      <c r="D251" s="11">
        <f>INDEX('2_Clean_Data'!$L$2:$L$1360,MATCH($A251,'2_Clean_Data'!$A$2:$A$1360,0))</f>
        <v>9.1</v>
      </c>
      <c r="E251" s="9" t="str">
        <f>IF(D251&lt;'3_Summary_Tables'!$C$16,"Low",IF(D251&lt;'3_Summary_Tables'!$C$17,"Medium","High"))</f>
        <v>Low</v>
      </c>
      <c r="F251" s="12">
        <f>INDEX('2_Clean_Data'!$C$2:$C$1360,MATCH($A251,'2_Clean_Data'!$A$2:$A$1360,0))</f>
        <v>0.52</v>
      </c>
      <c r="G251" s="10">
        <f>INDEX('2_Clean_Data'!$H$2:$H$1360,MATCH($A251,'2_Clean_Data'!$A$2:$A$1360,0))</f>
        <v>53</v>
      </c>
      <c r="H251" s="9" t="str">
        <f t="shared" si="13"/>
        <v>Moderate</v>
      </c>
      <c r="I251" s="9" t="str">
        <f t="shared" si="14"/>
        <v>OK</v>
      </c>
      <c r="J251" s="9" t="str">
        <f t="shared" si="15"/>
        <v>Standard</v>
      </c>
    </row>
    <row r="252" spans="1:10" x14ac:dyDescent="0.3">
      <c r="A252" s="10">
        <f>'2_Clean_Data'!A249</f>
        <v>248</v>
      </c>
      <c r="B252" s="10">
        <f>INDEX('2_Clean_Data'!$M$2:$M$1360,MATCH($A252,'2_Clean_Data'!$A$2:$A$1360,0))</f>
        <v>5</v>
      </c>
      <c r="C252" s="9" t="str">
        <f t="shared" si="12"/>
        <v>Average</v>
      </c>
      <c r="D252" s="11">
        <f>INDEX('2_Clean_Data'!$L$2:$L$1360,MATCH($A252,'2_Clean_Data'!$A$2:$A$1360,0))</f>
        <v>9.8000000000000007</v>
      </c>
      <c r="E252" s="9" t="str">
        <f>IF(D252&lt;'3_Summary_Tables'!$C$16,"Low",IF(D252&lt;'3_Summary_Tables'!$C$17,"Medium","High"))</f>
        <v>Low</v>
      </c>
      <c r="F252" s="12">
        <f>INDEX('2_Clean_Data'!$C$2:$C$1360,MATCH($A252,'2_Clean_Data'!$A$2:$A$1360,0))</f>
        <v>0.59</v>
      </c>
      <c r="G252" s="10">
        <f>INDEX('2_Clean_Data'!$H$2:$H$1360,MATCH($A252,'2_Clean_Data'!$A$2:$A$1360,0))</f>
        <v>71</v>
      </c>
      <c r="H252" s="9" t="str">
        <f t="shared" si="13"/>
        <v>Moderate</v>
      </c>
      <c r="I252" s="9" t="str">
        <f t="shared" si="14"/>
        <v>OK</v>
      </c>
      <c r="J252" s="9" t="str">
        <f t="shared" si="15"/>
        <v>Standard</v>
      </c>
    </row>
    <row r="253" spans="1:10" x14ac:dyDescent="0.3">
      <c r="A253" s="10">
        <f>'2_Clean_Data'!A250</f>
        <v>249</v>
      </c>
      <c r="B253" s="10">
        <f>INDEX('2_Clean_Data'!$M$2:$M$1360,MATCH($A253,'2_Clean_Data'!$A$2:$A$1360,0))</f>
        <v>6</v>
      </c>
      <c r="C253" s="9" t="str">
        <f t="shared" si="12"/>
        <v>Above Average</v>
      </c>
      <c r="D253" s="11">
        <f>INDEX('2_Clean_Data'!$L$2:$L$1360,MATCH($A253,'2_Clean_Data'!$A$2:$A$1360,0))</f>
        <v>10.3</v>
      </c>
      <c r="E253" s="9" t="str">
        <f>IF(D253&lt;'3_Summary_Tables'!$C$16,"Low",IF(D253&lt;'3_Summary_Tables'!$C$17,"Medium","High"))</f>
        <v>Medium</v>
      </c>
      <c r="F253" s="12">
        <f>INDEX('2_Clean_Data'!$C$2:$C$1360,MATCH($A253,'2_Clean_Data'!$A$2:$A$1360,0))</f>
        <v>0.45</v>
      </c>
      <c r="G253" s="10">
        <f>INDEX('2_Clean_Data'!$H$2:$H$1360,MATCH($A253,'2_Clean_Data'!$A$2:$A$1360,0))</f>
        <v>49</v>
      </c>
      <c r="H253" s="9" t="str">
        <f t="shared" si="13"/>
        <v>Low</v>
      </c>
      <c r="I253" s="9" t="str">
        <f t="shared" si="14"/>
        <v>OK</v>
      </c>
      <c r="J253" s="9" t="str">
        <f t="shared" si="15"/>
        <v>Solid</v>
      </c>
    </row>
    <row r="254" spans="1:10" x14ac:dyDescent="0.3">
      <c r="A254" s="10">
        <f>'2_Clean_Data'!A251</f>
        <v>250</v>
      </c>
      <c r="B254" s="10">
        <f>INDEX('2_Clean_Data'!$M$2:$M$1360,MATCH($A254,'2_Clean_Data'!$A$2:$A$1360,0))</f>
        <v>6</v>
      </c>
      <c r="C254" s="9" t="str">
        <f t="shared" si="12"/>
        <v>Above Average</v>
      </c>
      <c r="D254" s="11">
        <f>INDEX('2_Clean_Data'!$L$2:$L$1360,MATCH($A254,'2_Clean_Data'!$A$2:$A$1360,0))</f>
        <v>10.3</v>
      </c>
      <c r="E254" s="9" t="str">
        <f>IF(D254&lt;'3_Summary_Tables'!$C$16,"Low",IF(D254&lt;'3_Summary_Tables'!$C$17,"Medium","High"))</f>
        <v>Medium</v>
      </c>
      <c r="F254" s="12">
        <f>INDEX('2_Clean_Data'!$C$2:$C$1360,MATCH($A254,'2_Clean_Data'!$A$2:$A$1360,0))</f>
        <v>0.4</v>
      </c>
      <c r="G254" s="10">
        <f>INDEX('2_Clean_Data'!$H$2:$H$1360,MATCH($A254,'2_Clean_Data'!$A$2:$A$1360,0))</f>
        <v>53</v>
      </c>
      <c r="H254" s="9" t="str">
        <f t="shared" si="13"/>
        <v>Moderate</v>
      </c>
      <c r="I254" s="9" t="str">
        <f t="shared" si="14"/>
        <v>OK</v>
      </c>
      <c r="J254" s="9" t="str">
        <f t="shared" si="15"/>
        <v>Solid</v>
      </c>
    </row>
    <row r="255" spans="1:10" x14ac:dyDescent="0.3">
      <c r="A255" s="10">
        <f>'2_Clean_Data'!A252</f>
        <v>251</v>
      </c>
      <c r="B255" s="10">
        <f>INDEX('2_Clean_Data'!$M$2:$M$1360,MATCH($A255,'2_Clean_Data'!$A$2:$A$1360,0))</f>
        <v>7</v>
      </c>
      <c r="C255" s="9" t="str">
        <f t="shared" si="12"/>
        <v>Good</v>
      </c>
      <c r="D255" s="11">
        <f>INDEX('2_Clean_Data'!$L$2:$L$1360,MATCH($A255,'2_Clean_Data'!$A$2:$A$1360,0))</f>
        <v>10.6</v>
      </c>
      <c r="E255" s="9" t="str">
        <f>IF(D255&lt;'3_Summary_Tables'!$C$16,"Low",IF(D255&lt;'3_Summary_Tables'!$C$17,"Medium","High"))</f>
        <v>Medium</v>
      </c>
      <c r="F255" s="12">
        <f>INDEX('2_Clean_Data'!$C$2:$C$1360,MATCH($A255,'2_Clean_Data'!$A$2:$A$1360,0))</f>
        <v>0.52</v>
      </c>
      <c r="G255" s="10">
        <f>INDEX('2_Clean_Data'!$H$2:$H$1360,MATCH($A255,'2_Clean_Data'!$A$2:$A$1360,0))</f>
        <v>49</v>
      </c>
      <c r="H255" s="9" t="str">
        <f t="shared" si="13"/>
        <v>Low</v>
      </c>
      <c r="I255" s="9" t="str">
        <f t="shared" si="14"/>
        <v>OK</v>
      </c>
      <c r="J255" s="9" t="str">
        <f t="shared" si="15"/>
        <v>Solid</v>
      </c>
    </row>
    <row r="256" spans="1:10" x14ac:dyDescent="0.3">
      <c r="A256" s="10">
        <f>'2_Clean_Data'!A253</f>
        <v>252</v>
      </c>
      <c r="B256" s="10">
        <f>INDEX('2_Clean_Data'!$M$2:$M$1360,MATCH($A256,'2_Clean_Data'!$A$2:$A$1360,0))</f>
        <v>5</v>
      </c>
      <c r="C256" s="9" t="str">
        <f t="shared" si="12"/>
        <v>Average</v>
      </c>
      <c r="D256" s="11">
        <f>INDEX('2_Clean_Data'!$L$2:$L$1360,MATCH($A256,'2_Clean_Data'!$A$2:$A$1360,0))</f>
        <v>9.1999999999999993</v>
      </c>
      <c r="E256" s="9" t="str">
        <f>IF(D256&lt;'3_Summary_Tables'!$C$16,"Low",IF(D256&lt;'3_Summary_Tables'!$C$17,"Medium","High"))</f>
        <v>Low</v>
      </c>
      <c r="F256" s="12">
        <f>INDEX('2_Clean_Data'!$C$2:$C$1360,MATCH($A256,'2_Clean_Data'!$A$2:$A$1360,0))</f>
        <v>0.42</v>
      </c>
      <c r="G256" s="10">
        <f>INDEX('2_Clean_Data'!$H$2:$H$1360,MATCH($A256,'2_Clean_Data'!$A$2:$A$1360,0))</f>
        <v>98</v>
      </c>
      <c r="H256" s="9" t="str">
        <f t="shared" si="13"/>
        <v>Moderate</v>
      </c>
      <c r="I256" s="9" t="str">
        <f t="shared" si="14"/>
        <v>OK</v>
      </c>
      <c r="J256" s="9" t="str">
        <f t="shared" si="15"/>
        <v>Standard</v>
      </c>
    </row>
    <row r="257" spans="1:10" x14ac:dyDescent="0.3">
      <c r="A257" s="10">
        <f>'2_Clean_Data'!A254</f>
        <v>253</v>
      </c>
      <c r="B257" s="10">
        <f>INDEX('2_Clean_Data'!$M$2:$M$1360,MATCH($A257,'2_Clean_Data'!$A$2:$A$1360,0))</f>
        <v>5</v>
      </c>
      <c r="C257" s="9" t="str">
        <f t="shared" si="12"/>
        <v>Average</v>
      </c>
      <c r="D257" s="11">
        <f>INDEX('2_Clean_Data'!$L$2:$L$1360,MATCH($A257,'2_Clean_Data'!$A$2:$A$1360,0))</f>
        <v>10.5</v>
      </c>
      <c r="E257" s="9" t="str">
        <f>IF(D257&lt;'3_Summary_Tables'!$C$16,"Low",IF(D257&lt;'3_Summary_Tables'!$C$17,"Medium","High"))</f>
        <v>Medium</v>
      </c>
      <c r="F257" s="12">
        <f>INDEX('2_Clean_Data'!$C$2:$C$1360,MATCH($A257,'2_Clean_Data'!$A$2:$A$1360,0))</f>
        <v>0.2</v>
      </c>
      <c r="G257" s="10">
        <f>INDEX('2_Clean_Data'!$H$2:$H$1360,MATCH($A257,'2_Clean_Data'!$A$2:$A$1360,0))</f>
        <v>18</v>
      </c>
      <c r="H257" s="9" t="str">
        <f t="shared" si="13"/>
        <v>Low</v>
      </c>
      <c r="I257" s="9" t="str">
        <f t="shared" si="14"/>
        <v>OK</v>
      </c>
      <c r="J257" s="9" t="str">
        <f t="shared" si="15"/>
        <v>Standard</v>
      </c>
    </row>
    <row r="258" spans="1:10" x14ac:dyDescent="0.3">
      <c r="A258" s="10">
        <f>'2_Clean_Data'!A255</f>
        <v>254</v>
      </c>
      <c r="B258" s="10">
        <f>INDEX('2_Clean_Data'!$M$2:$M$1360,MATCH($A258,'2_Clean_Data'!$A$2:$A$1360,0))</f>
        <v>6</v>
      </c>
      <c r="C258" s="9" t="str">
        <f t="shared" si="12"/>
        <v>Above Average</v>
      </c>
      <c r="D258" s="11">
        <f>INDEX('2_Clean_Data'!$L$2:$L$1360,MATCH($A258,'2_Clean_Data'!$A$2:$A$1360,0))</f>
        <v>10.3</v>
      </c>
      <c r="E258" s="9" t="str">
        <f>IF(D258&lt;'3_Summary_Tables'!$C$16,"Low",IF(D258&lt;'3_Summary_Tables'!$C$17,"Medium","High"))</f>
        <v>Medium</v>
      </c>
      <c r="F258" s="12">
        <f>INDEX('2_Clean_Data'!$C$2:$C$1360,MATCH($A258,'2_Clean_Data'!$A$2:$A$1360,0))</f>
        <v>0.55000000000000004</v>
      </c>
      <c r="G258" s="10">
        <f>INDEX('2_Clean_Data'!$H$2:$H$1360,MATCH($A258,'2_Clean_Data'!$A$2:$A$1360,0))</f>
        <v>48</v>
      </c>
      <c r="H258" s="9" t="str">
        <f t="shared" si="13"/>
        <v>Low</v>
      </c>
      <c r="I258" s="9" t="str">
        <f t="shared" si="14"/>
        <v>OK</v>
      </c>
      <c r="J258" s="9" t="str">
        <f t="shared" si="15"/>
        <v>Solid</v>
      </c>
    </row>
    <row r="259" spans="1:10" x14ac:dyDescent="0.3">
      <c r="A259" s="10">
        <f>'2_Clean_Data'!A256</f>
        <v>255</v>
      </c>
      <c r="B259" s="10">
        <f>INDEX('2_Clean_Data'!$M$2:$M$1360,MATCH($A259,'2_Clean_Data'!$A$2:$A$1360,0))</f>
        <v>6</v>
      </c>
      <c r="C259" s="9" t="str">
        <f t="shared" si="12"/>
        <v>Above Average</v>
      </c>
      <c r="D259" s="11">
        <f>INDEX('2_Clean_Data'!$L$2:$L$1360,MATCH($A259,'2_Clean_Data'!$A$2:$A$1360,0))</f>
        <v>10.1</v>
      </c>
      <c r="E259" s="9" t="str">
        <f>IF(D259&lt;'3_Summary_Tables'!$C$16,"Low",IF(D259&lt;'3_Summary_Tables'!$C$17,"Medium","High"))</f>
        <v>Medium</v>
      </c>
      <c r="F259" s="12">
        <f>INDEX('2_Clean_Data'!$C$2:$C$1360,MATCH($A259,'2_Clean_Data'!$A$2:$A$1360,0))</f>
        <v>0.36</v>
      </c>
      <c r="G259" s="10">
        <f>INDEX('2_Clean_Data'!$H$2:$H$1360,MATCH($A259,'2_Clean_Data'!$A$2:$A$1360,0))</f>
        <v>16</v>
      </c>
      <c r="H259" s="9" t="str">
        <f t="shared" si="13"/>
        <v>Low</v>
      </c>
      <c r="I259" s="9" t="str">
        <f t="shared" si="14"/>
        <v>OK</v>
      </c>
      <c r="J259" s="9" t="str">
        <f t="shared" si="15"/>
        <v>Solid</v>
      </c>
    </row>
    <row r="260" spans="1:10" x14ac:dyDescent="0.3">
      <c r="A260" s="10">
        <f>'2_Clean_Data'!A257</f>
        <v>256</v>
      </c>
      <c r="B260" s="10">
        <f>INDEX('2_Clean_Data'!$M$2:$M$1360,MATCH($A260,'2_Clean_Data'!$A$2:$A$1360,0))</f>
        <v>6</v>
      </c>
      <c r="C260" s="9" t="str">
        <f t="shared" si="12"/>
        <v>Above Average</v>
      </c>
      <c r="D260" s="11">
        <f>INDEX('2_Clean_Data'!$L$2:$L$1360,MATCH($A260,'2_Clean_Data'!$A$2:$A$1360,0))</f>
        <v>9.5</v>
      </c>
      <c r="E260" s="9" t="str">
        <f>IF(D260&lt;'3_Summary_Tables'!$C$16,"Low",IF(D260&lt;'3_Summary_Tables'!$C$17,"Medium","High"))</f>
        <v>Low</v>
      </c>
      <c r="F260" s="12">
        <f>INDEX('2_Clean_Data'!$C$2:$C$1360,MATCH($A260,'2_Clean_Data'!$A$2:$A$1360,0))</f>
        <v>0.34</v>
      </c>
      <c r="G260" s="10">
        <f>INDEX('2_Clean_Data'!$H$2:$H$1360,MATCH($A260,'2_Clean_Data'!$A$2:$A$1360,0))</f>
        <v>53</v>
      </c>
      <c r="H260" s="9" t="str">
        <f t="shared" si="13"/>
        <v>Moderate</v>
      </c>
      <c r="I260" s="9" t="str">
        <f t="shared" si="14"/>
        <v>OK</v>
      </c>
      <c r="J260" s="9" t="str">
        <f t="shared" si="15"/>
        <v>Solid</v>
      </c>
    </row>
    <row r="261" spans="1:10" x14ac:dyDescent="0.3">
      <c r="A261" s="10">
        <f>'2_Clean_Data'!A258</f>
        <v>257</v>
      </c>
      <c r="B261" s="10">
        <f>INDEX('2_Clean_Data'!$M$2:$M$1360,MATCH($A261,'2_Clean_Data'!$A$2:$A$1360,0))</f>
        <v>5</v>
      </c>
      <c r="C261" s="9" t="str">
        <f t="shared" ref="C261:C324" si="16">VLOOKUP(B261,$L$12:$N$17,2,FALSE())</f>
        <v>Average</v>
      </c>
      <c r="D261" s="11">
        <f>INDEX('2_Clean_Data'!$L$2:$L$1360,MATCH($A261,'2_Clean_Data'!$A$2:$A$1360,0))</f>
        <v>9.5</v>
      </c>
      <c r="E261" s="9" t="str">
        <f>IF(D261&lt;'3_Summary_Tables'!$C$16,"Low",IF(D261&lt;'3_Summary_Tables'!$C$17,"Medium","High"))</f>
        <v>Low</v>
      </c>
      <c r="F261" s="12">
        <f>INDEX('2_Clean_Data'!$C$2:$C$1360,MATCH($A261,'2_Clean_Data'!$A$2:$A$1360,0))</f>
        <v>0.5</v>
      </c>
      <c r="G261" s="10">
        <f>INDEX('2_Clean_Data'!$H$2:$H$1360,MATCH($A261,'2_Clean_Data'!$A$2:$A$1360,0))</f>
        <v>27</v>
      </c>
      <c r="H261" s="9" t="str">
        <f t="shared" ref="H261:H324" si="17">IF(G261&gt;$M$8,"High",IF(G261&gt;$M$7,"Moderate","Low"))</f>
        <v>Low</v>
      </c>
      <c r="I261" s="9" t="str">
        <f t="shared" ref="I261:I324" si="18">IF(F261&gt;$M$6,"Above limit","OK")</f>
        <v>OK</v>
      </c>
      <c r="J261" s="9" t="str">
        <f t="shared" ref="J261:J324" si="19">IF(AND(B261&gt;=7,E261="High"),"Premium",IF(AND(B261&gt;=6,I261="OK"),"Solid",IF(B261&lt;=4,"Poor","Standard")))</f>
        <v>Standard</v>
      </c>
    </row>
    <row r="262" spans="1:10" x14ac:dyDescent="0.3">
      <c r="A262" s="10">
        <f>'2_Clean_Data'!A259</f>
        <v>258</v>
      </c>
      <c r="B262" s="10">
        <f>INDEX('2_Clean_Data'!$M$2:$M$1360,MATCH($A262,'2_Clean_Data'!$A$2:$A$1360,0))</f>
        <v>5</v>
      </c>
      <c r="C262" s="9" t="str">
        <f t="shared" si="16"/>
        <v>Average</v>
      </c>
      <c r="D262" s="11">
        <f>INDEX('2_Clean_Data'!$L$2:$L$1360,MATCH($A262,'2_Clean_Data'!$A$2:$A$1360,0))</f>
        <v>9.9</v>
      </c>
      <c r="E262" s="9" t="str">
        <f>IF(D262&lt;'3_Summary_Tables'!$C$16,"Low",IF(D262&lt;'3_Summary_Tables'!$C$17,"Medium","High"))</f>
        <v>Low</v>
      </c>
      <c r="F262" s="12">
        <f>INDEX('2_Clean_Data'!$C$2:$C$1360,MATCH($A262,'2_Clean_Data'!$A$2:$A$1360,0))</f>
        <v>0.83</v>
      </c>
      <c r="G262" s="10">
        <f>INDEX('2_Clean_Data'!$H$2:$H$1360,MATCH($A262,'2_Clean_Data'!$A$2:$A$1360,0))</f>
        <v>70</v>
      </c>
      <c r="H262" s="9" t="str">
        <f t="shared" si="17"/>
        <v>Moderate</v>
      </c>
      <c r="I262" s="9" t="str">
        <f t="shared" si="18"/>
        <v>Above limit</v>
      </c>
      <c r="J262" s="9" t="str">
        <f t="shared" si="19"/>
        <v>Standard</v>
      </c>
    </row>
    <row r="263" spans="1:10" x14ac:dyDescent="0.3">
      <c r="A263" s="10">
        <f>'2_Clean_Data'!A260</f>
        <v>259</v>
      </c>
      <c r="B263" s="10">
        <f>INDEX('2_Clean_Data'!$M$2:$M$1360,MATCH($A263,'2_Clean_Data'!$A$2:$A$1360,0))</f>
        <v>5</v>
      </c>
      <c r="C263" s="9" t="str">
        <f t="shared" si="16"/>
        <v>Average</v>
      </c>
      <c r="D263" s="11">
        <f>INDEX('2_Clean_Data'!$L$2:$L$1360,MATCH($A263,'2_Clean_Data'!$A$2:$A$1360,0))</f>
        <v>9.6</v>
      </c>
      <c r="E263" s="9" t="str">
        <f>IF(D263&lt;'3_Summary_Tables'!$C$16,"Low",IF(D263&lt;'3_Summary_Tables'!$C$17,"Medium","High"))</f>
        <v>Low</v>
      </c>
      <c r="F263" s="12">
        <f>INDEX('2_Clean_Data'!$C$2:$C$1360,MATCH($A263,'2_Clean_Data'!$A$2:$A$1360,0))</f>
        <v>0.63</v>
      </c>
      <c r="G263" s="10">
        <f>INDEX('2_Clean_Data'!$H$2:$H$1360,MATCH($A263,'2_Clean_Data'!$A$2:$A$1360,0))</f>
        <v>29</v>
      </c>
      <c r="H263" s="9" t="str">
        <f t="shared" si="17"/>
        <v>Low</v>
      </c>
      <c r="I263" s="9" t="str">
        <f t="shared" si="18"/>
        <v>OK</v>
      </c>
      <c r="J263" s="9" t="str">
        <f t="shared" si="19"/>
        <v>Standard</v>
      </c>
    </row>
    <row r="264" spans="1:10" x14ac:dyDescent="0.3">
      <c r="A264" s="10">
        <f>'2_Clean_Data'!A261</f>
        <v>260</v>
      </c>
      <c r="B264" s="10">
        <f>INDEX('2_Clean_Data'!$M$2:$M$1360,MATCH($A264,'2_Clean_Data'!$A$2:$A$1360,0))</f>
        <v>5</v>
      </c>
      <c r="C264" s="9" t="str">
        <f t="shared" si="16"/>
        <v>Average</v>
      </c>
      <c r="D264" s="11">
        <f>INDEX('2_Clean_Data'!$L$2:$L$1360,MATCH($A264,'2_Clean_Data'!$A$2:$A$1360,0))</f>
        <v>9.6999999999999993</v>
      </c>
      <c r="E264" s="9" t="str">
        <f>IF(D264&lt;'3_Summary_Tables'!$C$16,"Low",IF(D264&lt;'3_Summary_Tables'!$C$17,"Medium","High"))</f>
        <v>Low</v>
      </c>
      <c r="F264" s="12">
        <f>INDEX('2_Clean_Data'!$C$2:$C$1360,MATCH($A264,'2_Clean_Data'!$A$2:$A$1360,0))</f>
        <v>0.65</v>
      </c>
      <c r="G264" s="10">
        <f>INDEX('2_Clean_Data'!$H$2:$H$1360,MATCH($A264,'2_Clean_Data'!$A$2:$A$1360,0))</f>
        <v>31</v>
      </c>
      <c r="H264" s="9" t="str">
        <f t="shared" si="17"/>
        <v>Low</v>
      </c>
      <c r="I264" s="9" t="str">
        <f t="shared" si="18"/>
        <v>OK</v>
      </c>
      <c r="J264" s="9" t="str">
        <f t="shared" si="19"/>
        <v>Standard</v>
      </c>
    </row>
    <row r="265" spans="1:10" x14ac:dyDescent="0.3">
      <c r="A265" s="10">
        <f>'2_Clean_Data'!A262</f>
        <v>261</v>
      </c>
      <c r="B265" s="10">
        <f>INDEX('2_Clean_Data'!$M$2:$M$1360,MATCH($A265,'2_Clean_Data'!$A$2:$A$1360,0))</f>
        <v>5</v>
      </c>
      <c r="C265" s="9" t="str">
        <f t="shared" si="16"/>
        <v>Average</v>
      </c>
      <c r="D265" s="11">
        <f>INDEX('2_Clean_Data'!$L$2:$L$1360,MATCH($A265,'2_Clean_Data'!$A$2:$A$1360,0))</f>
        <v>9.6</v>
      </c>
      <c r="E265" s="9" t="str">
        <f>IF(D265&lt;'3_Summary_Tables'!$C$16,"Low",IF(D265&lt;'3_Summary_Tables'!$C$17,"Medium","High"))</f>
        <v>Low</v>
      </c>
      <c r="F265" s="12">
        <f>INDEX('2_Clean_Data'!$C$2:$C$1360,MATCH($A265,'2_Clean_Data'!$A$2:$A$1360,0))</f>
        <v>0.67</v>
      </c>
      <c r="G265" s="10">
        <f>INDEX('2_Clean_Data'!$H$2:$H$1360,MATCH($A265,'2_Clean_Data'!$A$2:$A$1360,0))</f>
        <v>33</v>
      </c>
      <c r="H265" s="9" t="str">
        <f t="shared" si="17"/>
        <v>Low</v>
      </c>
      <c r="I265" s="9" t="str">
        <f t="shared" si="18"/>
        <v>OK</v>
      </c>
      <c r="J265" s="9" t="str">
        <f t="shared" si="19"/>
        <v>Standard</v>
      </c>
    </row>
    <row r="266" spans="1:10" x14ac:dyDescent="0.3">
      <c r="A266" s="10">
        <f>'2_Clean_Data'!A263</f>
        <v>262</v>
      </c>
      <c r="B266" s="10">
        <f>INDEX('2_Clean_Data'!$M$2:$M$1360,MATCH($A266,'2_Clean_Data'!$A$2:$A$1360,0))</f>
        <v>6</v>
      </c>
      <c r="C266" s="9" t="str">
        <f t="shared" si="16"/>
        <v>Above Average</v>
      </c>
      <c r="D266" s="11">
        <f>INDEX('2_Clean_Data'!$L$2:$L$1360,MATCH($A266,'2_Clean_Data'!$A$2:$A$1360,0))</f>
        <v>10.7</v>
      </c>
      <c r="E266" s="9" t="str">
        <f>IF(D266&lt;'3_Summary_Tables'!$C$16,"Low",IF(D266&lt;'3_Summary_Tables'!$C$17,"Medium","High"))</f>
        <v>Medium</v>
      </c>
      <c r="F266" s="12">
        <f>INDEX('2_Clean_Data'!$C$2:$C$1360,MATCH($A266,'2_Clean_Data'!$A$2:$A$1360,0))</f>
        <v>0.53</v>
      </c>
      <c r="G266" s="10">
        <f>INDEX('2_Clean_Data'!$H$2:$H$1360,MATCH($A266,'2_Clean_Data'!$A$2:$A$1360,0))</f>
        <v>44</v>
      </c>
      <c r="H266" s="9" t="str">
        <f t="shared" si="17"/>
        <v>Low</v>
      </c>
      <c r="I266" s="9" t="str">
        <f t="shared" si="18"/>
        <v>OK</v>
      </c>
      <c r="J266" s="9" t="str">
        <f t="shared" si="19"/>
        <v>Solid</v>
      </c>
    </row>
    <row r="267" spans="1:10" x14ac:dyDescent="0.3">
      <c r="A267" s="10">
        <f>'2_Clean_Data'!A264</f>
        <v>263</v>
      </c>
      <c r="B267" s="10">
        <f>INDEX('2_Clean_Data'!$M$2:$M$1360,MATCH($A267,'2_Clean_Data'!$A$2:$A$1360,0))</f>
        <v>6</v>
      </c>
      <c r="C267" s="9" t="str">
        <f t="shared" si="16"/>
        <v>Above Average</v>
      </c>
      <c r="D267" s="11">
        <f>INDEX('2_Clean_Data'!$L$2:$L$1360,MATCH($A267,'2_Clean_Data'!$A$2:$A$1360,0))</f>
        <v>10.1</v>
      </c>
      <c r="E267" s="9" t="str">
        <f>IF(D267&lt;'3_Summary_Tables'!$C$16,"Low",IF(D267&lt;'3_Summary_Tables'!$C$17,"Medium","High"))</f>
        <v>Medium</v>
      </c>
      <c r="F267" s="12">
        <f>INDEX('2_Clean_Data'!$C$2:$C$1360,MATCH($A267,'2_Clean_Data'!$A$2:$A$1360,0))</f>
        <v>0.18</v>
      </c>
      <c r="G267" s="10">
        <f>INDEX('2_Clean_Data'!$H$2:$H$1360,MATCH($A267,'2_Clean_Data'!$A$2:$A$1360,0))</f>
        <v>15</v>
      </c>
      <c r="H267" s="9" t="str">
        <f t="shared" si="17"/>
        <v>Low</v>
      </c>
      <c r="I267" s="9" t="str">
        <f t="shared" si="18"/>
        <v>OK</v>
      </c>
      <c r="J267" s="9" t="str">
        <f t="shared" si="19"/>
        <v>Solid</v>
      </c>
    </row>
    <row r="268" spans="1:10" x14ac:dyDescent="0.3">
      <c r="A268" s="10">
        <f>'2_Clean_Data'!A265</f>
        <v>264</v>
      </c>
      <c r="B268" s="10">
        <f>INDEX('2_Clean_Data'!$M$2:$M$1360,MATCH($A268,'2_Clean_Data'!$A$2:$A$1360,0))</f>
        <v>5</v>
      </c>
      <c r="C268" s="9" t="str">
        <f t="shared" si="16"/>
        <v>Average</v>
      </c>
      <c r="D268" s="11">
        <f>INDEX('2_Clean_Data'!$L$2:$L$1360,MATCH($A268,'2_Clean_Data'!$A$2:$A$1360,0))</f>
        <v>10</v>
      </c>
      <c r="E268" s="9" t="str">
        <f>IF(D268&lt;'3_Summary_Tables'!$C$16,"Low",IF(D268&lt;'3_Summary_Tables'!$C$17,"Medium","High"))</f>
        <v>Medium</v>
      </c>
      <c r="F268" s="12">
        <f>INDEX('2_Clean_Data'!$C$2:$C$1360,MATCH($A268,'2_Clean_Data'!$A$2:$A$1360,0))</f>
        <v>0.70499999999999996</v>
      </c>
      <c r="G268" s="10">
        <f>INDEX('2_Clean_Data'!$H$2:$H$1360,MATCH($A268,'2_Clean_Data'!$A$2:$A$1360,0))</f>
        <v>28</v>
      </c>
      <c r="H268" s="9" t="str">
        <f t="shared" si="17"/>
        <v>Low</v>
      </c>
      <c r="I268" s="9" t="str">
        <f t="shared" si="18"/>
        <v>Above limit</v>
      </c>
      <c r="J268" s="9" t="str">
        <f t="shared" si="19"/>
        <v>Standard</v>
      </c>
    </row>
    <row r="269" spans="1:10" x14ac:dyDescent="0.3">
      <c r="A269" s="10">
        <f>'2_Clean_Data'!A266</f>
        <v>265</v>
      </c>
      <c r="B269" s="10">
        <f>INDEX('2_Clean_Data'!$M$2:$M$1360,MATCH($A269,'2_Clean_Data'!$A$2:$A$1360,0))</f>
        <v>5</v>
      </c>
      <c r="C269" s="9" t="str">
        <f t="shared" si="16"/>
        <v>Average</v>
      </c>
      <c r="D269" s="11">
        <f>INDEX('2_Clean_Data'!$L$2:$L$1360,MATCH($A269,'2_Clean_Data'!$A$2:$A$1360,0))</f>
        <v>9.5</v>
      </c>
      <c r="E269" s="9" t="str">
        <f>IF(D269&lt;'3_Summary_Tables'!$C$16,"Low",IF(D269&lt;'3_Summary_Tables'!$C$17,"Medium","High"))</f>
        <v>Low</v>
      </c>
      <c r="F269" s="12">
        <f>INDEX('2_Clean_Data'!$C$2:$C$1360,MATCH($A269,'2_Clean_Data'!$A$2:$A$1360,0))</f>
        <v>0.67</v>
      </c>
      <c r="G269" s="10">
        <f>INDEX('2_Clean_Data'!$H$2:$H$1360,MATCH($A269,'2_Clean_Data'!$A$2:$A$1360,0))</f>
        <v>21</v>
      </c>
      <c r="H269" s="9" t="str">
        <f t="shared" si="17"/>
        <v>Low</v>
      </c>
      <c r="I269" s="9" t="str">
        <f t="shared" si="18"/>
        <v>OK</v>
      </c>
      <c r="J269" s="9" t="str">
        <f t="shared" si="19"/>
        <v>Standard</v>
      </c>
    </row>
    <row r="270" spans="1:10" x14ac:dyDescent="0.3">
      <c r="A270" s="10">
        <f>'2_Clean_Data'!A267</f>
        <v>266</v>
      </c>
      <c r="B270" s="10">
        <f>INDEX('2_Clean_Data'!$M$2:$M$1360,MATCH($A270,'2_Clean_Data'!$A$2:$A$1360,0))</f>
        <v>5</v>
      </c>
      <c r="C270" s="9" t="str">
        <f t="shared" si="16"/>
        <v>Average</v>
      </c>
      <c r="D270" s="11">
        <f>INDEX('2_Clean_Data'!$L$2:$L$1360,MATCH($A270,'2_Clean_Data'!$A$2:$A$1360,0))</f>
        <v>9.1999999999999993</v>
      </c>
      <c r="E270" s="9" t="str">
        <f>IF(D270&lt;'3_Summary_Tables'!$C$16,"Low",IF(D270&lt;'3_Summary_Tables'!$C$17,"Medium","High"))</f>
        <v>Low</v>
      </c>
      <c r="F270" s="12">
        <f>INDEX('2_Clean_Data'!$C$2:$C$1360,MATCH($A270,'2_Clean_Data'!$A$2:$A$1360,0))</f>
        <v>0.65</v>
      </c>
      <c r="G270" s="10">
        <f>INDEX('2_Clean_Data'!$H$2:$H$1360,MATCH($A270,'2_Clean_Data'!$A$2:$A$1360,0))</f>
        <v>90</v>
      </c>
      <c r="H270" s="9" t="str">
        <f t="shared" si="17"/>
        <v>Moderate</v>
      </c>
      <c r="I270" s="9" t="str">
        <f t="shared" si="18"/>
        <v>OK</v>
      </c>
      <c r="J270" s="9" t="str">
        <f t="shared" si="19"/>
        <v>Standard</v>
      </c>
    </row>
    <row r="271" spans="1:10" x14ac:dyDescent="0.3">
      <c r="A271" s="10">
        <f>'2_Clean_Data'!A268</f>
        <v>267</v>
      </c>
      <c r="B271" s="10">
        <f>INDEX('2_Clean_Data'!$M$2:$M$1360,MATCH($A271,'2_Clean_Data'!$A$2:$A$1360,0))</f>
        <v>6</v>
      </c>
      <c r="C271" s="9" t="str">
        <f t="shared" si="16"/>
        <v>Above Average</v>
      </c>
      <c r="D271" s="11">
        <f>INDEX('2_Clean_Data'!$L$2:$L$1360,MATCH($A271,'2_Clean_Data'!$A$2:$A$1360,0))</f>
        <v>9.3000000000000007</v>
      </c>
      <c r="E271" s="9" t="str">
        <f>IF(D271&lt;'3_Summary_Tables'!$C$16,"Low",IF(D271&lt;'3_Summary_Tables'!$C$17,"Medium","High"))</f>
        <v>Low</v>
      </c>
      <c r="F271" s="12">
        <f>INDEX('2_Clean_Data'!$C$2:$C$1360,MATCH($A271,'2_Clean_Data'!$A$2:$A$1360,0))</f>
        <v>0.53</v>
      </c>
      <c r="G271" s="10">
        <f>INDEX('2_Clean_Data'!$H$2:$H$1360,MATCH($A271,'2_Clean_Data'!$A$2:$A$1360,0))</f>
        <v>25</v>
      </c>
      <c r="H271" s="9" t="str">
        <f t="shared" si="17"/>
        <v>Low</v>
      </c>
      <c r="I271" s="9" t="str">
        <f t="shared" si="18"/>
        <v>OK</v>
      </c>
      <c r="J271" s="9" t="str">
        <f t="shared" si="19"/>
        <v>Solid</v>
      </c>
    </row>
    <row r="272" spans="1:10" x14ac:dyDescent="0.3">
      <c r="A272" s="10">
        <f>'2_Clean_Data'!A269</f>
        <v>268</v>
      </c>
      <c r="B272" s="10">
        <f>INDEX('2_Clean_Data'!$M$2:$M$1360,MATCH($A272,'2_Clean_Data'!$A$2:$A$1360,0))</f>
        <v>5</v>
      </c>
      <c r="C272" s="9" t="str">
        <f t="shared" si="16"/>
        <v>Average</v>
      </c>
      <c r="D272" s="11">
        <f>INDEX('2_Clean_Data'!$L$2:$L$1360,MATCH($A272,'2_Clean_Data'!$A$2:$A$1360,0))</f>
        <v>9.4</v>
      </c>
      <c r="E272" s="9" t="str">
        <f>IF(D272&lt;'3_Summary_Tables'!$C$16,"Low",IF(D272&lt;'3_Summary_Tables'!$C$17,"Medium","High"))</f>
        <v>Low</v>
      </c>
      <c r="F272" s="12">
        <f>INDEX('2_Clean_Data'!$C$2:$C$1360,MATCH($A272,'2_Clean_Data'!$A$2:$A$1360,0))</f>
        <v>0.62</v>
      </c>
      <c r="G272" s="10">
        <f>INDEX('2_Clean_Data'!$H$2:$H$1360,MATCH($A272,'2_Clean_Data'!$A$2:$A$1360,0))</f>
        <v>54</v>
      </c>
      <c r="H272" s="9" t="str">
        <f t="shared" si="17"/>
        <v>Moderate</v>
      </c>
      <c r="I272" s="9" t="str">
        <f t="shared" si="18"/>
        <v>OK</v>
      </c>
      <c r="J272" s="9" t="str">
        <f t="shared" si="19"/>
        <v>Standard</v>
      </c>
    </row>
    <row r="273" spans="1:10" x14ac:dyDescent="0.3">
      <c r="A273" s="10">
        <f>'2_Clean_Data'!A270</f>
        <v>269</v>
      </c>
      <c r="B273" s="10">
        <f>INDEX('2_Clean_Data'!$M$2:$M$1360,MATCH($A273,'2_Clean_Data'!$A$2:$A$1360,0))</f>
        <v>6</v>
      </c>
      <c r="C273" s="9" t="str">
        <f t="shared" si="16"/>
        <v>Above Average</v>
      </c>
      <c r="D273" s="11">
        <f>INDEX('2_Clean_Data'!$L$2:$L$1360,MATCH($A273,'2_Clean_Data'!$A$2:$A$1360,0))</f>
        <v>9.5</v>
      </c>
      <c r="E273" s="9" t="str">
        <f>IF(D273&lt;'3_Summary_Tables'!$C$16,"Low",IF(D273&lt;'3_Summary_Tables'!$C$17,"Medium","High"))</f>
        <v>Low</v>
      </c>
      <c r="F273" s="12">
        <f>INDEX('2_Clean_Data'!$C$2:$C$1360,MATCH($A273,'2_Clean_Data'!$A$2:$A$1360,0))</f>
        <v>0.41</v>
      </c>
      <c r="G273" s="10">
        <f>INDEX('2_Clean_Data'!$H$2:$H$1360,MATCH($A273,'2_Clean_Data'!$A$2:$A$1360,0))</f>
        <v>14</v>
      </c>
      <c r="H273" s="9" t="str">
        <f t="shared" si="17"/>
        <v>Low</v>
      </c>
      <c r="I273" s="9" t="str">
        <f t="shared" si="18"/>
        <v>OK</v>
      </c>
      <c r="J273" s="9" t="str">
        <f t="shared" si="19"/>
        <v>Solid</v>
      </c>
    </row>
    <row r="274" spans="1:10" x14ac:dyDescent="0.3">
      <c r="A274" s="10">
        <f>'2_Clean_Data'!A271</f>
        <v>270</v>
      </c>
      <c r="B274" s="10">
        <f>INDEX('2_Clean_Data'!$M$2:$M$1360,MATCH($A274,'2_Clean_Data'!$A$2:$A$1360,0))</f>
        <v>6</v>
      </c>
      <c r="C274" s="9" t="str">
        <f t="shared" si="16"/>
        <v>Above Average</v>
      </c>
      <c r="D274" s="11">
        <f>INDEX('2_Clean_Data'!$L$2:$L$1360,MATCH($A274,'2_Clean_Data'!$A$2:$A$1360,0))</f>
        <v>9.5</v>
      </c>
      <c r="E274" s="9" t="str">
        <f>IF(D274&lt;'3_Summary_Tables'!$C$16,"Low",IF(D274&lt;'3_Summary_Tables'!$C$17,"Medium","High"))</f>
        <v>Low</v>
      </c>
      <c r="F274" s="12">
        <f>INDEX('2_Clean_Data'!$C$2:$C$1360,MATCH($A274,'2_Clean_Data'!$A$2:$A$1360,0))</f>
        <v>0.43</v>
      </c>
      <c r="G274" s="10">
        <f>INDEX('2_Clean_Data'!$H$2:$H$1360,MATCH($A274,'2_Clean_Data'!$A$2:$A$1360,0))</f>
        <v>12</v>
      </c>
      <c r="H274" s="9" t="str">
        <f t="shared" si="17"/>
        <v>Low</v>
      </c>
      <c r="I274" s="9" t="str">
        <f t="shared" si="18"/>
        <v>OK</v>
      </c>
      <c r="J274" s="9" t="str">
        <f t="shared" si="19"/>
        <v>Solid</v>
      </c>
    </row>
    <row r="275" spans="1:10" x14ac:dyDescent="0.3">
      <c r="A275" s="10">
        <f>'2_Clean_Data'!A272</f>
        <v>271</v>
      </c>
      <c r="B275" s="10">
        <f>INDEX('2_Clean_Data'!$M$2:$M$1360,MATCH($A275,'2_Clean_Data'!$A$2:$A$1360,0))</f>
        <v>6</v>
      </c>
      <c r="C275" s="9" t="str">
        <f t="shared" si="16"/>
        <v>Above Average</v>
      </c>
      <c r="D275" s="11">
        <f>INDEX('2_Clean_Data'!$L$2:$L$1360,MATCH($A275,'2_Clean_Data'!$A$2:$A$1360,0))</f>
        <v>9.5</v>
      </c>
      <c r="E275" s="9" t="str">
        <f>IF(D275&lt;'3_Summary_Tables'!$C$16,"Low",IF(D275&lt;'3_Summary_Tables'!$C$17,"Medium","High"))</f>
        <v>Low</v>
      </c>
      <c r="F275" s="12">
        <f>INDEX('2_Clean_Data'!$C$2:$C$1360,MATCH($A275,'2_Clean_Data'!$A$2:$A$1360,0))</f>
        <v>0.28999999999999998</v>
      </c>
      <c r="G275" s="10">
        <f>INDEX('2_Clean_Data'!$H$2:$H$1360,MATCH($A275,'2_Clean_Data'!$A$2:$A$1360,0))</f>
        <v>30</v>
      </c>
      <c r="H275" s="9" t="str">
        <f t="shared" si="17"/>
        <v>Low</v>
      </c>
      <c r="I275" s="9" t="str">
        <f t="shared" si="18"/>
        <v>OK</v>
      </c>
      <c r="J275" s="9" t="str">
        <f t="shared" si="19"/>
        <v>Solid</v>
      </c>
    </row>
    <row r="276" spans="1:10" x14ac:dyDescent="0.3">
      <c r="A276" s="10">
        <f>'2_Clean_Data'!A273</f>
        <v>272</v>
      </c>
      <c r="B276" s="10">
        <f>INDEX('2_Clean_Data'!$M$2:$M$1360,MATCH($A276,'2_Clean_Data'!$A$2:$A$1360,0))</f>
        <v>6</v>
      </c>
      <c r="C276" s="9" t="str">
        <f t="shared" si="16"/>
        <v>Above Average</v>
      </c>
      <c r="D276" s="11">
        <f>INDEX('2_Clean_Data'!$L$2:$L$1360,MATCH($A276,'2_Clean_Data'!$A$2:$A$1360,0))</f>
        <v>9.4</v>
      </c>
      <c r="E276" s="9" t="str">
        <f>IF(D276&lt;'3_Summary_Tables'!$C$16,"Low",IF(D276&lt;'3_Summary_Tables'!$C$17,"Medium","High"))</f>
        <v>Low</v>
      </c>
      <c r="F276" s="12">
        <f>INDEX('2_Clean_Data'!$C$2:$C$1360,MATCH($A276,'2_Clean_Data'!$A$2:$A$1360,0))</f>
        <v>0.53</v>
      </c>
      <c r="G276" s="10">
        <f>INDEX('2_Clean_Data'!$H$2:$H$1360,MATCH($A276,'2_Clean_Data'!$A$2:$A$1360,0))</f>
        <v>105</v>
      </c>
      <c r="H276" s="9" t="str">
        <f t="shared" si="17"/>
        <v>High</v>
      </c>
      <c r="I276" s="9" t="str">
        <f t="shared" si="18"/>
        <v>OK</v>
      </c>
      <c r="J276" s="9" t="str">
        <f t="shared" si="19"/>
        <v>Solid</v>
      </c>
    </row>
    <row r="277" spans="1:10" x14ac:dyDescent="0.3">
      <c r="A277" s="10">
        <f>'2_Clean_Data'!A274</f>
        <v>273</v>
      </c>
      <c r="B277" s="10">
        <f>INDEX('2_Clean_Data'!$M$2:$M$1360,MATCH($A277,'2_Clean_Data'!$A$2:$A$1360,0))</f>
        <v>6</v>
      </c>
      <c r="C277" s="9" t="str">
        <f t="shared" si="16"/>
        <v>Above Average</v>
      </c>
      <c r="D277" s="11">
        <f>INDEX('2_Clean_Data'!$L$2:$L$1360,MATCH($A277,'2_Clean_Data'!$A$2:$A$1360,0))</f>
        <v>9.5</v>
      </c>
      <c r="E277" s="9" t="str">
        <f>IF(D277&lt;'3_Summary_Tables'!$C$16,"Low",IF(D277&lt;'3_Summary_Tables'!$C$17,"Medium","High"))</f>
        <v>Low</v>
      </c>
      <c r="F277" s="12">
        <f>INDEX('2_Clean_Data'!$C$2:$C$1360,MATCH($A277,'2_Clean_Data'!$A$2:$A$1360,0))</f>
        <v>0.46</v>
      </c>
      <c r="G277" s="10">
        <f>INDEX('2_Clean_Data'!$H$2:$H$1360,MATCH($A277,'2_Clean_Data'!$A$2:$A$1360,0))</f>
        <v>98</v>
      </c>
      <c r="H277" s="9" t="str">
        <f t="shared" si="17"/>
        <v>Moderate</v>
      </c>
      <c r="I277" s="9" t="str">
        <f t="shared" si="18"/>
        <v>OK</v>
      </c>
      <c r="J277" s="9" t="str">
        <f t="shared" si="19"/>
        <v>Solid</v>
      </c>
    </row>
    <row r="278" spans="1:10" x14ac:dyDescent="0.3">
      <c r="A278" s="10">
        <f>'2_Clean_Data'!A275</f>
        <v>274</v>
      </c>
      <c r="B278" s="10">
        <f>INDEX('2_Clean_Data'!$M$2:$M$1360,MATCH($A278,'2_Clean_Data'!$A$2:$A$1360,0))</f>
        <v>5</v>
      </c>
      <c r="C278" s="9" t="str">
        <f t="shared" si="16"/>
        <v>Average</v>
      </c>
      <c r="D278" s="11">
        <f>INDEX('2_Clean_Data'!$L$2:$L$1360,MATCH($A278,'2_Clean_Data'!$A$2:$A$1360,0))</f>
        <v>9.4</v>
      </c>
      <c r="E278" s="9" t="str">
        <f>IF(D278&lt;'3_Summary_Tables'!$C$16,"Low",IF(D278&lt;'3_Summary_Tables'!$C$17,"Medium","High"))</f>
        <v>Low</v>
      </c>
      <c r="F278" s="12">
        <f>INDEX('2_Clean_Data'!$C$2:$C$1360,MATCH($A278,'2_Clean_Data'!$A$2:$A$1360,0))</f>
        <v>0.47</v>
      </c>
      <c r="G278" s="10">
        <f>INDEX('2_Clean_Data'!$H$2:$H$1360,MATCH($A278,'2_Clean_Data'!$A$2:$A$1360,0))</f>
        <v>135</v>
      </c>
      <c r="H278" s="9" t="str">
        <f t="shared" si="17"/>
        <v>High</v>
      </c>
      <c r="I278" s="9" t="str">
        <f t="shared" si="18"/>
        <v>OK</v>
      </c>
      <c r="J278" s="9" t="str">
        <f t="shared" si="19"/>
        <v>Standard</v>
      </c>
    </row>
    <row r="279" spans="1:10" x14ac:dyDescent="0.3">
      <c r="A279" s="10">
        <f>'2_Clean_Data'!A276</f>
        <v>275</v>
      </c>
      <c r="B279" s="10">
        <f>INDEX('2_Clean_Data'!$M$2:$M$1360,MATCH($A279,'2_Clean_Data'!$A$2:$A$1360,0))</f>
        <v>5</v>
      </c>
      <c r="C279" s="9" t="str">
        <f t="shared" si="16"/>
        <v>Average</v>
      </c>
      <c r="D279" s="11">
        <f>INDEX('2_Clean_Data'!$L$2:$L$1360,MATCH($A279,'2_Clean_Data'!$A$2:$A$1360,0))</f>
        <v>11</v>
      </c>
      <c r="E279" s="9" t="str">
        <f>IF(D279&lt;'3_Summary_Tables'!$C$16,"Low",IF(D279&lt;'3_Summary_Tables'!$C$17,"Medium","High"))</f>
        <v>Medium</v>
      </c>
      <c r="F279" s="12">
        <f>INDEX('2_Clean_Data'!$C$2:$C$1360,MATCH($A279,'2_Clean_Data'!$A$2:$A$1360,0))</f>
        <v>0.36</v>
      </c>
      <c r="G279" s="10">
        <f>INDEX('2_Clean_Data'!$H$2:$H$1360,MATCH($A279,'2_Clean_Data'!$A$2:$A$1360,0))</f>
        <v>72</v>
      </c>
      <c r="H279" s="9" t="str">
        <f t="shared" si="17"/>
        <v>Moderate</v>
      </c>
      <c r="I279" s="9" t="str">
        <f t="shared" si="18"/>
        <v>OK</v>
      </c>
      <c r="J279" s="9" t="str">
        <f t="shared" si="19"/>
        <v>Standard</v>
      </c>
    </row>
    <row r="280" spans="1:10" x14ac:dyDescent="0.3">
      <c r="A280" s="10">
        <f>'2_Clean_Data'!A277</f>
        <v>276</v>
      </c>
      <c r="B280" s="10">
        <f>INDEX('2_Clean_Data'!$M$2:$M$1360,MATCH($A280,'2_Clean_Data'!$A$2:$A$1360,0))</f>
        <v>6</v>
      </c>
      <c r="C280" s="9" t="str">
        <f t="shared" si="16"/>
        <v>Above Average</v>
      </c>
      <c r="D280" s="11">
        <f>INDEX('2_Clean_Data'!$L$2:$L$1360,MATCH($A280,'2_Clean_Data'!$A$2:$A$1360,0))</f>
        <v>11</v>
      </c>
      <c r="E280" s="9" t="str">
        <f>IF(D280&lt;'3_Summary_Tables'!$C$16,"Low",IF(D280&lt;'3_Summary_Tables'!$C$17,"Medium","High"))</f>
        <v>Medium</v>
      </c>
      <c r="F280" s="12">
        <f>INDEX('2_Clean_Data'!$C$2:$C$1360,MATCH($A280,'2_Clean_Data'!$A$2:$A$1360,0))</f>
        <v>0.35</v>
      </c>
      <c r="G280" s="10">
        <f>INDEX('2_Clean_Data'!$H$2:$H$1360,MATCH($A280,'2_Clean_Data'!$A$2:$A$1360,0))</f>
        <v>53</v>
      </c>
      <c r="H280" s="9" t="str">
        <f t="shared" si="17"/>
        <v>Moderate</v>
      </c>
      <c r="I280" s="9" t="str">
        <f t="shared" si="18"/>
        <v>OK</v>
      </c>
      <c r="J280" s="9" t="str">
        <f t="shared" si="19"/>
        <v>Solid</v>
      </c>
    </row>
    <row r="281" spans="1:10" x14ac:dyDescent="0.3">
      <c r="A281" s="10">
        <f>'2_Clean_Data'!A278</f>
        <v>277</v>
      </c>
      <c r="B281" s="10">
        <f>INDEX('2_Clean_Data'!$M$2:$M$1360,MATCH($A281,'2_Clean_Data'!$A$2:$A$1360,0))</f>
        <v>5</v>
      </c>
      <c r="C281" s="9" t="str">
        <f t="shared" si="16"/>
        <v>Average</v>
      </c>
      <c r="D281" s="11">
        <f>INDEX('2_Clean_Data'!$L$2:$L$1360,MATCH($A281,'2_Clean_Data'!$A$2:$A$1360,0))</f>
        <v>10.1</v>
      </c>
      <c r="E281" s="9" t="str">
        <f>IF(D281&lt;'3_Summary_Tables'!$C$16,"Low",IF(D281&lt;'3_Summary_Tables'!$C$17,"Medium","High"))</f>
        <v>Medium</v>
      </c>
      <c r="F281" s="12">
        <f>INDEX('2_Clean_Data'!$C$2:$C$1360,MATCH($A281,'2_Clean_Data'!$A$2:$A$1360,0))</f>
        <v>0.56000000000000005</v>
      </c>
      <c r="G281" s="10">
        <f>INDEX('2_Clean_Data'!$H$2:$H$1360,MATCH($A281,'2_Clean_Data'!$A$2:$A$1360,0))</f>
        <v>92</v>
      </c>
      <c r="H281" s="9" t="str">
        <f t="shared" si="17"/>
        <v>Moderate</v>
      </c>
      <c r="I281" s="9" t="str">
        <f t="shared" si="18"/>
        <v>OK</v>
      </c>
      <c r="J281" s="9" t="str">
        <f t="shared" si="19"/>
        <v>Standard</v>
      </c>
    </row>
    <row r="282" spans="1:10" x14ac:dyDescent="0.3">
      <c r="A282" s="10">
        <f>'2_Clean_Data'!A279</f>
        <v>278</v>
      </c>
      <c r="B282" s="10">
        <f>INDEX('2_Clean_Data'!$M$2:$M$1360,MATCH($A282,'2_Clean_Data'!$A$2:$A$1360,0))</f>
        <v>6</v>
      </c>
      <c r="C282" s="9" t="str">
        <f t="shared" si="16"/>
        <v>Above Average</v>
      </c>
      <c r="D282" s="11">
        <f>INDEX('2_Clean_Data'!$L$2:$L$1360,MATCH($A282,'2_Clean_Data'!$A$2:$A$1360,0))</f>
        <v>10.4</v>
      </c>
      <c r="E282" s="9" t="str">
        <f>IF(D282&lt;'3_Summary_Tables'!$C$16,"Low",IF(D282&lt;'3_Summary_Tables'!$C$17,"Medium","High"))</f>
        <v>Medium</v>
      </c>
      <c r="F282" s="12">
        <f>INDEX('2_Clean_Data'!$C$2:$C$1360,MATCH($A282,'2_Clean_Data'!$A$2:$A$1360,0))</f>
        <v>0.77</v>
      </c>
      <c r="G282" s="10">
        <f>INDEX('2_Clean_Data'!$H$2:$H$1360,MATCH($A282,'2_Clean_Data'!$A$2:$A$1360,0))</f>
        <v>74</v>
      </c>
      <c r="H282" s="9" t="str">
        <f t="shared" si="17"/>
        <v>Moderate</v>
      </c>
      <c r="I282" s="9" t="str">
        <f t="shared" si="18"/>
        <v>Above limit</v>
      </c>
      <c r="J282" s="9" t="str">
        <f t="shared" si="19"/>
        <v>Standard</v>
      </c>
    </row>
    <row r="283" spans="1:10" x14ac:dyDescent="0.3">
      <c r="A283" s="10">
        <f>'2_Clean_Data'!A280</f>
        <v>279</v>
      </c>
      <c r="B283" s="10">
        <f>INDEX('2_Clean_Data'!$M$2:$M$1360,MATCH($A283,'2_Clean_Data'!$A$2:$A$1360,0))</f>
        <v>7</v>
      </c>
      <c r="C283" s="9" t="str">
        <f t="shared" si="16"/>
        <v>Good</v>
      </c>
      <c r="D283" s="11">
        <f>INDEX('2_Clean_Data'!$L$2:$L$1360,MATCH($A283,'2_Clean_Data'!$A$2:$A$1360,0))</f>
        <v>11.5</v>
      </c>
      <c r="E283" s="9" t="str">
        <f>IF(D283&lt;'3_Summary_Tables'!$C$16,"Low",IF(D283&lt;'3_Summary_Tables'!$C$17,"Medium","High"))</f>
        <v>High</v>
      </c>
      <c r="F283" s="12">
        <f>INDEX('2_Clean_Data'!$C$2:$C$1360,MATCH($A283,'2_Clean_Data'!$A$2:$A$1360,0))</f>
        <v>0.66</v>
      </c>
      <c r="G283" s="10">
        <f>INDEX('2_Clean_Data'!$H$2:$H$1360,MATCH($A283,'2_Clean_Data'!$A$2:$A$1360,0))</f>
        <v>59</v>
      </c>
      <c r="H283" s="9" t="str">
        <f t="shared" si="17"/>
        <v>Moderate</v>
      </c>
      <c r="I283" s="9" t="str">
        <f t="shared" si="18"/>
        <v>OK</v>
      </c>
      <c r="J283" s="9" t="str">
        <f t="shared" si="19"/>
        <v>Premium</v>
      </c>
    </row>
    <row r="284" spans="1:10" x14ac:dyDescent="0.3">
      <c r="A284" s="10">
        <f>'2_Clean_Data'!A281</f>
        <v>280</v>
      </c>
      <c r="B284" s="10">
        <f>INDEX('2_Clean_Data'!$M$2:$M$1360,MATCH($A284,'2_Clean_Data'!$A$2:$A$1360,0))</f>
        <v>5</v>
      </c>
      <c r="C284" s="9" t="str">
        <f t="shared" si="16"/>
        <v>Average</v>
      </c>
      <c r="D284" s="11">
        <f>INDEX('2_Clean_Data'!$L$2:$L$1360,MATCH($A284,'2_Clean_Data'!$A$2:$A$1360,0))</f>
        <v>9.6999999999999993</v>
      </c>
      <c r="E284" s="9" t="str">
        <f>IF(D284&lt;'3_Summary_Tables'!$C$16,"Low",IF(D284&lt;'3_Summary_Tables'!$C$17,"Medium","High"))</f>
        <v>Low</v>
      </c>
      <c r="F284" s="12">
        <f>INDEX('2_Clean_Data'!$C$2:$C$1360,MATCH($A284,'2_Clean_Data'!$A$2:$A$1360,0))</f>
        <v>0.61</v>
      </c>
      <c r="G284" s="10">
        <f>INDEX('2_Clean_Data'!$H$2:$H$1360,MATCH($A284,'2_Clean_Data'!$A$2:$A$1360,0))</f>
        <v>87</v>
      </c>
      <c r="H284" s="9" t="str">
        <f t="shared" si="17"/>
        <v>Moderate</v>
      </c>
      <c r="I284" s="9" t="str">
        <f t="shared" si="18"/>
        <v>OK</v>
      </c>
      <c r="J284" s="9" t="str">
        <f t="shared" si="19"/>
        <v>Standard</v>
      </c>
    </row>
    <row r="285" spans="1:10" x14ac:dyDescent="0.3">
      <c r="A285" s="10">
        <f>'2_Clean_Data'!A282</f>
        <v>281</v>
      </c>
      <c r="B285" s="10">
        <f>INDEX('2_Clean_Data'!$M$2:$M$1360,MATCH($A285,'2_Clean_Data'!$A$2:$A$1360,0))</f>
        <v>5</v>
      </c>
      <c r="C285" s="9" t="str">
        <f t="shared" si="16"/>
        <v>Average</v>
      </c>
      <c r="D285" s="11">
        <f>INDEX('2_Clean_Data'!$L$2:$L$1360,MATCH($A285,'2_Clean_Data'!$A$2:$A$1360,0))</f>
        <v>9.3000000000000007</v>
      </c>
      <c r="E285" s="9" t="str">
        <f>IF(D285&lt;'3_Summary_Tables'!$C$16,"Low",IF(D285&lt;'3_Summary_Tables'!$C$17,"Medium","High"))</f>
        <v>Low</v>
      </c>
      <c r="F285" s="12">
        <f>INDEX('2_Clean_Data'!$C$2:$C$1360,MATCH($A285,'2_Clean_Data'!$A$2:$A$1360,0))</f>
        <v>0.62</v>
      </c>
      <c r="G285" s="10">
        <f>INDEX('2_Clean_Data'!$H$2:$H$1360,MATCH($A285,'2_Clean_Data'!$A$2:$A$1360,0))</f>
        <v>18</v>
      </c>
      <c r="H285" s="9" t="str">
        <f t="shared" si="17"/>
        <v>Low</v>
      </c>
      <c r="I285" s="9" t="str">
        <f t="shared" si="18"/>
        <v>OK</v>
      </c>
      <c r="J285" s="9" t="str">
        <f t="shared" si="19"/>
        <v>Standard</v>
      </c>
    </row>
    <row r="286" spans="1:10" x14ac:dyDescent="0.3">
      <c r="A286" s="10">
        <f>'2_Clean_Data'!A283</f>
        <v>282</v>
      </c>
      <c r="B286" s="10">
        <f>INDEX('2_Clean_Data'!$M$2:$M$1360,MATCH($A286,'2_Clean_Data'!$A$2:$A$1360,0))</f>
        <v>6</v>
      </c>
      <c r="C286" s="9" t="str">
        <f t="shared" si="16"/>
        <v>Above Average</v>
      </c>
      <c r="D286" s="11">
        <f>INDEX('2_Clean_Data'!$L$2:$L$1360,MATCH($A286,'2_Clean_Data'!$A$2:$A$1360,0))</f>
        <v>9.5</v>
      </c>
      <c r="E286" s="9" t="str">
        <f>IF(D286&lt;'3_Summary_Tables'!$C$16,"Low",IF(D286&lt;'3_Summary_Tables'!$C$17,"Medium","High"))</f>
        <v>Low</v>
      </c>
      <c r="F286" s="12">
        <f>INDEX('2_Clean_Data'!$C$2:$C$1360,MATCH($A286,'2_Clean_Data'!$A$2:$A$1360,0))</f>
        <v>0.59</v>
      </c>
      <c r="G286" s="10">
        <f>INDEX('2_Clean_Data'!$H$2:$H$1360,MATCH($A286,'2_Clean_Data'!$A$2:$A$1360,0))</f>
        <v>73</v>
      </c>
      <c r="H286" s="9" t="str">
        <f t="shared" si="17"/>
        <v>Moderate</v>
      </c>
      <c r="I286" s="9" t="str">
        <f t="shared" si="18"/>
        <v>OK</v>
      </c>
      <c r="J286" s="9" t="str">
        <f t="shared" si="19"/>
        <v>Solid</v>
      </c>
    </row>
    <row r="287" spans="1:10" x14ac:dyDescent="0.3">
      <c r="A287" s="10">
        <f>'2_Clean_Data'!A284</f>
        <v>283</v>
      </c>
      <c r="B287" s="10">
        <f>INDEX('2_Clean_Data'!$M$2:$M$1360,MATCH($A287,'2_Clean_Data'!$A$2:$A$1360,0))</f>
        <v>6</v>
      </c>
      <c r="C287" s="9" t="str">
        <f t="shared" si="16"/>
        <v>Above Average</v>
      </c>
      <c r="D287" s="11">
        <f>INDEX('2_Clean_Data'!$L$2:$L$1360,MATCH($A287,'2_Clean_Data'!$A$2:$A$1360,0))</f>
        <v>9.1999999999999993</v>
      </c>
      <c r="E287" s="9" t="str">
        <f>IF(D287&lt;'3_Summary_Tables'!$C$16,"Low",IF(D287&lt;'3_Summary_Tables'!$C$17,"Medium","High"))</f>
        <v>Low</v>
      </c>
      <c r="F287" s="12">
        <f>INDEX('2_Clean_Data'!$C$2:$C$1360,MATCH($A287,'2_Clean_Data'!$A$2:$A$1360,0))</f>
        <v>0.49</v>
      </c>
      <c r="G287" s="10">
        <f>INDEX('2_Clean_Data'!$H$2:$H$1360,MATCH($A287,'2_Clean_Data'!$A$2:$A$1360,0))</f>
        <v>50</v>
      </c>
      <c r="H287" s="9" t="str">
        <f t="shared" si="17"/>
        <v>Low</v>
      </c>
      <c r="I287" s="9" t="str">
        <f t="shared" si="18"/>
        <v>OK</v>
      </c>
      <c r="J287" s="9" t="str">
        <f t="shared" si="19"/>
        <v>Solid</v>
      </c>
    </row>
    <row r="288" spans="1:10" x14ac:dyDescent="0.3">
      <c r="A288" s="10">
        <f>'2_Clean_Data'!A285</f>
        <v>284</v>
      </c>
      <c r="B288" s="10">
        <f>INDEX('2_Clean_Data'!$M$2:$M$1360,MATCH($A288,'2_Clean_Data'!$A$2:$A$1360,0))</f>
        <v>7</v>
      </c>
      <c r="C288" s="9" t="str">
        <f t="shared" si="16"/>
        <v>Good</v>
      </c>
      <c r="D288" s="11">
        <f>INDEX('2_Clean_Data'!$L$2:$L$1360,MATCH($A288,'2_Clean_Data'!$A$2:$A$1360,0))</f>
        <v>11.5</v>
      </c>
      <c r="E288" s="9" t="str">
        <f>IF(D288&lt;'3_Summary_Tables'!$C$16,"Low",IF(D288&lt;'3_Summary_Tables'!$C$17,"Medium","High"))</f>
        <v>High</v>
      </c>
      <c r="F288" s="12">
        <f>INDEX('2_Clean_Data'!$C$2:$C$1360,MATCH($A288,'2_Clean_Data'!$A$2:$A$1360,0))</f>
        <v>0.53</v>
      </c>
      <c r="G288" s="10">
        <f>INDEX('2_Clean_Data'!$H$2:$H$1360,MATCH($A288,'2_Clean_Data'!$A$2:$A$1360,0))</f>
        <v>14</v>
      </c>
      <c r="H288" s="9" t="str">
        <f t="shared" si="17"/>
        <v>Low</v>
      </c>
      <c r="I288" s="9" t="str">
        <f t="shared" si="18"/>
        <v>OK</v>
      </c>
      <c r="J288" s="9" t="str">
        <f t="shared" si="19"/>
        <v>Premium</v>
      </c>
    </row>
    <row r="289" spans="1:10" x14ac:dyDescent="0.3">
      <c r="A289" s="10">
        <f>'2_Clean_Data'!A286</f>
        <v>285</v>
      </c>
      <c r="B289" s="10">
        <f>INDEX('2_Clean_Data'!$M$2:$M$1360,MATCH($A289,'2_Clean_Data'!$A$2:$A$1360,0))</f>
        <v>5</v>
      </c>
      <c r="C289" s="9" t="str">
        <f t="shared" si="16"/>
        <v>Average</v>
      </c>
      <c r="D289" s="11">
        <f>INDEX('2_Clean_Data'!$L$2:$L$1360,MATCH($A289,'2_Clean_Data'!$A$2:$A$1360,0))</f>
        <v>11.5</v>
      </c>
      <c r="E289" s="9" t="str">
        <f>IF(D289&lt;'3_Summary_Tables'!$C$16,"Low",IF(D289&lt;'3_Summary_Tables'!$C$17,"Medium","High"))</f>
        <v>High</v>
      </c>
      <c r="F289" s="12">
        <f>INDEX('2_Clean_Data'!$C$2:$C$1360,MATCH($A289,'2_Clean_Data'!$A$2:$A$1360,0))</f>
        <v>0.44</v>
      </c>
      <c r="G289" s="10">
        <f>INDEX('2_Clean_Data'!$H$2:$H$1360,MATCH($A289,'2_Clean_Data'!$A$2:$A$1360,0))</f>
        <v>13</v>
      </c>
      <c r="H289" s="9" t="str">
        <f t="shared" si="17"/>
        <v>Low</v>
      </c>
      <c r="I289" s="9" t="str">
        <f t="shared" si="18"/>
        <v>OK</v>
      </c>
      <c r="J289" s="9" t="str">
        <f t="shared" si="19"/>
        <v>Standard</v>
      </c>
    </row>
    <row r="290" spans="1:10" x14ac:dyDescent="0.3">
      <c r="A290" s="10">
        <f>'2_Clean_Data'!A287</f>
        <v>286</v>
      </c>
      <c r="B290" s="10">
        <f>INDEX('2_Clean_Data'!$M$2:$M$1360,MATCH($A290,'2_Clean_Data'!$A$2:$A$1360,0))</f>
        <v>6</v>
      </c>
      <c r="C290" s="9" t="str">
        <f t="shared" si="16"/>
        <v>Above Average</v>
      </c>
      <c r="D290" s="11">
        <f>INDEX('2_Clean_Data'!$L$2:$L$1360,MATCH($A290,'2_Clean_Data'!$A$2:$A$1360,0))</f>
        <v>9.6999999999999993</v>
      </c>
      <c r="E290" s="9" t="str">
        <f>IF(D290&lt;'3_Summary_Tables'!$C$16,"Low",IF(D290&lt;'3_Summary_Tables'!$C$17,"Medium","High"))</f>
        <v>Low</v>
      </c>
      <c r="F290" s="12">
        <f>INDEX('2_Clean_Data'!$C$2:$C$1360,MATCH($A290,'2_Clean_Data'!$A$2:$A$1360,0))</f>
        <v>0.27</v>
      </c>
      <c r="G290" s="10">
        <f>INDEX('2_Clean_Data'!$H$2:$H$1360,MATCH($A290,'2_Clean_Data'!$A$2:$A$1360,0))</f>
        <v>21</v>
      </c>
      <c r="H290" s="9" t="str">
        <f t="shared" si="17"/>
        <v>Low</v>
      </c>
      <c r="I290" s="9" t="str">
        <f t="shared" si="18"/>
        <v>OK</v>
      </c>
      <c r="J290" s="9" t="str">
        <f t="shared" si="19"/>
        <v>Solid</v>
      </c>
    </row>
    <row r="291" spans="1:10" x14ac:dyDescent="0.3">
      <c r="A291" s="10">
        <f>'2_Clean_Data'!A288</f>
        <v>287</v>
      </c>
      <c r="B291" s="10">
        <f>INDEX('2_Clean_Data'!$M$2:$M$1360,MATCH($A291,'2_Clean_Data'!$A$2:$A$1360,0))</f>
        <v>5</v>
      </c>
      <c r="C291" s="9" t="str">
        <f t="shared" si="16"/>
        <v>Average</v>
      </c>
      <c r="D291" s="11">
        <f>INDEX('2_Clean_Data'!$L$2:$L$1360,MATCH($A291,'2_Clean_Data'!$A$2:$A$1360,0))</f>
        <v>9.5</v>
      </c>
      <c r="E291" s="9" t="str">
        <f>IF(D291&lt;'3_Summary_Tables'!$C$16,"Low",IF(D291&lt;'3_Summary_Tables'!$C$17,"Medium","High"))</f>
        <v>Low</v>
      </c>
      <c r="F291" s="12">
        <f>INDEX('2_Clean_Data'!$C$2:$C$1360,MATCH($A291,'2_Clean_Data'!$A$2:$A$1360,0))</f>
        <v>0.46</v>
      </c>
      <c r="G291" s="10">
        <f>INDEX('2_Clean_Data'!$H$2:$H$1360,MATCH($A291,'2_Clean_Data'!$A$2:$A$1360,0))</f>
        <v>15</v>
      </c>
      <c r="H291" s="9" t="str">
        <f t="shared" si="17"/>
        <v>Low</v>
      </c>
      <c r="I291" s="9" t="str">
        <f t="shared" si="18"/>
        <v>OK</v>
      </c>
      <c r="J291" s="9" t="str">
        <f t="shared" si="19"/>
        <v>Standard</v>
      </c>
    </row>
    <row r="292" spans="1:10" x14ac:dyDescent="0.3">
      <c r="A292" s="10">
        <f>'2_Clean_Data'!A289</f>
        <v>288</v>
      </c>
      <c r="B292" s="10">
        <f>INDEX('2_Clean_Data'!$M$2:$M$1360,MATCH($A292,'2_Clean_Data'!$A$2:$A$1360,0))</f>
        <v>6</v>
      </c>
      <c r="C292" s="9" t="str">
        <f t="shared" si="16"/>
        <v>Above Average</v>
      </c>
      <c r="D292" s="11">
        <f>INDEX('2_Clean_Data'!$L$2:$L$1360,MATCH($A292,'2_Clean_Data'!$A$2:$A$1360,0))</f>
        <v>12.5</v>
      </c>
      <c r="E292" s="9" t="str">
        <f>IF(D292&lt;'3_Summary_Tables'!$C$16,"Low",IF(D292&lt;'3_Summary_Tables'!$C$17,"Medium","High"))</f>
        <v>High</v>
      </c>
      <c r="F292" s="12">
        <f>INDEX('2_Clean_Data'!$C$2:$C$1360,MATCH($A292,'2_Clean_Data'!$A$2:$A$1360,0))</f>
        <v>0.36</v>
      </c>
      <c r="G292" s="10">
        <f>INDEX('2_Clean_Data'!$H$2:$H$1360,MATCH($A292,'2_Clean_Data'!$A$2:$A$1360,0))</f>
        <v>41</v>
      </c>
      <c r="H292" s="9" t="str">
        <f t="shared" si="17"/>
        <v>Low</v>
      </c>
      <c r="I292" s="9" t="str">
        <f t="shared" si="18"/>
        <v>OK</v>
      </c>
      <c r="J292" s="9" t="str">
        <f t="shared" si="19"/>
        <v>Solid</v>
      </c>
    </row>
    <row r="293" spans="1:10" x14ac:dyDescent="0.3">
      <c r="A293" s="10">
        <f>'2_Clean_Data'!A290</f>
        <v>289</v>
      </c>
      <c r="B293" s="10">
        <f>INDEX('2_Clean_Data'!$M$2:$M$1360,MATCH($A293,'2_Clean_Data'!$A$2:$A$1360,0))</f>
        <v>6</v>
      </c>
      <c r="C293" s="9" t="str">
        <f t="shared" si="16"/>
        <v>Above Average</v>
      </c>
      <c r="D293" s="11">
        <f>INDEX('2_Clean_Data'!$L$2:$L$1360,MATCH($A293,'2_Clean_Data'!$A$2:$A$1360,0))</f>
        <v>9.4</v>
      </c>
      <c r="E293" s="9" t="str">
        <f>IF(D293&lt;'3_Summary_Tables'!$C$16,"Low",IF(D293&lt;'3_Summary_Tables'!$C$17,"Medium","High"))</f>
        <v>Low</v>
      </c>
      <c r="F293" s="12">
        <f>INDEX('2_Clean_Data'!$C$2:$C$1360,MATCH($A293,'2_Clean_Data'!$A$2:$A$1360,0))</f>
        <v>0.57999999999999996</v>
      </c>
      <c r="G293" s="10">
        <f>INDEX('2_Clean_Data'!$H$2:$H$1360,MATCH($A293,'2_Clean_Data'!$A$2:$A$1360,0))</f>
        <v>114</v>
      </c>
      <c r="H293" s="9" t="str">
        <f t="shared" si="17"/>
        <v>High</v>
      </c>
      <c r="I293" s="9" t="str">
        <f t="shared" si="18"/>
        <v>OK</v>
      </c>
      <c r="J293" s="9" t="str">
        <f t="shared" si="19"/>
        <v>Solid</v>
      </c>
    </row>
    <row r="294" spans="1:10" x14ac:dyDescent="0.3">
      <c r="A294" s="10">
        <f>'2_Clean_Data'!A291</f>
        <v>290</v>
      </c>
      <c r="B294" s="10">
        <f>INDEX('2_Clean_Data'!$M$2:$M$1360,MATCH($A294,'2_Clean_Data'!$A$2:$A$1360,0))</f>
        <v>5</v>
      </c>
      <c r="C294" s="9" t="str">
        <f t="shared" si="16"/>
        <v>Average</v>
      </c>
      <c r="D294" s="11">
        <f>INDEX('2_Clean_Data'!$L$2:$L$1360,MATCH($A294,'2_Clean_Data'!$A$2:$A$1360,0))</f>
        <v>11</v>
      </c>
      <c r="E294" s="9" t="str">
        <f>IF(D294&lt;'3_Summary_Tables'!$C$16,"Low",IF(D294&lt;'3_Summary_Tables'!$C$17,"Medium","High"))</f>
        <v>Medium</v>
      </c>
      <c r="F294" s="12">
        <f>INDEX('2_Clean_Data'!$C$2:$C$1360,MATCH($A294,'2_Clean_Data'!$A$2:$A$1360,0))</f>
        <v>0.56000000000000005</v>
      </c>
      <c r="G294" s="10">
        <f>INDEX('2_Clean_Data'!$H$2:$H$1360,MATCH($A294,'2_Clean_Data'!$A$2:$A$1360,0))</f>
        <v>44</v>
      </c>
      <c r="H294" s="9" t="str">
        <f t="shared" si="17"/>
        <v>Low</v>
      </c>
      <c r="I294" s="9" t="str">
        <f t="shared" si="18"/>
        <v>OK</v>
      </c>
      <c r="J294" s="9" t="str">
        <f t="shared" si="19"/>
        <v>Standard</v>
      </c>
    </row>
    <row r="295" spans="1:10" x14ac:dyDescent="0.3">
      <c r="A295" s="10">
        <f>'2_Clean_Data'!A292</f>
        <v>291</v>
      </c>
      <c r="B295" s="10">
        <f>INDEX('2_Clean_Data'!$M$2:$M$1360,MATCH($A295,'2_Clean_Data'!$A$2:$A$1360,0))</f>
        <v>7</v>
      </c>
      <c r="C295" s="9" t="str">
        <f t="shared" si="16"/>
        <v>Good</v>
      </c>
      <c r="D295" s="11">
        <f>INDEX('2_Clean_Data'!$L$2:$L$1360,MATCH($A295,'2_Clean_Data'!$A$2:$A$1360,0))</f>
        <v>11.7</v>
      </c>
      <c r="E295" s="9" t="str">
        <f>IF(D295&lt;'3_Summary_Tables'!$C$16,"Low",IF(D295&lt;'3_Summary_Tables'!$C$17,"Medium","High"))</f>
        <v>High</v>
      </c>
      <c r="F295" s="12">
        <f>INDEX('2_Clean_Data'!$C$2:$C$1360,MATCH($A295,'2_Clean_Data'!$A$2:$A$1360,0))</f>
        <v>0.65</v>
      </c>
      <c r="G295" s="10">
        <f>INDEX('2_Clean_Data'!$H$2:$H$1360,MATCH($A295,'2_Clean_Data'!$A$2:$A$1360,0))</f>
        <v>38</v>
      </c>
      <c r="H295" s="9" t="str">
        <f t="shared" si="17"/>
        <v>Low</v>
      </c>
      <c r="I295" s="9" t="str">
        <f t="shared" si="18"/>
        <v>OK</v>
      </c>
      <c r="J295" s="9" t="str">
        <f t="shared" si="19"/>
        <v>Premium</v>
      </c>
    </row>
    <row r="296" spans="1:10" x14ac:dyDescent="0.3">
      <c r="A296" s="10">
        <f>'2_Clean_Data'!A293</f>
        <v>292</v>
      </c>
      <c r="B296" s="10">
        <f>INDEX('2_Clean_Data'!$M$2:$M$1360,MATCH($A296,'2_Clean_Data'!$A$2:$A$1360,0))</f>
        <v>7</v>
      </c>
      <c r="C296" s="9" t="str">
        <f t="shared" si="16"/>
        <v>Good</v>
      </c>
      <c r="D296" s="11">
        <f>INDEX('2_Clean_Data'!$L$2:$L$1360,MATCH($A296,'2_Clean_Data'!$A$2:$A$1360,0))</f>
        <v>12.2</v>
      </c>
      <c r="E296" s="9" t="str">
        <f>IF(D296&lt;'3_Summary_Tables'!$C$16,"Low",IF(D296&lt;'3_Summary_Tables'!$C$17,"Medium","High"))</f>
        <v>High</v>
      </c>
      <c r="F296" s="12">
        <f>INDEX('2_Clean_Data'!$C$2:$C$1360,MATCH($A296,'2_Clean_Data'!$A$2:$A$1360,0))</f>
        <v>0.69499999999999995</v>
      </c>
      <c r="G296" s="10">
        <f>INDEX('2_Clean_Data'!$H$2:$H$1360,MATCH($A296,'2_Clean_Data'!$A$2:$A$1360,0))</f>
        <v>21</v>
      </c>
      <c r="H296" s="9" t="str">
        <f t="shared" si="17"/>
        <v>Low</v>
      </c>
      <c r="I296" s="9" t="str">
        <f t="shared" si="18"/>
        <v>OK</v>
      </c>
      <c r="J296" s="9" t="str">
        <f t="shared" si="19"/>
        <v>Premium</v>
      </c>
    </row>
    <row r="297" spans="1:10" x14ac:dyDescent="0.3">
      <c r="A297" s="10">
        <f>'2_Clean_Data'!A294</f>
        <v>293</v>
      </c>
      <c r="B297" s="10">
        <f>INDEX('2_Clean_Data'!$M$2:$M$1360,MATCH($A297,'2_Clean_Data'!$A$2:$A$1360,0))</f>
        <v>6</v>
      </c>
      <c r="C297" s="9" t="str">
        <f t="shared" si="16"/>
        <v>Above Average</v>
      </c>
      <c r="D297" s="11">
        <f>INDEX('2_Clean_Data'!$L$2:$L$1360,MATCH($A297,'2_Clean_Data'!$A$2:$A$1360,0))</f>
        <v>12.5</v>
      </c>
      <c r="E297" s="9" t="str">
        <f>IF(D297&lt;'3_Summary_Tables'!$C$16,"Low",IF(D297&lt;'3_Summary_Tables'!$C$17,"Medium","High"))</f>
        <v>High</v>
      </c>
      <c r="F297" s="12">
        <f>INDEX('2_Clean_Data'!$C$2:$C$1360,MATCH($A297,'2_Clean_Data'!$A$2:$A$1360,0))</f>
        <v>0.43</v>
      </c>
      <c r="G297" s="10">
        <f>INDEX('2_Clean_Data'!$H$2:$H$1360,MATCH($A297,'2_Clean_Data'!$A$2:$A$1360,0))</f>
        <v>16</v>
      </c>
      <c r="H297" s="9" t="str">
        <f t="shared" si="17"/>
        <v>Low</v>
      </c>
      <c r="I297" s="9" t="str">
        <f t="shared" si="18"/>
        <v>OK</v>
      </c>
      <c r="J297" s="9" t="str">
        <f t="shared" si="19"/>
        <v>Solid</v>
      </c>
    </row>
    <row r="298" spans="1:10" x14ac:dyDescent="0.3">
      <c r="A298" s="10">
        <f>'2_Clean_Data'!A295</f>
        <v>294</v>
      </c>
      <c r="B298" s="10">
        <f>INDEX('2_Clean_Data'!$M$2:$M$1360,MATCH($A298,'2_Clean_Data'!$A$2:$A$1360,0))</f>
        <v>5</v>
      </c>
      <c r="C298" s="9" t="str">
        <f t="shared" si="16"/>
        <v>Average</v>
      </c>
      <c r="D298" s="11">
        <f>INDEX('2_Clean_Data'!$L$2:$L$1360,MATCH($A298,'2_Clean_Data'!$A$2:$A$1360,0))</f>
        <v>10.3</v>
      </c>
      <c r="E298" s="9" t="str">
        <f>IF(D298&lt;'3_Summary_Tables'!$C$16,"Low",IF(D298&lt;'3_Summary_Tables'!$C$17,"Medium","High"))</f>
        <v>Medium</v>
      </c>
      <c r="F298" s="12">
        <f>INDEX('2_Clean_Data'!$C$2:$C$1360,MATCH($A298,'2_Clean_Data'!$A$2:$A$1360,0))</f>
        <v>0.43</v>
      </c>
      <c r="G298" s="10">
        <f>INDEX('2_Clean_Data'!$H$2:$H$1360,MATCH($A298,'2_Clean_Data'!$A$2:$A$1360,0))</f>
        <v>58</v>
      </c>
      <c r="H298" s="9" t="str">
        <f t="shared" si="17"/>
        <v>Moderate</v>
      </c>
      <c r="I298" s="9" t="str">
        <f t="shared" si="18"/>
        <v>OK</v>
      </c>
      <c r="J298" s="9" t="str">
        <f t="shared" si="19"/>
        <v>Standard</v>
      </c>
    </row>
    <row r="299" spans="1:10" x14ac:dyDescent="0.3">
      <c r="A299" s="10">
        <f>'2_Clean_Data'!A296</f>
        <v>295</v>
      </c>
      <c r="B299" s="10">
        <f>INDEX('2_Clean_Data'!$M$2:$M$1360,MATCH($A299,'2_Clean_Data'!$A$2:$A$1360,0))</f>
        <v>6</v>
      </c>
      <c r="C299" s="9" t="str">
        <f t="shared" si="16"/>
        <v>Above Average</v>
      </c>
      <c r="D299" s="11">
        <f>INDEX('2_Clean_Data'!$L$2:$L$1360,MATCH($A299,'2_Clean_Data'!$A$2:$A$1360,0))</f>
        <v>11.5</v>
      </c>
      <c r="E299" s="9" t="str">
        <f>IF(D299&lt;'3_Summary_Tables'!$C$16,"Low",IF(D299&lt;'3_Summary_Tables'!$C$17,"Medium","High"))</f>
        <v>High</v>
      </c>
      <c r="F299" s="12">
        <f>INDEX('2_Clean_Data'!$C$2:$C$1360,MATCH($A299,'2_Clean_Data'!$A$2:$A$1360,0))</f>
        <v>0.49</v>
      </c>
      <c r="G299" s="10">
        <f>INDEX('2_Clean_Data'!$H$2:$H$1360,MATCH($A299,'2_Clean_Data'!$A$2:$A$1360,0))</f>
        <v>99</v>
      </c>
      <c r="H299" s="9" t="str">
        <f t="shared" si="17"/>
        <v>Moderate</v>
      </c>
      <c r="I299" s="9" t="str">
        <f t="shared" si="18"/>
        <v>OK</v>
      </c>
      <c r="J299" s="9" t="str">
        <f t="shared" si="19"/>
        <v>Solid</v>
      </c>
    </row>
    <row r="300" spans="1:10" x14ac:dyDescent="0.3">
      <c r="A300" s="10">
        <f>'2_Clean_Data'!A297</f>
        <v>296</v>
      </c>
      <c r="B300" s="10">
        <f>INDEX('2_Clean_Data'!$M$2:$M$1360,MATCH($A300,'2_Clean_Data'!$A$2:$A$1360,0))</f>
        <v>7</v>
      </c>
      <c r="C300" s="9" t="str">
        <f t="shared" si="16"/>
        <v>Good</v>
      </c>
      <c r="D300" s="11">
        <f>INDEX('2_Clean_Data'!$L$2:$L$1360,MATCH($A300,'2_Clean_Data'!$A$2:$A$1360,0))</f>
        <v>9.8000000000000007</v>
      </c>
      <c r="E300" s="9" t="str">
        <f>IF(D300&lt;'3_Summary_Tables'!$C$16,"Low",IF(D300&lt;'3_Summary_Tables'!$C$17,"Medium","High"))</f>
        <v>Low</v>
      </c>
      <c r="F300" s="12">
        <f>INDEX('2_Clean_Data'!$C$2:$C$1360,MATCH($A300,'2_Clean_Data'!$A$2:$A$1360,0))</f>
        <v>0.28000000000000003</v>
      </c>
      <c r="G300" s="10">
        <f>INDEX('2_Clean_Data'!$H$2:$H$1360,MATCH($A300,'2_Clean_Data'!$A$2:$A$1360,0))</f>
        <v>29</v>
      </c>
      <c r="H300" s="9" t="str">
        <f t="shared" si="17"/>
        <v>Low</v>
      </c>
      <c r="I300" s="9" t="str">
        <f t="shared" si="18"/>
        <v>OK</v>
      </c>
      <c r="J300" s="9" t="str">
        <f t="shared" si="19"/>
        <v>Solid</v>
      </c>
    </row>
    <row r="301" spans="1:10" x14ac:dyDescent="0.3">
      <c r="A301" s="10">
        <f>'2_Clean_Data'!A298</f>
        <v>297</v>
      </c>
      <c r="B301" s="10">
        <f>INDEX('2_Clean_Data'!$M$2:$M$1360,MATCH($A301,'2_Clean_Data'!$A$2:$A$1360,0))</f>
        <v>6</v>
      </c>
      <c r="C301" s="9" t="str">
        <f t="shared" si="16"/>
        <v>Above Average</v>
      </c>
      <c r="D301" s="11">
        <f>INDEX('2_Clean_Data'!$L$2:$L$1360,MATCH($A301,'2_Clean_Data'!$A$2:$A$1360,0))</f>
        <v>9.1999999999999993</v>
      </c>
      <c r="E301" s="9" t="str">
        <f>IF(D301&lt;'3_Summary_Tables'!$C$16,"Low",IF(D301&lt;'3_Summary_Tables'!$C$17,"Medium","High"))</f>
        <v>Low</v>
      </c>
      <c r="F301" s="12">
        <f>INDEX('2_Clean_Data'!$C$2:$C$1360,MATCH($A301,'2_Clean_Data'!$A$2:$A$1360,0))</f>
        <v>0.34</v>
      </c>
      <c r="G301" s="10">
        <f>INDEX('2_Clean_Data'!$H$2:$H$1360,MATCH($A301,'2_Clean_Data'!$A$2:$A$1360,0))</f>
        <v>21</v>
      </c>
      <c r="H301" s="9" t="str">
        <f t="shared" si="17"/>
        <v>Low</v>
      </c>
      <c r="I301" s="9" t="str">
        <f t="shared" si="18"/>
        <v>OK</v>
      </c>
      <c r="J301" s="9" t="str">
        <f t="shared" si="19"/>
        <v>Solid</v>
      </c>
    </row>
    <row r="302" spans="1:10" x14ac:dyDescent="0.3">
      <c r="A302" s="10">
        <f>'2_Clean_Data'!A299</f>
        <v>298</v>
      </c>
      <c r="B302" s="10">
        <f>INDEX('2_Clean_Data'!$M$2:$M$1360,MATCH($A302,'2_Clean_Data'!$A$2:$A$1360,0))</f>
        <v>6</v>
      </c>
      <c r="C302" s="9" t="str">
        <f t="shared" si="16"/>
        <v>Above Average</v>
      </c>
      <c r="D302" s="11">
        <f>INDEX('2_Clean_Data'!$L$2:$L$1360,MATCH($A302,'2_Clean_Data'!$A$2:$A$1360,0))</f>
        <v>11.3</v>
      </c>
      <c r="E302" s="9" t="str">
        <f>IF(D302&lt;'3_Summary_Tables'!$C$16,"Low",IF(D302&lt;'3_Summary_Tables'!$C$17,"Medium","High"))</f>
        <v>Medium</v>
      </c>
      <c r="F302" s="12">
        <f>INDEX('2_Clean_Data'!$C$2:$C$1360,MATCH($A302,'2_Clean_Data'!$A$2:$A$1360,0))</f>
        <v>0.42</v>
      </c>
      <c r="G302" s="10">
        <f>INDEX('2_Clean_Data'!$H$2:$H$1360,MATCH($A302,'2_Clean_Data'!$A$2:$A$1360,0))</f>
        <v>18</v>
      </c>
      <c r="H302" s="9" t="str">
        <f t="shared" si="17"/>
        <v>Low</v>
      </c>
      <c r="I302" s="9" t="str">
        <f t="shared" si="18"/>
        <v>OK</v>
      </c>
      <c r="J302" s="9" t="str">
        <f t="shared" si="19"/>
        <v>Solid</v>
      </c>
    </row>
    <row r="303" spans="1:10" x14ac:dyDescent="0.3">
      <c r="A303" s="10">
        <f>'2_Clean_Data'!A300</f>
        <v>299</v>
      </c>
      <c r="B303" s="10">
        <f>INDEX('2_Clean_Data'!$M$2:$M$1360,MATCH($A303,'2_Clean_Data'!$A$2:$A$1360,0))</f>
        <v>6</v>
      </c>
      <c r="C303" s="9" t="str">
        <f t="shared" si="16"/>
        <v>Above Average</v>
      </c>
      <c r="D303" s="11">
        <f>INDEX('2_Clean_Data'!$L$2:$L$1360,MATCH($A303,'2_Clean_Data'!$A$2:$A$1360,0))</f>
        <v>9.8000000000000007</v>
      </c>
      <c r="E303" s="9" t="str">
        <f>IF(D303&lt;'3_Summary_Tables'!$C$16,"Low",IF(D303&lt;'3_Summary_Tables'!$C$17,"Medium","High"))</f>
        <v>Low</v>
      </c>
      <c r="F303" s="12">
        <f>INDEX('2_Clean_Data'!$C$2:$C$1360,MATCH($A303,'2_Clean_Data'!$A$2:$A$1360,0))</f>
        <v>0.39</v>
      </c>
      <c r="G303" s="10">
        <f>INDEX('2_Clean_Data'!$H$2:$H$1360,MATCH($A303,'2_Clean_Data'!$A$2:$A$1360,0))</f>
        <v>14</v>
      </c>
      <c r="H303" s="9" t="str">
        <f t="shared" si="17"/>
        <v>Low</v>
      </c>
      <c r="I303" s="9" t="str">
        <f t="shared" si="18"/>
        <v>OK</v>
      </c>
      <c r="J303" s="9" t="str">
        <f t="shared" si="19"/>
        <v>Solid</v>
      </c>
    </row>
    <row r="304" spans="1:10" x14ac:dyDescent="0.3">
      <c r="A304" s="10">
        <f>'2_Clean_Data'!A301</f>
        <v>300</v>
      </c>
      <c r="B304" s="10">
        <f>INDEX('2_Clean_Data'!$M$2:$M$1360,MATCH($A304,'2_Clean_Data'!$A$2:$A$1360,0))</f>
        <v>6</v>
      </c>
      <c r="C304" s="9" t="str">
        <f t="shared" si="16"/>
        <v>Above Average</v>
      </c>
      <c r="D304" s="11">
        <f>INDEX('2_Clean_Data'!$L$2:$L$1360,MATCH($A304,'2_Clean_Data'!$A$2:$A$1360,0))</f>
        <v>10.7</v>
      </c>
      <c r="E304" s="9" t="str">
        <f>IF(D304&lt;'3_Summary_Tables'!$C$16,"Low",IF(D304&lt;'3_Summary_Tables'!$C$17,"Medium","High"))</f>
        <v>Medium</v>
      </c>
      <c r="F304" s="12">
        <f>INDEX('2_Clean_Data'!$C$2:$C$1360,MATCH($A304,'2_Clean_Data'!$A$2:$A$1360,0))</f>
        <v>0.56999999999999995</v>
      </c>
      <c r="G304" s="10">
        <f>INDEX('2_Clean_Data'!$H$2:$H$1360,MATCH($A304,'2_Clean_Data'!$A$2:$A$1360,0))</f>
        <v>32</v>
      </c>
      <c r="H304" s="9" t="str">
        <f t="shared" si="17"/>
        <v>Low</v>
      </c>
      <c r="I304" s="9" t="str">
        <f t="shared" si="18"/>
        <v>OK</v>
      </c>
      <c r="J304" s="9" t="str">
        <f t="shared" si="19"/>
        <v>Solid</v>
      </c>
    </row>
    <row r="305" spans="1:10" x14ac:dyDescent="0.3">
      <c r="A305" s="10">
        <f>'2_Clean_Data'!A302</f>
        <v>301</v>
      </c>
      <c r="B305" s="10">
        <f>INDEX('2_Clean_Data'!$M$2:$M$1360,MATCH($A305,'2_Clean_Data'!$A$2:$A$1360,0))</f>
        <v>5</v>
      </c>
      <c r="C305" s="9" t="str">
        <f t="shared" si="16"/>
        <v>Average</v>
      </c>
      <c r="D305" s="11">
        <f>INDEX('2_Clean_Data'!$L$2:$L$1360,MATCH($A305,'2_Clean_Data'!$A$2:$A$1360,0))</f>
        <v>9.9</v>
      </c>
      <c r="E305" s="9" t="str">
        <f>IF(D305&lt;'3_Summary_Tables'!$C$16,"Low",IF(D305&lt;'3_Summary_Tables'!$C$17,"Medium","High"))</f>
        <v>Low</v>
      </c>
      <c r="F305" s="12">
        <f>INDEX('2_Clean_Data'!$C$2:$C$1360,MATCH($A305,'2_Clean_Data'!$A$2:$A$1360,0))</f>
        <v>0.68500000000000005</v>
      </c>
      <c r="G305" s="10">
        <f>INDEX('2_Clean_Data'!$H$2:$H$1360,MATCH($A305,'2_Clean_Data'!$A$2:$A$1360,0))</f>
        <v>63</v>
      </c>
      <c r="H305" s="9" t="str">
        <f t="shared" si="17"/>
        <v>Moderate</v>
      </c>
      <c r="I305" s="9" t="str">
        <f t="shared" si="18"/>
        <v>OK</v>
      </c>
      <c r="J305" s="9" t="str">
        <f t="shared" si="19"/>
        <v>Standard</v>
      </c>
    </row>
    <row r="306" spans="1:10" x14ac:dyDescent="0.3">
      <c r="A306" s="10">
        <f>'2_Clean_Data'!A303</f>
        <v>302</v>
      </c>
      <c r="B306" s="10">
        <f>INDEX('2_Clean_Data'!$M$2:$M$1360,MATCH($A306,'2_Clean_Data'!$A$2:$A$1360,0))</f>
        <v>7</v>
      </c>
      <c r="C306" s="9" t="str">
        <f t="shared" si="16"/>
        <v>Good</v>
      </c>
      <c r="D306" s="11">
        <f>INDEX('2_Clean_Data'!$L$2:$L$1360,MATCH($A306,'2_Clean_Data'!$A$2:$A$1360,0))</f>
        <v>12.3</v>
      </c>
      <c r="E306" s="9" t="str">
        <f>IF(D306&lt;'3_Summary_Tables'!$C$16,"Low",IF(D306&lt;'3_Summary_Tables'!$C$17,"Medium","High"))</f>
        <v>High</v>
      </c>
      <c r="F306" s="12">
        <f>INDEX('2_Clean_Data'!$C$2:$C$1360,MATCH($A306,'2_Clean_Data'!$A$2:$A$1360,0))</f>
        <v>0.81499999999999995</v>
      </c>
      <c r="G306" s="10">
        <f>INDEX('2_Clean_Data'!$H$2:$H$1360,MATCH($A306,'2_Clean_Data'!$A$2:$A$1360,0))</f>
        <v>34</v>
      </c>
      <c r="H306" s="9" t="str">
        <f t="shared" si="17"/>
        <v>Low</v>
      </c>
      <c r="I306" s="9" t="str">
        <f t="shared" si="18"/>
        <v>Above limit</v>
      </c>
      <c r="J306" s="9" t="str">
        <f t="shared" si="19"/>
        <v>Premium</v>
      </c>
    </row>
    <row r="307" spans="1:10" x14ac:dyDescent="0.3">
      <c r="A307" s="10">
        <f>'2_Clean_Data'!A304</f>
        <v>303</v>
      </c>
      <c r="B307" s="10">
        <f>INDEX('2_Clean_Data'!$M$2:$M$1360,MATCH($A307,'2_Clean_Data'!$A$2:$A$1360,0))</f>
        <v>6</v>
      </c>
      <c r="C307" s="9" t="str">
        <f t="shared" si="16"/>
        <v>Above Average</v>
      </c>
      <c r="D307" s="11">
        <f>INDEX('2_Clean_Data'!$L$2:$L$1360,MATCH($A307,'2_Clean_Data'!$A$2:$A$1360,0))</f>
        <v>12</v>
      </c>
      <c r="E307" s="9" t="str">
        <f>IF(D307&lt;'3_Summary_Tables'!$C$16,"Low",IF(D307&lt;'3_Summary_Tables'!$C$17,"Medium","High"))</f>
        <v>High</v>
      </c>
      <c r="F307" s="12">
        <f>INDEX('2_Clean_Data'!$C$2:$C$1360,MATCH($A307,'2_Clean_Data'!$A$2:$A$1360,0))</f>
        <v>0.49</v>
      </c>
      <c r="G307" s="10">
        <f>INDEX('2_Clean_Data'!$H$2:$H$1360,MATCH($A307,'2_Clean_Data'!$A$2:$A$1360,0))</f>
        <v>15</v>
      </c>
      <c r="H307" s="9" t="str">
        <f t="shared" si="17"/>
        <v>Low</v>
      </c>
      <c r="I307" s="9" t="str">
        <f t="shared" si="18"/>
        <v>OK</v>
      </c>
      <c r="J307" s="9" t="str">
        <f t="shared" si="19"/>
        <v>Solid</v>
      </c>
    </row>
    <row r="308" spans="1:10" x14ac:dyDescent="0.3">
      <c r="A308" s="10">
        <f>'2_Clean_Data'!A305</f>
        <v>304</v>
      </c>
      <c r="B308" s="10">
        <f>INDEX('2_Clean_Data'!$M$2:$M$1360,MATCH($A308,'2_Clean_Data'!$A$2:$A$1360,0))</f>
        <v>6</v>
      </c>
      <c r="C308" s="9" t="str">
        <f t="shared" si="16"/>
        <v>Above Average</v>
      </c>
      <c r="D308" s="11">
        <f>INDEX('2_Clean_Data'!$L$2:$L$1360,MATCH($A308,'2_Clean_Data'!$A$2:$A$1360,0))</f>
        <v>10</v>
      </c>
      <c r="E308" s="9" t="str">
        <f>IF(D308&lt;'3_Summary_Tables'!$C$16,"Low",IF(D308&lt;'3_Summary_Tables'!$C$17,"Medium","High"))</f>
        <v>Medium</v>
      </c>
      <c r="F308" s="12">
        <f>INDEX('2_Clean_Data'!$C$2:$C$1360,MATCH($A308,'2_Clean_Data'!$A$2:$A$1360,0))</f>
        <v>0.56000000000000005</v>
      </c>
      <c r="G308" s="10">
        <f>INDEX('2_Clean_Data'!$H$2:$H$1360,MATCH($A308,'2_Clean_Data'!$A$2:$A$1360,0))</f>
        <v>46</v>
      </c>
      <c r="H308" s="9" t="str">
        <f t="shared" si="17"/>
        <v>Low</v>
      </c>
      <c r="I308" s="9" t="str">
        <f t="shared" si="18"/>
        <v>OK</v>
      </c>
      <c r="J308" s="9" t="str">
        <f t="shared" si="19"/>
        <v>Solid</v>
      </c>
    </row>
    <row r="309" spans="1:10" x14ac:dyDescent="0.3">
      <c r="A309" s="10">
        <f>'2_Clean_Data'!A306</f>
        <v>305</v>
      </c>
      <c r="B309" s="10">
        <f>INDEX('2_Clean_Data'!$M$2:$M$1360,MATCH($A309,'2_Clean_Data'!$A$2:$A$1360,0))</f>
        <v>6</v>
      </c>
      <c r="C309" s="9" t="str">
        <f t="shared" si="16"/>
        <v>Above Average</v>
      </c>
      <c r="D309" s="11">
        <f>INDEX('2_Clean_Data'!$L$2:$L$1360,MATCH($A309,'2_Clean_Data'!$A$2:$A$1360,0))</f>
        <v>9.4</v>
      </c>
      <c r="E309" s="9" t="str">
        <f>IF(D309&lt;'3_Summary_Tables'!$C$16,"Low",IF(D309&lt;'3_Summary_Tables'!$C$17,"Medium","High"))</f>
        <v>Low</v>
      </c>
      <c r="F309" s="12">
        <f>INDEX('2_Clean_Data'!$C$2:$C$1360,MATCH($A309,'2_Clean_Data'!$A$2:$A$1360,0))</f>
        <v>0.78500000000000003</v>
      </c>
      <c r="G309" s="10">
        <f>INDEX('2_Clean_Data'!$H$2:$H$1360,MATCH($A309,'2_Clean_Data'!$A$2:$A$1360,0))</f>
        <v>28</v>
      </c>
      <c r="H309" s="9" t="str">
        <f t="shared" si="17"/>
        <v>Low</v>
      </c>
      <c r="I309" s="9" t="str">
        <f t="shared" si="18"/>
        <v>Above limit</v>
      </c>
      <c r="J309" s="9" t="str">
        <f t="shared" si="19"/>
        <v>Standard</v>
      </c>
    </row>
    <row r="310" spans="1:10" x14ac:dyDescent="0.3">
      <c r="A310" s="10">
        <f>'2_Clean_Data'!A307</f>
        <v>306</v>
      </c>
      <c r="B310" s="10">
        <f>INDEX('2_Clean_Data'!$M$2:$M$1360,MATCH($A310,'2_Clean_Data'!$A$2:$A$1360,0))</f>
        <v>6</v>
      </c>
      <c r="C310" s="9" t="str">
        <f t="shared" si="16"/>
        <v>Above Average</v>
      </c>
      <c r="D310" s="11">
        <f>INDEX('2_Clean_Data'!$L$2:$L$1360,MATCH($A310,'2_Clean_Data'!$A$2:$A$1360,0))</f>
        <v>9.9</v>
      </c>
      <c r="E310" s="9" t="str">
        <f>IF(D310&lt;'3_Summary_Tables'!$C$16,"Low",IF(D310&lt;'3_Summary_Tables'!$C$17,"Medium","High"))</f>
        <v>Low</v>
      </c>
      <c r="F310" s="12">
        <f>INDEX('2_Clean_Data'!$C$2:$C$1360,MATCH($A310,'2_Clean_Data'!$A$2:$A$1360,0))</f>
        <v>0.67</v>
      </c>
      <c r="G310" s="10">
        <f>INDEX('2_Clean_Data'!$H$2:$H$1360,MATCH($A310,'2_Clean_Data'!$A$2:$A$1360,0))</f>
        <v>34</v>
      </c>
      <c r="H310" s="9" t="str">
        <f t="shared" si="17"/>
        <v>Low</v>
      </c>
      <c r="I310" s="9" t="str">
        <f t="shared" si="18"/>
        <v>OK</v>
      </c>
      <c r="J310" s="9" t="str">
        <f t="shared" si="19"/>
        <v>Solid</v>
      </c>
    </row>
    <row r="311" spans="1:10" x14ac:dyDescent="0.3">
      <c r="A311" s="10">
        <f>'2_Clean_Data'!A308</f>
        <v>307</v>
      </c>
      <c r="B311" s="10">
        <f>INDEX('2_Clean_Data'!$M$2:$M$1360,MATCH($A311,'2_Clean_Data'!$A$2:$A$1360,0))</f>
        <v>6</v>
      </c>
      <c r="C311" s="9" t="str">
        <f t="shared" si="16"/>
        <v>Above Average</v>
      </c>
      <c r="D311" s="11">
        <f>INDEX('2_Clean_Data'!$L$2:$L$1360,MATCH($A311,'2_Clean_Data'!$A$2:$A$1360,0))</f>
        <v>9.4</v>
      </c>
      <c r="E311" s="9" t="str">
        <f>IF(D311&lt;'3_Summary_Tables'!$C$16,"Low",IF(D311&lt;'3_Summary_Tables'!$C$17,"Medium","High"))</f>
        <v>Low</v>
      </c>
      <c r="F311" s="12">
        <f>INDEX('2_Clean_Data'!$C$2:$C$1360,MATCH($A311,'2_Clean_Data'!$A$2:$A$1360,0))</f>
        <v>0.79500000000000004</v>
      </c>
      <c r="G311" s="10">
        <f>INDEX('2_Clean_Data'!$H$2:$H$1360,MATCH($A311,'2_Clean_Data'!$A$2:$A$1360,0))</f>
        <v>26</v>
      </c>
      <c r="H311" s="9" t="str">
        <f t="shared" si="17"/>
        <v>Low</v>
      </c>
      <c r="I311" s="9" t="str">
        <f t="shared" si="18"/>
        <v>Above limit</v>
      </c>
      <c r="J311" s="9" t="str">
        <f t="shared" si="19"/>
        <v>Standard</v>
      </c>
    </row>
    <row r="312" spans="1:10" x14ac:dyDescent="0.3">
      <c r="A312" s="10">
        <f>'2_Clean_Data'!A309</f>
        <v>308</v>
      </c>
      <c r="B312" s="10">
        <f>INDEX('2_Clean_Data'!$M$2:$M$1360,MATCH($A312,'2_Clean_Data'!$A$2:$A$1360,0))</f>
        <v>5</v>
      </c>
      <c r="C312" s="9" t="str">
        <f t="shared" si="16"/>
        <v>Average</v>
      </c>
      <c r="D312" s="11">
        <f>INDEX('2_Clean_Data'!$L$2:$L$1360,MATCH($A312,'2_Clean_Data'!$A$2:$A$1360,0))</f>
        <v>9.3000000000000007</v>
      </c>
      <c r="E312" s="9" t="str">
        <f>IF(D312&lt;'3_Summary_Tables'!$C$16,"Low",IF(D312&lt;'3_Summary_Tables'!$C$17,"Medium","High"))</f>
        <v>Low</v>
      </c>
      <c r="F312" s="12">
        <f>INDEX('2_Clean_Data'!$C$2:$C$1360,MATCH($A312,'2_Clean_Data'!$A$2:$A$1360,0))</f>
        <v>0.66500000000000004</v>
      </c>
      <c r="G312" s="10">
        <f>INDEX('2_Clean_Data'!$H$2:$H$1360,MATCH($A312,'2_Clean_Data'!$A$2:$A$1360,0))</f>
        <v>19</v>
      </c>
      <c r="H312" s="9" t="str">
        <f t="shared" si="17"/>
        <v>Low</v>
      </c>
      <c r="I312" s="9" t="str">
        <f t="shared" si="18"/>
        <v>OK</v>
      </c>
      <c r="J312" s="9" t="str">
        <f t="shared" si="19"/>
        <v>Standard</v>
      </c>
    </row>
    <row r="313" spans="1:10" x14ac:dyDescent="0.3">
      <c r="A313" s="10">
        <f>'2_Clean_Data'!A310</f>
        <v>309</v>
      </c>
      <c r="B313" s="10">
        <f>INDEX('2_Clean_Data'!$M$2:$M$1360,MATCH($A313,'2_Clean_Data'!$A$2:$A$1360,0))</f>
        <v>5</v>
      </c>
      <c r="C313" s="9" t="str">
        <f t="shared" si="16"/>
        <v>Average</v>
      </c>
      <c r="D313" s="11">
        <f>INDEX('2_Clean_Data'!$L$2:$L$1360,MATCH($A313,'2_Clean_Data'!$A$2:$A$1360,0))</f>
        <v>13</v>
      </c>
      <c r="E313" s="9" t="str">
        <f>IF(D313&lt;'3_Summary_Tables'!$C$16,"Low",IF(D313&lt;'3_Summary_Tables'!$C$17,"Medium","High"))</f>
        <v>High</v>
      </c>
      <c r="F313" s="12">
        <f>INDEX('2_Clean_Data'!$C$2:$C$1360,MATCH($A313,'2_Clean_Data'!$A$2:$A$1360,0))</f>
        <v>0.53</v>
      </c>
      <c r="G313" s="10">
        <f>INDEX('2_Clean_Data'!$H$2:$H$1360,MATCH($A313,'2_Clean_Data'!$A$2:$A$1360,0))</f>
        <v>77</v>
      </c>
      <c r="H313" s="9" t="str">
        <f t="shared" si="17"/>
        <v>Moderate</v>
      </c>
      <c r="I313" s="9" t="str">
        <f t="shared" si="18"/>
        <v>OK</v>
      </c>
      <c r="J313" s="9" t="str">
        <f t="shared" si="19"/>
        <v>Standard</v>
      </c>
    </row>
    <row r="314" spans="1:10" x14ac:dyDescent="0.3">
      <c r="A314" s="10">
        <f>'2_Clean_Data'!A311</f>
        <v>310</v>
      </c>
      <c r="B314" s="10">
        <f>INDEX('2_Clean_Data'!$M$2:$M$1360,MATCH($A314,'2_Clean_Data'!$A$2:$A$1360,0))</f>
        <v>6</v>
      </c>
      <c r="C314" s="9" t="str">
        <f t="shared" si="16"/>
        <v>Above Average</v>
      </c>
      <c r="D314" s="11">
        <f>INDEX('2_Clean_Data'!$L$2:$L$1360,MATCH($A314,'2_Clean_Data'!$A$2:$A$1360,0))</f>
        <v>11.9</v>
      </c>
      <c r="E314" s="9" t="str">
        <f>IF(D314&lt;'3_Summary_Tables'!$C$16,"Low",IF(D314&lt;'3_Summary_Tables'!$C$17,"Medium","High"))</f>
        <v>High</v>
      </c>
      <c r="F314" s="12">
        <f>INDEX('2_Clean_Data'!$C$2:$C$1360,MATCH($A314,'2_Clean_Data'!$A$2:$A$1360,0))</f>
        <v>0.21</v>
      </c>
      <c r="G314" s="10">
        <f>INDEX('2_Clean_Data'!$H$2:$H$1360,MATCH($A314,'2_Clean_Data'!$A$2:$A$1360,0))</f>
        <v>165</v>
      </c>
      <c r="H314" s="9" t="str">
        <f t="shared" si="17"/>
        <v>High</v>
      </c>
      <c r="I314" s="9" t="str">
        <f t="shared" si="18"/>
        <v>OK</v>
      </c>
      <c r="J314" s="9" t="str">
        <f t="shared" si="19"/>
        <v>Solid</v>
      </c>
    </row>
    <row r="315" spans="1:10" x14ac:dyDescent="0.3">
      <c r="A315" s="10">
        <f>'2_Clean_Data'!A312</f>
        <v>311</v>
      </c>
      <c r="B315" s="10">
        <f>INDEX('2_Clean_Data'!$M$2:$M$1360,MATCH($A315,'2_Clean_Data'!$A$2:$A$1360,0))</f>
        <v>6</v>
      </c>
      <c r="C315" s="9" t="str">
        <f t="shared" si="16"/>
        <v>Above Average</v>
      </c>
      <c r="D315" s="11">
        <f>INDEX('2_Clean_Data'!$L$2:$L$1360,MATCH($A315,'2_Clean_Data'!$A$2:$A$1360,0))</f>
        <v>12.8</v>
      </c>
      <c r="E315" s="9" t="str">
        <f>IF(D315&lt;'3_Summary_Tables'!$C$16,"Low",IF(D315&lt;'3_Summary_Tables'!$C$17,"Medium","High"))</f>
        <v>High</v>
      </c>
      <c r="F315" s="12">
        <f>INDEX('2_Clean_Data'!$C$2:$C$1360,MATCH($A315,'2_Clean_Data'!$A$2:$A$1360,0))</f>
        <v>0.75</v>
      </c>
      <c r="G315" s="10">
        <f>INDEX('2_Clean_Data'!$H$2:$H$1360,MATCH($A315,'2_Clean_Data'!$A$2:$A$1360,0))</f>
        <v>32</v>
      </c>
      <c r="H315" s="9" t="str">
        <f t="shared" si="17"/>
        <v>Low</v>
      </c>
      <c r="I315" s="9" t="str">
        <f t="shared" si="18"/>
        <v>Above limit</v>
      </c>
      <c r="J315" s="9" t="str">
        <f t="shared" si="19"/>
        <v>Standard</v>
      </c>
    </row>
    <row r="316" spans="1:10" x14ac:dyDescent="0.3">
      <c r="A316" s="10">
        <f>'2_Clean_Data'!A313</f>
        <v>312</v>
      </c>
      <c r="B316" s="10">
        <f>INDEX('2_Clean_Data'!$M$2:$M$1360,MATCH($A316,'2_Clean_Data'!$A$2:$A$1360,0))</f>
        <v>5</v>
      </c>
      <c r="C316" s="9" t="str">
        <f t="shared" si="16"/>
        <v>Average</v>
      </c>
      <c r="D316" s="11">
        <f>INDEX('2_Clean_Data'!$L$2:$L$1360,MATCH($A316,'2_Clean_Data'!$A$2:$A$1360,0))</f>
        <v>11</v>
      </c>
      <c r="E316" s="9" t="str">
        <f>IF(D316&lt;'3_Summary_Tables'!$C$16,"Low",IF(D316&lt;'3_Summary_Tables'!$C$17,"Medium","High"))</f>
        <v>Medium</v>
      </c>
      <c r="F316" s="12">
        <f>INDEX('2_Clean_Data'!$C$2:$C$1360,MATCH($A316,'2_Clean_Data'!$A$2:$A$1360,0))</f>
        <v>0.41</v>
      </c>
      <c r="G316" s="10">
        <f>INDEX('2_Clean_Data'!$H$2:$H$1360,MATCH($A316,'2_Clean_Data'!$A$2:$A$1360,0))</f>
        <v>55</v>
      </c>
      <c r="H316" s="9" t="str">
        <f t="shared" si="17"/>
        <v>Moderate</v>
      </c>
      <c r="I316" s="9" t="str">
        <f t="shared" si="18"/>
        <v>OK</v>
      </c>
      <c r="J316" s="9" t="str">
        <f t="shared" si="19"/>
        <v>Standard</v>
      </c>
    </row>
    <row r="317" spans="1:10" x14ac:dyDescent="0.3">
      <c r="A317" s="10">
        <f>'2_Clean_Data'!A314</f>
        <v>313</v>
      </c>
      <c r="B317" s="10">
        <f>INDEX('2_Clean_Data'!$M$2:$M$1360,MATCH($A317,'2_Clean_Data'!$A$2:$A$1360,0))</f>
        <v>7</v>
      </c>
      <c r="C317" s="9" t="str">
        <f t="shared" si="16"/>
        <v>Good</v>
      </c>
      <c r="D317" s="11">
        <f>INDEX('2_Clean_Data'!$L$2:$L$1360,MATCH($A317,'2_Clean_Data'!$A$2:$A$1360,0))</f>
        <v>11.7</v>
      </c>
      <c r="E317" s="9" t="str">
        <f>IF(D317&lt;'3_Summary_Tables'!$C$16,"Low",IF(D317&lt;'3_Summary_Tables'!$C$17,"Medium","High"))</f>
        <v>High</v>
      </c>
      <c r="F317" s="12">
        <f>INDEX('2_Clean_Data'!$C$2:$C$1360,MATCH($A317,'2_Clean_Data'!$A$2:$A$1360,0))</f>
        <v>0.42</v>
      </c>
      <c r="G317" s="10">
        <f>INDEX('2_Clean_Data'!$H$2:$H$1360,MATCH($A317,'2_Clean_Data'!$A$2:$A$1360,0))</f>
        <v>29</v>
      </c>
      <c r="H317" s="9" t="str">
        <f t="shared" si="17"/>
        <v>Low</v>
      </c>
      <c r="I317" s="9" t="str">
        <f t="shared" si="18"/>
        <v>OK</v>
      </c>
      <c r="J317" s="9" t="str">
        <f t="shared" si="19"/>
        <v>Premium</v>
      </c>
    </row>
    <row r="318" spans="1:10" x14ac:dyDescent="0.3">
      <c r="A318" s="10">
        <f>'2_Clean_Data'!A315</f>
        <v>314</v>
      </c>
      <c r="B318" s="10">
        <f>INDEX('2_Clean_Data'!$M$2:$M$1360,MATCH($A318,'2_Clean_Data'!$A$2:$A$1360,0))</f>
        <v>7</v>
      </c>
      <c r="C318" s="9" t="str">
        <f t="shared" si="16"/>
        <v>Good</v>
      </c>
      <c r="D318" s="11">
        <f>INDEX('2_Clean_Data'!$L$2:$L$1360,MATCH($A318,'2_Clean_Data'!$A$2:$A$1360,0))</f>
        <v>10.4</v>
      </c>
      <c r="E318" s="9" t="str">
        <f>IF(D318&lt;'3_Summary_Tables'!$C$16,"Low",IF(D318&lt;'3_Summary_Tables'!$C$17,"Medium","High"))</f>
        <v>Medium</v>
      </c>
      <c r="F318" s="12">
        <f>INDEX('2_Clean_Data'!$C$2:$C$1360,MATCH($A318,'2_Clean_Data'!$A$2:$A$1360,0))</f>
        <v>0.43</v>
      </c>
      <c r="G318" s="10">
        <f>INDEX('2_Clean_Data'!$H$2:$H$1360,MATCH($A318,'2_Clean_Data'!$A$2:$A$1360,0))</f>
        <v>23</v>
      </c>
      <c r="H318" s="9" t="str">
        <f t="shared" si="17"/>
        <v>Low</v>
      </c>
      <c r="I318" s="9" t="str">
        <f t="shared" si="18"/>
        <v>OK</v>
      </c>
      <c r="J318" s="9" t="str">
        <f t="shared" si="19"/>
        <v>Solid</v>
      </c>
    </row>
    <row r="319" spans="1:10" x14ac:dyDescent="0.3">
      <c r="A319" s="10">
        <f>'2_Clean_Data'!A316</f>
        <v>315</v>
      </c>
      <c r="B319" s="10">
        <f>INDEX('2_Clean_Data'!$M$2:$M$1360,MATCH($A319,'2_Clean_Data'!$A$2:$A$1360,0))</f>
        <v>6</v>
      </c>
      <c r="C319" s="9" t="str">
        <f t="shared" si="16"/>
        <v>Above Average</v>
      </c>
      <c r="D319" s="11">
        <f>INDEX('2_Clean_Data'!$L$2:$L$1360,MATCH($A319,'2_Clean_Data'!$A$2:$A$1360,0))</f>
        <v>9.8000000000000007</v>
      </c>
      <c r="E319" s="9" t="str">
        <f>IF(D319&lt;'3_Summary_Tables'!$C$16,"Low",IF(D319&lt;'3_Summary_Tables'!$C$17,"Medium","High"))</f>
        <v>Low</v>
      </c>
      <c r="F319" s="12">
        <f>INDEX('2_Clean_Data'!$C$2:$C$1360,MATCH($A319,'2_Clean_Data'!$A$2:$A$1360,0))</f>
        <v>0.38</v>
      </c>
      <c r="G319" s="10">
        <f>INDEX('2_Clean_Data'!$H$2:$H$1360,MATCH($A319,'2_Clean_Data'!$A$2:$A$1360,0))</f>
        <v>41</v>
      </c>
      <c r="H319" s="9" t="str">
        <f t="shared" si="17"/>
        <v>Low</v>
      </c>
      <c r="I319" s="9" t="str">
        <f t="shared" si="18"/>
        <v>OK</v>
      </c>
      <c r="J319" s="9" t="str">
        <f t="shared" si="19"/>
        <v>Solid</v>
      </c>
    </row>
    <row r="320" spans="1:10" x14ac:dyDescent="0.3">
      <c r="A320" s="10">
        <f>'2_Clean_Data'!A317</f>
        <v>316</v>
      </c>
      <c r="B320" s="10">
        <f>INDEX('2_Clean_Data'!$M$2:$M$1360,MATCH($A320,'2_Clean_Data'!$A$2:$A$1360,0))</f>
        <v>5</v>
      </c>
      <c r="C320" s="9" t="str">
        <f t="shared" si="16"/>
        <v>Average</v>
      </c>
      <c r="D320" s="11">
        <f>INDEX('2_Clean_Data'!$L$2:$L$1360,MATCH($A320,'2_Clean_Data'!$A$2:$A$1360,0))</f>
        <v>9.4</v>
      </c>
      <c r="E320" s="9" t="str">
        <f>IF(D320&lt;'3_Summary_Tables'!$C$16,"Low",IF(D320&lt;'3_Summary_Tables'!$C$17,"Medium","High"))</f>
        <v>Low</v>
      </c>
      <c r="F320" s="12">
        <f>INDEX('2_Clean_Data'!$C$2:$C$1360,MATCH($A320,'2_Clean_Data'!$A$2:$A$1360,0))</f>
        <v>0.7</v>
      </c>
      <c r="G320" s="10">
        <f>INDEX('2_Clean_Data'!$H$2:$H$1360,MATCH($A320,'2_Clean_Data'!$A$2:$A$1360,0))</f>
        <v>81</v>
      </c>
      <c r="H320" s="9" t="str">
        <f t="shared" si="17"/>
        <v>Moderate</v>
      </c>
      <c r="I320" s="9" t="str">
        <f t="shared" si="18"/>
        <v>OK</v>
      </c>
      <c r="J320" s="9" t="str">
        <f t="shared" si="19"/>
        <v>Standard</v>
      </c>
    </row>
    <row r="321" spans="1:10" x14ac:dyDescent="0.3">
      <c r="A321" s="10">
        <f>'2_Clean_Data'!A318</f>
        <v>317</v>
      </c>
      <c r="B321" s="10">
        <f>INDEX('2_Clean_Data'!$M$2:$M$1360,MATCH($A321,'2_Clean_Data'!$A$2:$A$1360,0))</f>
        <v>6</v>
      </c>
      <c r="C321" s="9" t="str">
        <f t="shared" si="16"/>
        <v>Above Average</v>
      </c>
      <c r="D321" s="11">
        <f>INDEX('2_Clean_Data'!$L$2:$L$1360,MATCH($A321,'2_Clean_Data'!$A$2:$A$1360,0))</f>
        <v>9.9</v>
      </c>
      <c r="E321" s="9" t="str">
        <f>IF(D321&lt;'3_Summary_Tables'!$C$16,"Low",IF(D321&lt;'3_Summary_Tables'!$C$17,"Medium","High"))</f>
        <v>Low</v>
      </c>
      <c r="F321" s="12">
        <f>INDEX('2_Clean_Data'!$C$2:$C$1360,MATCH($A321,'2_Clean_Data'!$A$2:$A$1360,0))</f>
        <v>0.45</v>
      </c>
      <c r="G321" s="10">
        <f>INDEX('2_Clean_Data'!$H$2:$H$1360,MATCH($A321,'2_Clean_Data'!$A$2:$A$1360,0))</f>
        <v>50</v>
      </c>
      <c r="H321" s="9" t="str">
        <f t="shared" si="17"/>
        <v>Low</v>
      </c>
      <c r="I321" s="9" t="str">
        <f t="shared" si="18"/>
        <v>OK</v>
      </c>
      <c r="J321" s="9" t="str">
        <f t="shared" si="19"/>
        <v>Solid</v>
      </c>
    </row>
    <row r="322" spans="1:10" x14ac:dyDescent="0.3">
      <c r="A322" s="10">
        <f>'2_Clean_Data'!A319</f>
        <v>318</v>
      </c>
      <c r="B322" s="10">
        <f>INDEX('2_Clean_Data'!$M$2:$M$1360,MATCH($A322,'2_Clean_Data'!$A$2:$A$1360,0))</f>
        <v>5</v>
      </c>
      <c r="C322" s="9" t="str">
        <f t="shared" si="16"/>
        <v>Average</v>
      </c>
      <c r="D322" s="11">
        <f>INDEX('2_Clean_Data'!$L$2:$L$1360,MATCH($A322,'2_Clean_Data'!$A$2:$A$1360,0))</f>
        <v>10</v>
      </c>
      <c r="E322" s="9" t="str">
        <f>IF(D322&lt;'3_Summary_Tables'!$C$16,"Low",IF(D322&lt;'3_Summary_Tables'!$C$17,"Medium","High"))</f>
        <v>Medium</v>
      </c>
      <c r="F322" s="12">
        <f>INDEX('2_Clean_Data'!$C$2:$C$1360,MATCH($A322,'2_Clean_Data'!$A$2:$A$1360,0))</f>
        <v>0.57999999999999996</v>
      </c>
      <c r="G322" s="10">
        <f>INDEX('2_Clean_Data'!$H$2:$H$1360,MATCH($A322,'2_Clean_Data'!$A$2:$A$1360,0))</f>
        <v>37</v>
      </c>
      <c r="H322" s="9" t="str">
        <f t="shared" si="17"/>
        <v>Low</v>
      </c>
      <c r="I322" s="9" t="str">
        <f t="shared" si="18"/>
        <v>OK</v>
      </c>
      <c r="J322" s="9" t="str">
        <f t="shared" si="19"/>
        <v>Standard</v>
      </c>
    </row>
    <row r="323" spans="1:10" x14ac:dyDescent="0.3">
      <c r="A323" s="10">
        <f>'2_Clean_Data'!A320</f>
        <v>319</v>
      </c>
      <c r="B323" s="10">
        <f>INDEX('2_Clean_Data'!$M$2:$M$1360,MATCH($A323,'2_Clean_Data'!$A$2:$A$1360,0))</f>
        <v>5</v>
      </c>
      <c r="C323" s="9" t="str">
        <f t="shared" si="16"/>
        <v>Average</v>
      </c>
      <c r="D323" s="11">
        <f>INDEX('2_Clean_Data'!$L$2:$L$1360,MATCH($A323,'2_Clean_Data'!$A$2:$A$1360,0))</f>
        <v>10.199999999999999</v>
      </c>
      <c r="E323" s="9" t="str">
        <f>IF(D323&lt;'3_Summary_Tables'!$C$16,"Low",IF(D323&lt;'3_Summary_Tables'!$C$17,"Medium","High"))</f>
        <v>Medium</v>
      </c>
      <c r="F323" s="12">
        <f>INDEX('2_Clean_Data'!$C$2:$C$1360,MATCH($A323,'2_Clean_Data'!$A$2:$A$1360,0))</f>
        <v>0.46</v>
      </c>
      <c r="G323" s="10">
        <f>INDEX('2_Clean_Data'!$H$2:$H$1360,MATCH($A323,'2_Clean_Data'!$A$2:$A$1360,0))</f>
        <v>15</v>
      </c>
      <c r="H323" s="9" t="str">
        <f t="shared" si="17"/>
        <v>Low</v>
      </c>
      <c r="I323" s="9" t="str">
        <f t="shared" si="18"/>
        <v>OK</v>
      </c>
      <c r="J323" s="9" t="str">
        <f t="shared" si="19"/>
        <v>Standard</v>
      </c>
    </row>
    <row r="324" spans="1:10" x14ac:dyDescent="0.3">
      <c r="A324" s="10">
        <f>'2_Clean_Data'!A321</f>
        <v>320</v>
      </c>
      <c r="B324" s="10">
        <f>INDEX('2_Clean_Data'!$M$2:$M$1360,MATCH($A324,'2_Clean_Data'!$A$2:$A$1360,0))</f>
        <v>7</v>
      </c>
      <c r="C324" s="9" t="str">
        <f t="shared" si="16"/>
        <v>Good</v>
      </c>
      <c r="D324" s="11">
        <f>INDEX('2_Clean_Data'!$L$2:$L$1360,MATCH($A324,'2_Clean_Data'!$A$2:$A$1360,0))</f>
        <v>10</v>
      </c>
      <c r="E324" s="9" t="str">
        <f>IF(D324&lt;'3_Summary_Tables'!$C$16,"Low",IF(D324&lt;'3_Summary_Tables'!$C$17,"Medium","High"))</f>
        <v>Medium</v>
      </c>
      <c r="F324" s="12">
        <f>INDEX('2_Clean_Data'!$C$2:$C$1360,MATCH($A324,'2_Clean_Data'!$A$2:$A$1360,0))</f>
        <v>0.61499999999999999</v>
      </c>
      <c r="G324" s="10">
        <f>INDEX('2_Clean_Data'!$H$2:$H$1360,MATCH($A324,'2_Clean_Data'!$A$2:$A$1360,0))</f>
        <v>42</v>
      </c>
      <c r="H324" s="9" t="str">
        <f t="shared" si="17"/>
        <v>Low</v>
      </c>
      <c r="I324" s="9" t="str">
        <f t="shared" si="18"/>
        <v>OK</v>
      </c>
      <c r="J324" s="9" t="str">
        <f t="shared" si="19"/>
        <v>Solid</v>
      </c>
    </row>
    <row r="325" spans="1:10" x14ac:dyDescent="0.3">
      <c r="A325" s="10">
        <f>'2_Clean_Data'!A322</f>
        <v>321</v>
      </c>
      <c r="B325" s="10">
        <f>INDEX('2_Clean_Data'!$M$2:$M$1360,MATCH($A325,'2_Clean_Data'!$A$2:$A$1360,0))</f>
        <v>6</v>
      </c>
      <c r="C325" s="9" t="str">
        <f t="shared" ref="C325:C388" si="20">VLOOKUP(B325,$L$12:$N$17,2,FALSE())</f>
        <v>Above Average</v>
      </c>
      <c r="D325" s="11">
        <f>INDEX('2_Clean_Data'!$L$2:$L$1360,MATCH($A325,'2_Clean_Data'!$A$2:$A$1360,0))</f>
        <v>11.8</v>
      </c>
      <c r="E325" s="9" t="str">
        <f>IF(D325&lt;'3_Summary_Tables'!$C$16,"Low",IF(D325&lt;'3_Summary_Tables'!$C$17,"Medium","High"))</f>
        <v>High</v>
      </c>
      <c r="F325" s="12">
        <f>INDEX('2_Clean_Data'!$C$2:$C$1360,MATCH($A325,'2_Clean_Data'!$A$2:$A$1360,0))</f>
        <v>0.42</v>
      </c>
      <c r="G325" s="10">
        <f>INDEX('2_Clean_Data'!$H$2:$H$1360,MATCH($A325,'2_Clean_Data'!$A$2:$A$1360,0))</f>
        <v>21</v>
      </c>
      <c r="H325" s="9" t="str">
        <f t="shared" ref="H325:H388" si="21">IF(G325&gt;$M$8,"High",IF(G325&gt;$M$7,"Moderate","Low"))</f>
        <v>Low</v>
      </c>
      <c r="I325" s="9" t="str">
        <f t="shared" ref="I325:I388" si="22">IF(F325&gt;$M$6,"Above limit","OK")</f>
        <v>OK</v>
      </c>
      <c r="J325" s="9" t="str">
        <f t="shared" ref="J325:J388" si="23">IF(AND(B325&gt;=7,E325="High"),"Premium",IF(AND(B325&gt;=6,I325="OK"),"Solid",IF(B325&lt;=4,"Poor","Standard")))</f>
        <v>Solid</v>
      </c>
    </row>
    <row r="326" spans="1:10" x14ac:dyDescent="0.3">
      <c r="A326" s="10">
        <f>'2_Clean_Data'!A323</f>
        <v>322</v>
      </c>
      <c r="B326" s="10">
        <f>INDEX('2_Clean_Data'!$M$2:$M$1360,MATCH($A326,'2_Clean_Data'!$A$2:$A$1360,0))</f>
        <v>5</v>
      </c>
      <c r="C326" s="9" t="str">
        <f t="shared" si="20"/>
        <v>Average</v>
      </c>
      <c r="D326" s="11">
        <f>INDEX('2_Clean_Data'!$L$2:$L$1360,MATCH($A326,'2_Clean_Data'!$A$2:$A$1360,0))</f>
        <v>9</v>
      </c>
      <c r="E326" s="9" t="str">
        <f>IF(D326&lt;'3_Summary_Tables'!$C$16,"Low",IF(D326&lt;'3_Summary_Tables'!$C$17,"Medium","High"))</f>
        <v>Low</v>
      </c>
      <c r="F326" s="12">
        <f>INDEX('2_Clean_Data'!$C$2:$C$1360,MATCH($A326,'2_Clean_Data'!$A$2:$A$1360,0))</f>
        <v>0.57499999999999996</v>
      </c>
      <c r="G326" s="10">
        <f>INDEX('2_Clean_Data'!$H$2:$H$1360,MATCH($A326,'2_Clean_Data'!$A$2:$A$1360,0))</f>
        <v>24</v>
      </c>
      <c r="H326" s="9" t="str">
        <f t="shared" si="21"/>
        <v>Low</v>
      </c>
      <c r="I326" s="9" t="str">
        <f t="shared" si="22"/>
        <v>OK</v>
      </c>
      <c r="J326" s="9" t="str">
        <f t="shared" si="23"/>
        <v>Standard</v>
      </c>
    </row>
    <row r="327" spans="1:10" x14ac:dyDescent="0.3">
      <c r="A327" s="10">
        <f>'2_Clean_Data'!A324</f>
        <v>323</v>
      </c>
      <c r="B327" s="10">
        <f>INDEX('2_Clean_Data'!$M$2:$M$1360,MATCH($A327,'2_Clean_Data'!$A$2:$A$1360,0))</f>
        <v>5</v>
      </c>
      <c r="C327" s="9" t="str">
        <f t="shared" si="20"/>
        <v>Average</v>
      </c>
      <c r="D327" s="11">
        <f>INDEX('2_Clean_Data'!$L$2:$L$1360,MATCH($A327,'2_Clean_Data'!$A$2:$A$1360,0))</f>
        <v>9.4</v>
      </c>
      <c r="E327" s="9" t="str">
        <f>IF(D327&lt;'3_Summary_Tables'!$C$16,"Low",IF(D327&lt;'3_Summary_Tables'!$C$17,"Medium","High"))</f>
        <v>Low</v>
      </c>
      <c r="F327" s="12">
        <f>INDEX('2_Clean_Data'!$C$2:$C$1360,MATCH($A327,'2_Clean_Data'!$A$2:$A$1360,0))</f>
        <v>0.34</v>
      </c>
      <c r="G327" s="10">
        <f>INDEX('2_Clean_Data'!$H$2:$H$1360,MATCH($A327,'2_Clean_Data'!$A$2:$A$1360,0))</f>
        <v>75</v>
      </c>
      <c r="H327" s="9" t="str">
        <f t="shared" si="21"/>
        <v>Moderate</v>
      </c>
      <c r="I327" s="9" t="str">
        <f t="shared" si="22"/>
        <v>OK</v>
      </c>
      <c r="J327" s="9" t="str">
        <f t="shared" si="23"/>
        <v>Standard</v>
      </c>
    </row>
    <row r="328" spans="1:10" x14ac:dyDescent="0.3">
      <c r="A328" s="10">
        <f>'2_Clean_Data'!A325</f>
        <v>324</v>
      </c>
      <c r="B328" s="10">
        <f>INDEX('2_Clean_Data'!$M$2:$M$1360,MATCH($A328,'2_Clean_Data'!$A$2:$A$1360,0))</f>
        <v>7</v>
      </c>
      <c r="C328" s="9" t="str">
        <f t="shared" si="20"/>
        <v>Good</v>
      </c>
      <c r="D328" s="11">
        <f>INDEX('2_Clean_Data'!$L$2:$L$1360,MATCH($A328,'2_Clean_Data'!$A$2:$A$1360,0))</f>
        <v>12</v>
      </c>
      <c r="E328" s="9" t="str">
        <f>IF(D328&lt;'3_Summary_Tables'!$C$16,"Low",IF(D328&lt;'3_Summary_Tables'!$C$17,"Medium","High"))</f>
        <v>High</v>
      </c>
      <c r="F328" s="12">
        <f>INDEX('2_Clean_Data'!$C$2:$C$1360,MATCH($A328,'2_Clean_Data'!$A$2:$A$1360,0))</f>
        <v>0.27</v>
      </c>
      <c r="G328" s="10">
        <f>INDEX('2_Clean_Data'!$H$2:$H$1360,MATCH($A328,'2_Clean_Data'!$A$2:$A$1360,0))</f>
        <v>18</v>
      </c>
      <c r="H328" s="9" t="str">
        <f t="shared" si="21"/>
        <v>Low</v>
      </c>
      <c r="I328" s="9" t="str">
        <f t="shared" si="22"/>
        <v>OK</v>
      </c>
      <c r="J328" s="9" t="str">
        <f t="shared" si="23"/>
        <v>Premium</v>
      </c>
    </row>
    <row r="329" spans="1:10" x14ac:dyDescent="0.3">
      <c r="A329" s="10">
        <f>'2_Clean_Data'!A326</f>
        <v>325</v>
      </c>
      <c r="B329" s="10">
        <f>INDEX('2_Clean_Data'!$M$2:$M$1360,MATCH($A329,'2_Clean_Data'!$A$2:$A$1360,0))</f>
        <v>5</v>
      </c>
      <c r="C329" s="9" t="str">
        <f t="shared" si="20"/>
        <v>Average</v>
      </c>
      <c r="D329" s="11">
        <f>INDEX('2_Clean_Data'!$L$2:$L$1360,MATCH($A329,'2_Clean_Data'!$A$2:$A$1360,0))</f>
        <v>9.9</v>
      </c>
      <c r="E329" s="9" t="str">
        <f>IF(D329&lt;'3_Summary_Tables'!$C$16,"Low",IF(D329&lt;'3_Summary_Tables'!$C$17,"Medium","High"))</f>
        <v>Low</v>
      </c>
      <c r="F329" s="12">
        <f>INDEX('2_Clean_Data'!$C$2:$C$1360,MATCH($A329,'2_Clean_Data'!$A$2:$A$1360,0))</f>
        <v>0.76500000000000001</v>
      </c>
      <c r="G329" s="10">
        <f>INDEX('2_Clean_Data'!$H$2:$H$1360,MATCH($A329,'2_Clean_Data'!$A$2:$A$1360,0))</f>
        <v>63</v>
      </c>
      <c r="H329" s="9" t="str">
        <f t="shared" si="21"/>
        <v>Moderate</v>
      </c>
      <c r="I329" s="9" t="str">
        <f t="shared" si="22"/>
        <v>Above limit</v>
      </c>
      <c r="J329" s="9" t="str">
        <f t="shared" si="23"/>
        <v>Standard</v>
      </c>
    </row>
    <row r="330" spans="1:10" x14ac:dyDescent="0.3">
      <c r="A330" s="10">
        <f>'2_Clean_Data'!A327</f>
        <v>326</v>
      </c>
      <c r="B330" s="10">
        <f>INDEX('2_Clean_Data'!$M$2:$M$1360,MATCH($A330,'2_Clean_Data'!$A$2:$A$1360,0))</f>
        <v>6</v>
      </c>
      <c r="C330" s="9" t="str">
        <f t="shared" si="20"/>
        <v>Above Average</v>
      </c>
      <c r="D330" s="11">
        <f>INDEX('2_Clean_Data'!$L$2:$L$1360,MATCH($A330,'2_Clean_Data'!$A$2:$A$1360,0))</f>
        <v>8.6999999999999993</v>
      </c>
      <c r="E330" s="9" t="str">
        <f>IF(D330&lt;'3_Summary_Tables'!$C$16,"Low",IF(D330&lt;'3_Summary_Tables'!$C$17,"Medium","High"))</f>
        <v>Low</v>
      </c>
      <c r="F330" s="12">
        <f>INDEX('2_Clean_Data'!$C$2:$C$1360,MATCH($A330,'2_Clean_Data'!$A$2:$A$1360,0))</f>
        <v>0.24</v>
      </c>
      <c r="G330" s="10">
        <f>INDEX('2_Clean_Data'!$H$2:$H$1360,MATCH($A330,'2_Clean_Data'!$A$2:$A$1360,0))</f>
        <v>25</v>
      </c>
      <c r="H330" s="9" t="str">
        <f t="shared" si="21"/>
        <v>Low</v>
      </c>
      <c r="I330" s="9" t="str">
        <f t="shared" si="22"/>
        <v>OK</v>
      </c>
      <c r="J330" s="9" t="str">
        <f t="shared" si="23"/>
        <v>Solid</v>
      </c>
    </row>
    <row r="331" spans="1:10" x14ac:dyDescent="0.3">
      <c r="A331" s="10">
        <f>'2_Clean_Data'!A328</f>
        <v>327</v>
      </c>
      <c r="B331" s="10">
        <f>INDEX('2_Clean_Data'!$M$2:$M$1360,MATCH($A331,'2_Clean_Data'!$A$2:$A$1360,0))</f>
        <v>6</v>
      </c>
      <c r="C331" s="9" t="str">
        <f t="shared" si="20"/>
        <v>Above Average</v>
      </c>
      <c r="D331" s="11">
        <f>INDEX('2_Clean_Data'!$L$2:$L$1360,MATCH($A331,'2_Clean_Data'!$A$2:$A$1360,0))</f>
        <v>10.6</v>
      </c>
      <c r="E331" s="9" t="str">
        <f>IF(D331&lt;'3_Summary_Tables'!$C$16,"Low",IF(D331&lt;'3_Summary_Tables'!$C$17,"Medium","High"))</f>
        <v>Medium</v>
      </c>
      <c r="F331" s="12">
        <f>INDEX('2_Clean_Data'!$C$2:$C$1360,MATCH($A331,'2_Clean_Data'!$A$2:$A$1360,0))</f>
        <v>0.28000000000000003</v>
      </c>
      <c r="G331" s="10">
        <f>INDEX('2_Clean_Data'!$H$2:$H$1360,MATCH($A331,'2_Clean_Data'!$A$2:$A$1360,0))</f>
        <v>46</v>
      </c>
      <c r="H331" s="9" t="str">
        <f t="shared" si="21"/>
        <v>Low</v>
      </c>
      <c r="I331" s="9" t="str">
        <f t="shared" si="22"/>
        <v>OK</v>
      </c>
      <c r="J331" s="9" t="str">
        <f t="shared" si="23"/>
        <v>Solid</v>
      </c>
    </row>
    <row r="332" spans="1:10" x14ac:dyDescent="0.3">
      <c r="A332" s="10">
        <f>'2_Clean_Data'!A329</f>
        <v>328</v>
      </c>
      <c r="B332" s="10">
        <f>INDEX('2_Clean_Data'!$M$2:$M$1360,MATCH($A332,'2_Clean_Data'!$A$2:$A$1360,0))</f>
        <v>5</v>
      </c>
      <c r="C332" s="9" t="str">
        <f t="shared" si="20"/>
        <v>Average</v>
      </c>
      <c r="D332" s="11">
        <f>INDEX('2_Clean_Data'!$L$2:$L$1360,MATCH($A332,'2_Clean_Data'!$A$2:$A$1360,0))</f>
        <v>9.1999999999999993</v>
      </c>
      <c r="E332" s="9" t="str">
        <f>IF(D332&lt;'3_Summary_Tables'!$C$16,"Low",IF(D332&lt;'3_Summary_Tables'!$C$17,"Medium","High"))</f>
        <v>Low</v>
      </c>
      <c r="F332" s="12">
        <f>INDEX('2_Clean_Data'!$C$2:$C$1360,MATCH($A332,'2_Clean_Data'!$A$2:$A$1360,0))</f>
        <v>0.55000000000000004</v>
      </c>
      <c r="G332" s="10">
        <f>INDEX('2_Clean_Data'!$H$2:$H$1360,MATCH($A332,'2_Clean_Data'!$A$2:$A$1360,0))</f>
        <v>72</v>
      </c>
      <c r="H332" s="9" t="str">
        <f t="shared" si="21"/>
        <v>Moderate</v>
      </c>
      <c r="I332" s="9" t="str">
        <f t="shared" si="22"/>
        <v>OK</v>
      </c>
      <c r="J332" s="9" t="str">
        <f t="shared" si="23"/>
        <v>Standard</v>
      </c>
    </row>
    <row r="333" spans="1:10" x14ac:dyDescent="0.3">
      <c r="A333" s="10">
        <f>'2_Clean_Data'!A330</f>
        <v>329</v>
      </c>
      <c r="B333" s="10">
        <f>INDEX('2_Clean_Data'!$M$2:$M$1360,MATCH($A333,'2_Clean_Data'!$A$2:$A$1360,0))</f>
        <v>6</v>
      </c>
      <c r="C333" s="9" t="str">
        <f t="shared" si="20"/>
        <v>Above Average</v>
      </c>
      <c r="D333" s="11">
        <f>INDEX('2_Clean_Data'!$L$2:$L$1360,MATCH($A333,'2_Clean_Data'!$A$2:$A$1360,0))</f>
        <v>10.8</v>
      </c>
      <c r="E333" s="9" t="str">
        <f>IF(D333&lt;'3_Summary_Tables'!$C$16,"Low",IF(D333&lt;'3_Summary_Tables'!$C$17,"Medium","High"))</f>
        <v>Medium</v>
      </c>
      <c r="F333" s="12">
        <f>INDEX('2_Clean_Data'!$C$2:$C$1360,MATCH($A333,'2_Clean_Data'!$A$2:$A$1360,0))</f>
        <v>0.41</v>
      </c>
      <c r="G333" s="10">
        <f>INDEX('2_Clean_Data'!$H$2:$H$1360,MATCH($A333,'2_Clean_Data'!$A$2:$A$1360,0))</f>
        <v>47</v>
      </c>
      <c r="H333" s="9" t="str">
        <f t="shared" si="21"/>
        <v>Low</v>
      </c>
      <c r="I333" s="9" t="str">
        <f t="shared" si="22"/>
        <v>OK</v>
      </c>
      <c r="J333" s="9" t="str">
        <f t="shared" si="23"/>
        <v>Solid</v>
      </c>
    </row>
    <row r="334" spans="1:10" x14ac:dyDescent="0.3">
      <c r="A334" s="10">
        <f>'2_Clean_Data'!A331</f>
        <v>330</v>
      </c>
      <c r="B334" s="10">
        <f>INDEX('2_Clean_Data'!$M$2:$M$1360,MATCH($A334,'2_Clean_Data'!$A$2:$A$1360,0))</f>
        <v>7</v>
      </c>
      <c r="C334" s="9" t="str">
        <f t="shared" si="20"/>
        <v>Good</v>
      </c>
      <c r="D334" s="11">
        <f>INDEX('2_Clean_Data'!$L$2:$L$1360,MATCH($A334,'2_Clean_Data'!$A$2:$A$1360,0))</f>
        <v>11.8</v>
      </c>
      <c r="E334" s="9" t="str">
        <f>IF(D334&lt;'3_Summary_Tables'!$C$16,"Low",IF(D334&lt;'3_Summary_Tables'!$C$17,"Medium","High"))</f>
        <v>High</v>
      </c>
      <c r="F334" s="12">
        <f>INDEX('2_Clean_Data'!$C$2:$C$1360,MATCH($A334,'2_Clean_Data'!$A$2:$A$1360,0))</f>
        <v>0.54</v>
      </c>
      <c r="G334" s="10">
        <f>INDEX('2_Clean_Data'!$H$2:$H$1360,MATCH($A334,'2_Clean_Data'!$A$2:$A$1360,0))</f>
        <v>15</v>
      </c>
      <c r="H334" s="9" t="str">
        <f t="shared" si="21"/>
        <v>Low</v>
      </c>
      <c r="I334" s="9" t="str">
        <f t="shared" si="22"/>
        <v>OK</v>
      </c>
      <c r="J334" s="9" t="str">
        <f t="shared" si="23"/>
        <v>Premium</v>
      </c>
    </row>
    <row r="335" spans="1:10" x14ac:dyDescent="0.3">
      <c r="A335" s="10">
        <f>'2_Clean_Data'!A332</f>
        <v>331</v>
      </c>
      <c r="B335" s="10">
        <f>INDEX('2_Clean_Data'!$M$2:$M$1360,MATCH($A335,'2_Clean_Data'!$A$2:$A$1360,0))</f>
        <v>6</v>
      </c>
      <c r="C335" s="9" t="str">
        <f t="shared" si="20"/>
        <v>Above Average</v>
      </c>
      <c r="D335" s="11">
        <f>INDEX('2_Clean_Data'!$L$2:$L$1360,MATCH($A335,'2_Clean_Data'!$A$2:$A$1360,0))</f>
        <v>11</v>
      </c>
      <c r="E335" s="9" t="str">
        <f>IF(D335&lt;'3_Summary_Tables'!$C$16,"Low",IF(D335&lt;'3_Summary_Tables'!$C$17,"Medium","High"))</f>
        <v>Medium</v>
      </c>
      <c r="F335" s="12">
        <f>INDEX('2_Clean_Data'!$C$2:$C$1360,MATCH($A335,'2_Clean_Data'!$A$2:$A$1360,0))</f>
        <v>0.45</v>
      </c>
      <c r="G335" s="10">
        <f>INDEX('2_Clean_Data'!$H$2:$H$1360,MATCH($A335,'2_Clean_Data'!$A$2:$A$1360,0))</f>
        <v>47</v>
      </c>
      <c r="H335" s="9" t="str">
        <f t="shared" si="21"/>
        <v>Low</v>
      </c>
      <c r="I335" s="9" t="str">
        <f t="shared" si="22"/>
        <v>OK</v>
      </c>
      <c r="J335" s="9" t="str">
        <f t="shared" si="23"/>
        <v>Solid</v>
      </c>
    </row>
    <row r="336" spans="1:10" x14ac:dyDescent="0.3">
      <c r="A336" s="10">
        <f>'2_Clean_Data'!A333</f>
        <v>332</v>
      </c>
      <c r="B336" s="10">
        <f>INDEX('2_Clean_Data'!$M$2:$M$1360,MATCH($A336,'2_Clean_Data'!$A$2:$A$1360,0))</f>
        <v>6</v>
      </c>
      <c r="C336" s="9" t="str">
        <f t="shared" si="20"/>
        <v>Above Average</v>
      </c>
      <c r="D336" s="11">
        <f>INDEX('2_Clean_Data'!$L$2:$L$1360,MATCH($A336,'2_Clean_Data'!$A$2:$A$1360,0))</f>
        <v>13.3</v>
      </c>
      <c r="E336" s="9" t="str">
        <f>IF(D336&lt;'3_Summary_Tables'!$C$16,"Low",IF(D336&lt;'3_Summary_Tables'!$C$17,"Medium","High"))</f>
        <v>High</v>
      </c>
      <c r="F336" s="12">
        <f>INDEX('2_Clean_Data'!$C$2:$C$1360,MATCH($A336,'2_Clean_Data'!$A$2:$A$1360,0))</f>
        <v>0.625</v>
      </c>
      <c r="G336" s="10">
        <f>INDEX('2_Clean_Data'!$H$2:$H$1360,MATCH($A336,'2_Clean_Data'!$A$2:$A$1360,0))</f>
        <v>24</v>
      </c>
      <c r="H336" s="9" t="str">
        <f t="shared" si="21"/>
        <v>Low</v>
      </c>
      <c r="I336" s="9" t="str">
        <f t="shared" si="22"/>
        <v>OK</v>
      </c>
      <c r="J336" s="9" t="str">
        <f t="shared" si="23"/>
        <v>Solid</v>
      </c>
    </row>
    <row r="337" spans="1:10" x14ac:dyDescent="0.3">
      <c r="A337" s="10">
        <f>'2_Clean_Data'!A334</f>
        <v>333</v>
      </c>
      <c r="B337" s="10">
        <f>INDEX('2_Clean_Data'!$M$2:$M$1360,MATCH($A337,'2_Clean_Data'!$A$2:$A$1360,0))</f>
        <v>6</v>
      </c>
      <c r="C337" s="9" t="str">
        <f t="shared" si="20"/>
        <v>Above Average</v>
      </c>
      <c r="D337" s="11">
        <f>INDEX('2_Clean_Data'!$L$2:$L$1360,MATCH($A337,'2_Clean_Data'!$A$2:$A$1360,0))</f>
        <v>10.8</v>
      </c>
      <c r="E337" s="9" t="str">
        <f>IF(D337&lt;'3_Summary_Tables'!$C$16,"Low",IF(D337&lt;'3_Summary_Tables'!$C$17,"Medium","High"))</f>
        <v>Medium</v>
      </c>
      <c r="F337" s="12">
        <f>INDEX('2_Clean_Data'!$C$2:$C$1360,MATCH($A337,'2_Clean_Data'!$A$2:$A$1360,0))</f>
        <v>0.42</v>
      </c>
      <c r="G337" s="10">
        <f>INDEX('2_Clean_Data'!$H$2:$H$1360,MATCH($A337,'2_Clean_Data'!$A$2:$A$1360,0))</f>
        <v>60</v>
      </c>
      <c r="H337" s="9" t="str">
        <f t="shared" si="21"/>
        <v>Moderate</v>
      </c>
      <c r="I337" s="9" t="str">
        <f t="shared" si="22"/>
        <v>OK</v>
      </c>
      <c r="J337" s="9" t="str">
        <f t="shared" si="23"/>
        <v>Solid</v>
      </c>
    </row>
    <row r="338" spans="1:10" x14ac:dyDescent="0.3">
      <c r="A338" s="10">
        <f>'2_Clean_Data'!A335</f>
        <v>334</v>
      </c>
      <c r="B338" s="10">
        <f>INDEX('2_Clean_Data'!$M$2:$M$1360,MATCH($A338,'2_Clean_Data'!$A$2:$A$1360,0))</f>
        <v>6</v>
      </c>
      <c r="C338" s="9" t="str">
        <f t="shared" si="20"/>
        <v>Above Average</v>
      </c>
      <c r="D338" s="11">
        <f>INDEX('2_Clean_Data'!$L$2:$L$1360,MATCH($A338,'2_Clean_Data'!$A$2:$A$1360,0))</f>
        <v>9.4</v>
      </c>
      <c r="E338" s="9" t="str">
        <f>IF(D338&lt;'3_Summary_Tables'!$C$16,"Low",IF(D338&lt;'3_Summary_Tables'!$C$17,"Medium","High"))</f>
        <v>Low</v>
      </c>
      <c r="F338" s="12">
        <f>INDEX('2_Clean_Data'!$C$2:$C$1360,MATCH($A338,'2_Clean_Data'!$A$2:$A$1360,0))</f>
        <v>0.26</v>
      </c>
      <c r="G338" s="10">
        <f>INDEX('2_Clean_Data'!$H$2:$H$1360,MATCH($A338,'2_Clean_Data'!$A$2:$A$1360,0))</f>
        <v>27</v>
      </c>
      <c r="H338" s="9" t="str">
        <f t="shared" si="21"/>
        <v>Low</v>
      </c>
      <c r="I338" s="9" t="str">
        <f t="shared" si="22"/>
        <v>OK</v>
      </c>
      <c r="J338" s="9" t="str">
        <f t="shared" si="23"/>
        <v>Solid</v>
      </c>
    </row>
    <row r="339" spans="1:10" x14ac:dyDescent="0.3">
      <c r="A339" s="10">
        <f>'2_Clean_Data'!A336</f>
        <v>335</v>
      </c>
      <c r="B339" s="10">
        <f>INDEX('2_Clean_Data'!$M$2:$M$1360,MATCH($A339,'2_Clean_Data'!$A$2:$A$1360,0))</f>
        <v>6</v>
      </c>
      <c r="C339" s="9" t="str">
        <f t="shared" si="20"/>
        <v>Above Average</v>
      </c>
      <c r="D339" s="11">
        <f>INDEX('2_Clean_Data'!$L$2:$L$1360,MATCH($A339,'2_Clean_Data'!$A$2:$A$1360,0))</f>
        <v>10</v>
      </c>
      <c r="E339" s="9" t="str">
        <f>IF(D339&lt;'3_Summary_Tables'!$C$16,"Low",IF(D339&lt;'3_Summary_Tables'!$C$17,"Medium","High"))</f>
        <v>Medium</v>
      </c>
      <c r="F339" s="12">
        <f>INDEX('2_Clean_Data'!$C$2:$C$1360,MATCH($A339,'2_Clean_Data'!$A$2:$A$1360,0))</f>
        <v>0.41499999999999998</v>
      </c>
      <c r="G339" s="10">
        <f>INDEX('2_Clean_Data'!$H$2:$H$1360,MATCH($A339,'2_Clean_Data'!$A$2:$A$1360,0))</f>
        <v>43</v>
      </c>
      <c r="H339" s="9" t="str">
        <f t="shared" si="21"/>
        <v>Low</v>
      </c>
      <c r="I339" s="9" t="str">
        <f t="shared" si="22"/>
        <v>OK</v>
      </c>
      <c r="J339" s="9" t="str">
        <f t="shared" si="23"/>
        <v>Solid</v>
      </c>
    </row>
    <row r="340" spans="1:10" x14ac:dyDescent="0.3">
      <c r="A340" s="10">
        <f>'2_Clean_Data'!A337</f>
        <v>336</v>
      </c>
      <c r="B340" s="10">
        <f>INDEX('2_Clean_Data'!$M$2:$M$1360,MATCH($A340,'2_Clean_Data'!$A$2:$A$1360,0))</f>
        <v>5</v>
      </c>
      <c r="C340" s="9" t="str">
        <f t="shared" si="20"/>
        <v>Average</v>
      </c>
      <c r="D340" s="11">
        <f>INDEX('2_Clean_Data'!$L$2:$L$1360,MATCH($A340,'2_Clean_Data'!$A$2:$A$1360,0))</f>
        <v>9.1999999999999993</v>
      </c>
      <c r="E340" s="9" t="str">
        <f>IF(D340&lt;'3_Summary_Tables'!$C$16,"Low",IF(D340&lt;'3_Summary_Tables'!$C$17,"Medium","High"))</f>
        <v>Low</v>
      </c>
      <c r="F340" s="12">
        <f>INDEX('2_Clean_Data'!$C$2:$C$1360,MATCH($A340,'2_Clean_Data'!$A$2:$A$1360,0))</f>
        <v>0.51</v>
      </c>
      <c r="G340" s="10">
        <f>INDEX('2_Clean_Data'!$H$2:$H$1360,MATCH($A340,'2_Clean_Data'!$A$2:$A$1360,0))</f>
        <v>54</v>
      </c>
      <c r="H340" s="9" t="str">
        <f t="shared" si="21"/>
        <v>Moderate</v>
      </c>
      <c r="I340" s="9" t="str">
        <f t="shared" si="22"/>
        <v>OK</v>
      </c>
      <c r="J340" s="9" t="str">
        <f t="shared" si="23"/>
        <v>Standard</v>
      </c>
    </row>
    <row r="341" spans="1:10" x14ac:dyDescent="0.3">
      <c r="A341" s="10">
        <f>'2_Clean_Data'!A338</f>
        <v>337</v>
      </c>
      <c r="B341" s="10">
        <f>INDEX('2_Clean_Data'!$M$2:$M$1360,MATCH($A341,'2_Clean_Data'!$A$2:$A$1360,0))</f>
        <v>6</v>
      </c>
      <c r="C341" s="9" t="str">
        <f t="shared" si="20"/>
        <v>Above Average</v>
      </c>
      <c r="D341" s="11">
        <f>INDEX('2_Clean_Data'!$L$2:$L$1360,MATCH($A341,'2_Clean_Data'!$A$2:$A$1360,0))</f>
        <v>9.6999999999999993</v>
      </c>
      <c r="E341" s="9" t="str">
        <f>IF(D341&lt;'3_Summary_Tables'!$C$16,"Low",IF(D341&lt;'3_Summary_Tables'!$C$17,"Medium","High"))</f>
        <v>Low</v>
      </c>
      <c r="F341" s="12">
        <f>INDEX('2_Clean_Data'!$C$2:$C$1360,MATCH($A341,'2_Clean_Data'!$A$2:$A$1360,0))</f>
        <v>0.63</v>
      </c>
      <c r="G341" s="10">
        <f>INDEX('2_Clean_Data'!$H$2:$H$1360,MATCH($A341,'2_Clean_Data'!$A$2:$A$1360,0))</f>
        <v>37</v>
      </c>
      <c r="H341" s="9" t="str">
        <f t="shared" si="21"/>
        <v>Low</v>
      </c>
      <c r="I341" s="9" t="str">
        <f t="shared" si="22"/>
        <v>OK</v>
      </c>
      <c r="J341" s="9" t="str">
        <f t="shared" si="23"/>
        <v>Solid</v>
      </c>
    </row>
    <row r="342" spans="1:10" x14ac:dyDescent="0.3">
      <c r="A342" s="10">
        <f>'2_Clean_Data'!A339</f>
        <v>338</v>
      </c>
      <c r="B342" s="10">
        <f>INDEX('2_Clean_Data'!$M$2:$M$1360,MATCH($A342,'2_Clean_Data'!$A$2:$A$1360,0))</f>
        <v>6</v>
      </c>
      <c r="C342" s="9" t="str">
        <f t="shared" si="20"/>
        <v>Above Average</v>
      </c>
      <c r="D342" s="11">
        <f>INDEX('2_Clean_Data'!$L$2:$L$1360,MATCH($A342,'2_Clean_Data'!$A$2:$A$1360,0))</f>
        <v>9.1999999999999993</v>
      </c>
      <c r="E342" s="9" t="str">
        <f>IF(D342&lt;'3_Summary_Tables'!$C$16,"Low",IF(D342&lt;'3_Summary_Tables'!$C$17,"Medium","High"))</f>
        <v>Low</v>
      </c>
      <c r="F342" s="12">
        <f>INDEX('2_Clean_Data'!$C$2:$C$1360,MATCH($A342,'2_Clean_Data'!$A$2:$A$1360,0))</f>
        <v>0.54</v>
      </c>
      <c r="G342" s="10">
        <f>INDEX('2_Clean_Data'!$H$2:$H$1360,MATCH($A342,'2_Clean_Data'!$A$2:$A$1360,0))</f>
        <v>48</v>
      </c>
      <c r="H342" s="9" t="str">
        <f t="shared" si="21"/>
        <v>Low</v>
      </c>
      <c r="I342" s="9" t="str">
        <f t="shared" si="22"/>
        <v>OK</v>
      </c>
      <c r="J342" s="9" t="str">
        <f t="shared" si="23"/>
        <v>Solid</v>
      </c>
    </row>
    <row r="343" spans="1:10" x14ac:dyDescent="0.3">
      <c r="A343" s="10">
        <f>'2_Clean_Data'!A340</f>
        <v>339</v>
      </c>
      <c r="B343" s="10">
        <f>INDEX('2_Clean_Data'!$M$2:$M$1360,MATCH($A343,'2_Clean_Data'!$A$2:$A$1360,0))</f>
        <v>6</v>
      </c>
      <c r="C343" s="9" t="str">
        <f t="shared" si="20"/>
        <v>Above Average</v>
      </c>
      <c r="D343" s="11">
        <f>INDEX('2_Clean_Data'!$L$2:$L$1360,MATCH($A343,'2_Clean_Data'!$A$2:$A$1360,0))</f>
        <v>9.6</v>
      </c>
      <c r="E343" s="9" t="str">
        <f>IF(D343&lt;'3_Summary_Tables'!$C$16,"Low",IF(D343&lt;'3_Summary_Tables'!$C$17,"Medium","High"))</f>
        <v>Low</v>
      </c>
      <c r="F343" s="12">
        <f>INDEX('2_Clean_Data'!$C$2:$C$1360,MATCH($A343,'2_Clean_Data'!$A$2:$A$1360,0))</f>
        <v>0.66</v>
      </c>
      <c r="G343" s="10">
        <f>INDEX('2_Clean_Data'!$H$2:$H$1360,MATCH($A343,'2_Clean_Data'!$A$2:$A$1360,0))</f>
        <v>42</v>
      </c>
      <c r="H343" s="9" t="str">
        <f t="shared" si="21"/>
        <v>Low</v>
      </c>
      <c r="I343" s="9" t="str">
        <f t="shared" si="22"/>
        <v>OK</v>
      </c>
      <c r="J343" s="9" t="str">
        <f t="shared" si="23"/>
        <v>Solid</v>
      </c>
    </row>
    <row r="344" spans="1:10" x14ac:dyDescent="0.3">
      <c r="A344" s="10">
        <f>'2_Clean_Data'!A341</f>
        <v>340</v>
      </c>
      <c r="B344" s="10">
        <f>INDEX('2_Clean_Data'!$M$2:$M$1360,MATCH($A344,'2_Clean_Data'!$A$2:$A$1360,0))</f>
        <v>6</v>
      </c>
      <c r="C344" s="9" t="str">
        <f t="shared" si="20"/>
        <v>Above Average</v>
      </c>
      <c r="D344" s="11">
        <f>INDEX('2_Clean_Data'!$L$2:$L$1360,MATCH($A344,'2_Clean_Data'!$A$2:$A$1360,0))</f>
        <v>9.1999999999999993</v>
      </c>
      <c r="E344" s="9" t="str">
        <f>IF(D344&lt;'3_Summary_Tables'!$C$16,"Low",IF(D344&lt;'3_Summary_Tables'!$C$17,"Medium","High"))</f>
        <v>Low</v>
      </c>
      <c r="F344" s="12">
        <f>INDEX('2_Clean_Data'!$C$2:$C$1360,MATCH($A344,'2_Clean_Data'!$A$2:$A$1360,0))</f>
        <v>0.46</v>
      </c>
      <c r="G344" s="10">
        <f>INDEX('2_Clean_Data'!$H$2:$H$1360,MATCH($A344,'2_Clean_Data'!$A$2:$A$1360,0))</f>
        <v>53</v>
      </c>
      <c r="H344" s="9" t="str">
        <f t="shared" si="21"/>
        <v>Moderate</v>
      </c>
      <c r="I344" s="9" t="str">
        <f t="shared" si="22"/>
        <v>OK</v>
      </c>
      <c r="J344" s="9" t="str">
        <f t="shared" si="23"/>
        <v>Solid</v>
      </c>
    </row>
    <row r="345" spans="1:10" x14ac:dyDescent="0.3">
      <c r="A345" s="10">
        <f>'2_Clean_Data'!A342</f>
        <v>341</v>
      </c>
      <c r="B345" s="10">
        <f>INDEX('2_Clean_Data'!$M$2:$M$1360,MATCH($A345,'2_Clean_Data'!$A$2:$A$1360,0))</f>
        <v>7</v>
      </c>
      <c r="C345" s="9" t="str">
        <f t="shared" si="20"/>
        <v>Good</v>
      </c>
      <c r="D345" s="11">
        <f>INDEX('2_Clean_Data'!$L$2:$L$1360,MATCH($A345,'2_Clean_Data'!$A$2:$A$1360,0))</f>
        <v>10</v>
      </c>
      <c r="E345" s="9" t="str">
        <f>IF(D345&lt;'3_Summary_Tables'!$C$16,"Low",IF(D345&lt;'3_Summary_Tables'!$C$17,"Medium","High"))</f>
        <v>Medium</v>
      </c>
      <c r="F345" s="12">
        <f>INDEX('2_Clean_Data'!$C$2:$C$1360,MATCH($A345,'2_Clean_Data'!$A$2:$A$1360,0))</f>
        <v>0.38</v>
      </c>
      <c r="G345" s="10">
        <f>INDEX('2_Clean_Data'!$H$2:$H$1360,MATCH($A345,'2_Clean_Data'!$A$2:$A$1360,0))</f>
        <v>49</v>
      </c>
      <c r="H345" s="9" t="str">
        <f t="shared" si="21"/>
        <v>Low</v>
      </c>
      <c r="I345" s="9" t="str">
        <f t="shared" si="22"/>
        <v>OK</v>
      </c>
      <c r="J345" s="9" t="str">
        <f t="shared" si="23"/>
        <v>Solid</v>
      </c>
    </row>
    <row r="346" spans="1:10" x14ac:dyDescent="0.3">
      <c r="A346" s="10">
        <f>'2_Clean_Data'!A343</f>
        <v>342</v>
      </c>
      <c r="B346" s="10">
        <f>INDEX('2_Clean_Data'!$M$2:$M$1360,MATCH($A346,'2_Clean_Data'!$A$2:$A$1360,0))</f>
        <v>8</v>
      </c>
      <c r="C346" s="9" t="str">
        <f t="shared" si="20"/>
        <v>Excellent</v>
      </c>
      <c r="D346" s="11">
        <f>INDEX('2_Clean_Data'!$L$2:$L$1360,MATCH($A346,'2_Clean_Data'!$A$2:$A$1360,0))</f>
        <v>12.9</v>
      </c>
      <c r="E346" s="9" t="str">
        <f>IF(D346&lt;'3_Summary_Tables'!$C$16,"Low",IF(D346&lt;'3_Summary_Tables'!$C$17,"Medium","High"))</f>
        <v>High</v>
      </c>
      <c r="F346" s="12">
        <f>INDEX('2_Clean_Data'!$C$2:$C$1360,MATCH($A346,'2_Clean_Data'!$A$2:$A$1360,0))</f>
        <v>0.85</v>
      </c>
      <c r="G346" s="10">
        <f>INDEX('2_Clean_Data'!$H$2:$H$1360,MATCH($A346,'2_Clean_Data'!$A$2:$A$1360,0))</f>
        <v>88</v>
      </c>
      <c r="H346" s="9" t="str">
        <f t="shared" si="21"/>
        <v>Moderate</v>
      </c>
      <c r="I346" s="9" t="str">
        <f t="shared" si="22"/>
        <v>Above limit</v>
      </c>
      <c r="J346" s="9" t="str">
        <f t="shared" si="23"/>
        <v>Premium</v>
      </c>
    </row>
    <row r="347" spans="1:10" x14ac:dyDescent="0.3">
      <c r="A347" s="10">
        <f>'2_Clean_Data'!A344</f>
        <v>343</v>
      </c>
      <c r="B347" s="10">
        <f>INDEX('2_Clean_Data'!$M$2:$M$1360,MATCH($A347,'2_Clean_Data'!$A$2:$A$1360,0))</f>
        <v>5</v>
      </c>
      <c r="C347" s="9" t="str">
        <f t="shared" si="20"/>
        <v>Average</v>
      </c>
      <c r="D347" s="11">
        <f>INDEX('2_Clean_Data'!$L$2:$L$1360,MATCH($A347,'2_Clean_Data'!$A$2:$A$1360,0))</f>
        <v>9.5</v>
      </c>
      <c r="E347" s="9" t="str">
        <f>IF(D347&lt;'3_Summary_Tables'!$C$16,"Low",IF(D347&lt;'3_Summary_Tables'!$C$17,"Medium","High"))</f>
        <v>Low</v>
      </c>
      <c r="F347" s="12">
        <f>INDEX('2_Clean_Data'!$C$2:$C$1360,MATCH($A347,'2_Clean_Data'!$A$2:$A$1360,0))</f>
        <v>0.37</v>
      </c>
      <c r="G347" s="10">
        <f>INDEX('2_Clean_Data'!$H$2:$H$1360,MATCH($A347,'2_Clean_Data'!$A$2:$A$1360,0))</f>
        <v>26</v>
      </c>
      <c r="H347" s="9" t="str">
        <f t="shared" si="21"/>
        <v>Low</v>
      </c>
      <c r="I347" s="9" t="str">
        <f t="shared" si="22"/>
        <v>OK</v>
      </c>
      <c r="J347" s="9" t="str">
        <f t="shared" si="23"/>
        <v>Standard</v>
      </c>
    </row>
    <row r="348" spans="1:10" x14ac:dyDescent="0.3">
      <c r="A348" s="10">
        <f>'2_Clean_Data'!A345</f>
        <v>344</v>
      </c>
      <c r="B348" s="10">
        <f>INDEX('2_Clean_Data'!$M$2:$M$1360,MATCH($A348,'2_Clean_Data'!$A$2:$A$1360,0))</f>
        <v>5</v>
      </c>
      <c r="C348" s="9" t="str">
        <f t="shared" si="20"/>
        <v>Average</v>
      </c>
      <c r="D348" s="11">
        <f>INDEX('2_Clean_Data'!$L$2:$L$1360,MATCH($A348,'2_Clean_Data'!$A$2:$A$1360,0))</f>
        <v>9.1</v>
      </c>
      <c r="E348" s="9" t="str">
        <f>IF(D348&lt;'3_Summary_Tables'!$C$16,"Low",IF(D348&lt;'3_Summary_Tables'!$C$17,"Medium","High"))</f>
        <v>Low</v>
      </c>
      <c r="F348" s="12">
        <f>INDEX('2_Clean_Data'!$C$2:$C$1360,MATCH($A348,'2_Clean_Data'!$A$2:$A$1360,0))</f>
        <v>0.66500000000000004</v>
      </c>
      <c r="G348" s="10">
        <f>INDEX('2_Clean_Data'!$H$2:$H$1360,MATCH($A348,'2_Clean_Data'!$A$2:$A$1360,0))</f>
        <v>95</v>
      </c>
      <c r="H348" s="9" t="str">
        <f t="shared" si="21"/>
        <v>Moderate</v>
      </c>
      <c r="I348" s="9" t="str">
        <f t="shared" si="22"/>
        <v>OK</v>
      </c>
      <c r="J348" s="9" t="str">
        <f t="shared" si="23"/>
        <v>Standard</v>
      </c>
    </row>
    <row r="349" spans="1:10" x14ac:dyDescent="0.3">
      <c r="A349" s="10">
        <f>'2_Clean_Data'!A346</f>
        <v>345</v>
      </c>
      <c r="B349" s="10">
        <f>INDEX('2_Clean_Data'!$M$2:$M$1360,MATCH($A349,'2_Clean_Data'!$A$2:$A$1360,0))</f>
        <v>5</v>
      </c>
      <c r="C349" s="9" t="str">
        <f t="shared" si="20"/>
        <v>Average</v>
      </c>
      <c r="D349" s="11">
        <f>INDEX('2_Clean_Data'!$L$2:$L$1360,MATCH($A349,'2_Clean_Data'!$A$2:$A$1360,0))</f>
        <v>9.9</v>
      </c>
      <c r="E349" s="9" t="str">
        <f>IF(D349&lt;'3_Summary_Tables'!$C$16,"Low",IF(D349&lt;'3_Summary_Tables'!$C$17,"Medium","High"))</f>
        <v>Low</v>
      </c>
      <c r="F349" s="12">
        <f>INDEX('2_Clean_Data'!$C$2:$C$1360,MATCH($A349,'2_Clean_Data'!$A$2:$A$1360,0))</f>
        <v>0.6</v>
      </c>
      <c r="G349" s="10">
        <f>INDEX('2_Clean_Data'!$H$2:$H$1360,MATCH($A349,'2_Clean_Data'!$A$2:$A$1360,0))</f>
        <v>25</v>
      </c>
      <c r="H349" s="9" t="str">
        <f t="shared" si="21"/>
        <v>Low</v>
      </c>
      <c r="I349" s="9" t="str">
        <f t="shared" si="22"/>
        <v>OK</v>
      </c>
      <c r="J349" s="9" t="str">
        <f t="shared" si="23"/>
        <v>Standard</v>
      </c>
    </row>
    <row r="350" spans="1:10" x14ac:dyDescent="0.3">
      <c r="A350" s="10">
        <f>'2_Clean_Data'!A347</f>
        <v>346</v>
      </c>
      <c r="B350" s="10">
        <f>INDEX('2_Clean_Data'!$M$2:$M$1360,MATCH($A350,'2_Clean_Data'!$A$2:$A$1360,0))</f>
        <v>7</v>
      </c>
      <c r="C350" s="9" t="str">
        <f t="shared" si="20"/>
        <v>Good</v>
      </c>
      <c r="D350" s="11">
        <f>INDEX('2_Clean_Data'!$L$2:$L$1360,MATCH($A350,'2_Clean_Data'!$A$2:$A$1360,0))</f>
        <v>13</v>
      </c>
      <c r="E350" s="9" t="str">
        <f>IF(D350&lt;'3_Summary_Tables'!$C$16,"Low",IF(D350&lt;'3_Summary_Tables'!$C$17,"Medium","High"))</f>
        <v>High</v>
      </c>
      <c r="F350" s="12">
        <f>INDEX('2_Clean_Data'!$C$2:$C$1360,MATCH($A350,'2_Clean_Data'!$A$2:$A$1360,0))</f>
        <v>0.37</v>
      </c>
      <c r="G350" s="10">
        <f>INDEX('2_Clean_Data'!$H$2:$H$1360,MATCH($A350,'2_Clean_Data'!$A$2:$A$1360,0))</f>
        <v>38</v>
      </c>
      <c r="H350" s="9" t="str">
        <f t="shared" si="21"/>
        <v>Low</v>
      </c>
      <c r="I350" s="9" t="str">
        <f t="shared" si="22"/>
        <v>OK</v>
      </c>
      <c r="J350" s="9" t="str">
        <f t="shared" si="23"/>
        <v>Premium</v>
      </c>
    </row>
    <row r="351" spans="1:10" x14ac:dyDescent="0.3">
      <c r="A351" s="10">
        <f>'2_Clean_Data'!A348</f>
        <v>347</v>
      </c>
      <c r="B351" s="10">
        <f>INDEX('2_Clean_Data'!$M$2:$M$1360,MATCH($A351,'2_Clean_Data'!$A$2:$A$1360,0))</f>
        <v>5</v>
      </c>
      <c r="C351" s="9" t="str">
        <f t="shared" si="20"/>
        <v>Average</v>
      </c>
      <c r="D351" s="11">
        <f>INDEX('2_Clean_Data'!$L$2:$L$1360,MATCH($A351,'2_Clean_Data'!$A$2:$A$1360,0))</f>
        <v>9.9</v>
      </c>
      <c r="E351" s="9" t="str">
        <f>IF(D351&lt;'3_Summary_Tables'!$C$16,"Low",IF(D351&lt;'3_Summary_Tables'!$C$17,"Medium","High"))</f>
        <v>Low</v>
      </c>
      <c r="F351" s="12">
        <f>INDEX('2_Clean_Data'!$C$2:$C$1360,MATCH($A351,'2_Clean_Data'!$A$2:$A$1360,0))</f>
        <v>0.73499999999999999</v>
      </c>
      <c r="G351" s="10">
        <f>INDEX('2_Clean_Data'!$H$2:$H$1360,MATCH($A351,'2_Clean_Data'!$A$2:$A$1360,0))</f>
        <v>124</v>
      </c>
      <c r="H351" s="9" t="str">
        <f t="shared" si="21"/>
        <v>High</v>
      </c>
      <c r="I351" s="9" t="str">
        <f t="shared" si="22"/>
        <v>Above limit</v>
      </c>
      <c r="J351" s="9" t="str">
        <f t="shared" si="23"/>
        <v>Standard</v>
      </c>
    </row>
    <row r="352" spans="1:10" x14ac:dyDescent="0.3">
      <c r="A352" s="10">
        <f>'2_Clean_Data'!A349</f>
        <v>348</v>
      </c>
      <c r="B352" s="10">
        <f>INDEX('2_Clean_Data'!$M$2:$M$1360,MATCH($A352,'2_Clean_Data'!$A$2:$A$1360,0))</f>
        <v>6</v>
      </c>
      <c r="C352" s="9" t="str">
        <f t="shared" si="20"/>
        <v>Above Average</v>
      </c>
      <c r="D352" s="11">
        <f>INDEX('2_Clean_Data'!$L$2:$L$1360,MATCH($A352,'2_Clean_Data'!$A$2:$A$1360,0))</f>
        <v>11</v>
      </c>
      <c r="E352" s="9" t="str">
        <f>IF(D352&lt;'3_Summary_Tables'!$C$16,"Low",IF(D352&lt;'3_Summary_Tables'!$C$17,"Medium","High"))</f>
        <v>Medium</v>
      </c>
      <c r="F352" s="12">
        <f>INDEX('2_Clean_Data'!$C$2:$C$1360,MATCH($A352,'2_Clean_Data'!$A$2:$A$1360,0))</f>
        <v>0.59</v>
      </c>
      <c r="G352" s="10">
        <f>INDEX('2_Clean_Data'!$H$2:$H$1360,MATCH($A352,'2_Clean_Data'!$A$2:$A$1360,0))</f>
        <v>49</v>
      </c>
      <c r="H352" s="9" t="str">
        <f t="shared" si="21"/>
        <v>Low</v>
      </c>
      <c r="I352" s="9" t="str">
        <f t="shared" si="22"/>
        <v>OK</v>
      </c>
      <c r="J352" s="9" t="str">
        <f t="shared" si="23"/>
        <v>Solid</v>
      </c>
    </row>
    <row r="353" spans="1:10" x14ac:dyDescent="0.3">
      <c r="A353" s="10">
        <f>'2_Clean_Data'!A350</f>
        <v>349</v>
      </c>
      <c r="B353" s="10">
        <f>INDEX('2_Clean_Data'!$M$2:$M$1360,MATCH($A353,'2_Clean_Data'!$A$2:$A$1360,0))</f>
        <v>5</v>
      </c>
      <c r="C353" s="9" t="str">
        <f t="shared" si="20"/>
        <v>Average</v>
      </c>
      <c r="D353" s="11">
        <f>INDEX('2_Clean_Data'!$L$2:$L$1360,MATCH($A353,'2_Clean_Data'!$A$2:$A$1360,0))</f>
        <v>9.4</v>
      </c>
      <c r="E353" s="9" t="str">
        <f>IF(D353&lt;'3_Summary_Tables'!$C$16,"Low",IF(D353&lt;'3_Summary_Tables'!$C$17,"Medium","High"))</f>
        <v>Low</v>
      </c>
      <c r="F353" s="12">
        <f>INDEX('2_Clean_Data'!$C$2:$C$1360,MATCH($A353,'2_Clean_Data'!$A$2:$A$1360,0))</f>
        <v>0.76500000000000001</v>
      </c>
      <c r="G353" s="10">
        <f>INDEX('2_Clean_Data'!$H$2:$H$1360,MATCH($A353,'2_Clean_Data'!$A$2:$A$1360,0))</f>
        <v>42</v>
      </c>
      <c r="H353" s="9" t="str">
        <f t="shared" si="21"/>
        <v>Low</v>
      </c>
      <c r="I353" s="9" t="str">
        <f t="shared" si="22"/>
        <v>Above limit</v>
      </c>
      <c r="J353" s="9" t="str">
        <f t="shared" si="23"/>
        <v>Standard</v>
      </c>
    </row>
    <row r="354" spans="1:10" x14ac:dyDescent="0.3">
      <c r="A354" s="10">
        <f>'2_Clean_Data'!A351</f>
        <v>350</v>
      </c>
      <c r="B354" s="10">
        <f>INDEX('2_Clean_Data'!$M$2:$M$1360,MATCH($A354,'2_Clean_Data'!$A$2:$A$1360,0))</f>
        <v>6</v>
      </c>
      <c r="C354" s="9" t="str">
        <f t="shared" si="20"/>
        <v>Above Average</v>
      </c>
      <c r="D354" s="11">
        <f>INDEX('2_Clean_Data'!$L$2:$L$1360,MATCH($A354,'2_Clean_Data'!$A$2:$A$1360,0))</f>
        <v>10.8</v>
      </c>
      <c r="E354" s="9" t="str">
        <f>IF(D354&lt;'3_Summary_Tables'!$C$16,"Low",IF(D354&lt;'3_Summary_Tables'!$C$17,"Medium","High"))</f>
        <v>Medium</v>
      </c>
      <c r="F354" s="12">
        <f>INDEX('2_Clean_Data'!$C$2:$C$1360,MATCH($A354,'2_Clean_Data'!$A$2:$A$1360,0))</f>
        <v>0.26</v>
      </c>
      <c r="G354" s="10">
        <f>INDEX('2_Clean_Data'!$H$2:$H$1360,MATCH($A354,'2_Clean_Data'!$A$2:$A$1360,0))</f>
        <v>38</v>
      </c>
      <c r="H354" s="9" t="str">
        <f t="shared" si="21"/>
        <v>Low</v>
      </c>
      <c r="I354" s="9" t="str">
        <f t="shared" si="22"/>
        <v>OK</v>
      </c>
      <c r="J354" s="9" t="str">
        <f t="shared" si="23"/>
        <v>Solid</v>
      </c>
    </row>
    <row r="355" spans="1:10" x14ac:dyDescent="0.3">
      <c r="A355" s="10">
        <f>'2_Clean_Data'!A352</f>
        <v>351</v>
      </c>
      <c r="B355" s="10">
        <f>INDEX('2_Clean_Data'!$M$2:$M$1360,MATCH($A355,'2_Clean_Data'!$A$2:$A$1360,0))</f>
        <v>6</v>
      </c>
      <c r="C355" s="9" t="str">
        <f t="shared" si="20"/>
        <v>Above Average</v>
      </c>
      <c r="D355" s="11">
        <f>INDEX('2_Clean_Data'!$L$2:$L$1360,MATCH($A355,'2_Clean_Data'!$A$2:$A$1360,0))</f>
        <v>10.5</v>
      </c>
      <c r="E355" s="9" t="str">
        <f>IF(D355&lt;'3_Summary_Tables'!$C$16,"Low",IF(D355&lt;'3_Summary_Tables'!$C$17,"Medium","High"))</f>
        <v>Medium</v>
      </c>
      <c r="F355" s="12">
        <f>INDEX('2_Clean_Data'!$C$2:$C$1360,MATCH($A355,'2_Clean_Data'!$A$2:$A$1360,0))</f>
        <v>0.48</v>
      </c>
      <c r="G355" s="10">
        <f>INDEX('2_Clean_Data'!$H$2:$H$1360,MATCH($A355,'2_Clean_Data'!$A$2:$A$1360,0))</f>
        <v>64</v>
      </c>
      <c r="H355" s="9" t="str">
        <f t="shared" si="21"/>
        <v>Moderate</v>
      </c>
      <c r="I355" s="9" t="str">
        <f t="shared" si="22"/>
        <v>OK</v>
      </c>
      <c r="J355" s="9" t="str">
        <f t="shared" si="23"/>
        <v>Solid</v>
      </c>
    </row>
    <row r="356" spans="1:10" x14ac:dyDescent="0.3">
      <c r="A356" s="10">
        <f>'2_Clean_Data'!A353</f>
        <v>352</v>
      </c>
      <c r="B356" s="10">
        <f>INDEX('2_Clean_Data'!$M$2:$M$1360,MATCH($A356,'2_Clean_Data'!$A$2:$A$1360,0))</f>
        <v>6</v>
      </c>
      <c r="C356" s="9" t="str">
        <f t="shared" si="20"/>
        <v>Above Average</v>
      </c>
      <c r="D356" s="11">
        <f>INDEX('2_Clean_Data'!$L$2:$L$1360,MATCH($A356,'2_Clean_Data'!$A$2:$A$1360,0))</f>
        <v>10.5</v>
      </c>
      <c r="E356" s="9" t="str">
        <f>IF(D356&lt;'3_Summary_Tables'!$C$16,"Low",IF(D356&lt;'3_Summary_Tables'!$C$17,"Medium","High"))</f>
        <v>Medium</v>
      </c>
      <c r="F356" s="12">
        <f>INDEX('2_Clean_Data'!$C$2:$C$1360,MATCH($A356,'2_Clean_Data'!$A$2:$A$1360,0))</f>
        <v>0.6</v>
      </c>
      <c r="G356" s="10">
        <f>INDEX('2_Clean_Data'!$H$2:$H$1360,MATCH($A356,'2_Clean_Data'!$A$2:$A$1360,0))</f>
        <v>41</v>
      </c>
      <c r="H356" s="9" t="str">
        <f t="shared" si="21"/>
        <v>Low</v>
      </c>
      <c r="I356" s="9" t="str">
        <f t="shared" si="22"/>
        <v>OK</v>
      </c>
      <c r="J356" s="9" t="str">
        <f t="shared" si="23"/>
        <v>Solid</v>
      </c>
    </row>
    <row r="357" spans="1:10" x14ac:dyDescent="0.3">
      <c r="A357" s="10">
        <f>'2_Clean_Data'!A354</f>
        <v>353</v>
      </c>
      <c r="B357" s="10">
        <f>INDEX('2_Clean_Data'!$M$2:$M$1360,MATCH($A357,'2_Clean_Data'!$A$2:$A$1360,0))</f>
        <v>5</v>
      </c>
      <c r="C357" s="9" t="str">
        <f t="shared" si="20"/>
        <v>Average</v>
      </c>
      <c r="D357" s="11">
        <f>INDEX('2_Clean_Data'!$L$2:$L$1360,MATCH($A357,'2_Clean_Data'!$A$2:$A$1360,0))</f>
        <v>9.1</v>
      </c>
      <c r="E357" s="9" t="str">
        <f>IF(D357&lt;'3_Summary_Tables'!$C$16,"Low",IF(D357&lt;'3_Summary_Tables'!$C$17,"Medium","High"))</f>
        <v>Low</v>
      </c>
      <c r="F357" s="12">
        <f>INDEX('2_Clean_Data'!$C$2:$C$1360,MATCH($A357,'2_Clean_Data'!$A$2:$A$1360,0))</f>
        <v>0.69</v>
      </c>
      <c r="G357" s="10">
        <f>INDEX('2_Clean_Data'!$H$2:$H$1360,MATCH($A357,'2_Clean_Data'!$A$2:$A$1360,0))</f>
        <v>27</v>
      </c>
      <c r="H357" s="9" t="str">
        <f t="shared" si="21"/>
        <v>Low</v>
      </c>
      <c r="I357" s="9" t="str">
        <f t="shared" si="22"/>
        <v>OK</v>
      </c>
      <c r="J357" s="9" t="str">
        <f t="shared" si="23"/>
        <v>Standard</v>
      </c>
    </row>
    <row r="358" spans="1:10" x14ac:dyDescent="0.3">
      <c r="A358" s="10">
        <f>'2_Clean_Data'!A355</f>
        <v>354</v>
      </c>
      <c r="B358" s="10">
        <f>INDEX('2_Clean_Data'!$M$2:$M$1360,MATCH($A358,'2_Clean_Data'!$A$2:$A$1360,0))</f>
        <v>6</v>
      </c>
      <c r="C358" s="9" t="str">
        <f t="shared" si="20"/>
        <v>Above Average</v>
      </c>
      <c r="D358" s="11">
        <f>INDEX('2_Clean_Data'!$L$2:$L$1360,MATCH($A358,'2_Clean_Data'!$A$2:$A$1360,0))</f>
        <v>10.1</v>
      </c>
      <c r="E358" s="9" t="str">
        <f>IF(D358&lt;'3_Summary_Tables'!$C$16,"Low",IF(D358&lt;'3_Summary_Tables'!$C$17,"Medium","High"))</f>
        <v>Medium</v>
      </c>
      <c r="F358" s="12">
        <f>INDEX('2_Clean_Data'!$C$2:$C$1360,MATCH($A358,'2_Clean_Data'!$A$2:$A$1360,0))</f>
        <v>0.31</v>
      </c>
      <c r="G358" s="10">
        <f>INDEX('2_Clean_Data'!$H$2:$H$1360,MATCH($A358,'2_Clean_Data'!$A$2:$A$1360,0))</f>
        <v>25</v>
      </c>
      <c r="H358" s="9" t="str">
        <f t="shared" si="21"/>
        <v>Low</v>
      </c>
      <c r="I358" s="9" t="str">
        <f t="shared" si="22"/>
        <v>OK</v>
      </c>
      <c r="J358" s="9" t="str">
        <f t="shared" si="23"/>
        <v>Solid</v>
      </c>
    </row>
    <row r="359" spans="1:10" x14ac:dyDescent="0.3">
      <c r="A359" s="10">
        <f>'2_Clean_Data'!A356</f>
        <v>355</v>
      </c>
      <c r="B359" s="10">
        <f>INDEX('2_Clean_Data'!$M$2:$M$1360,MATCH($A359,'2_Clean_Data'!$A$2:$A$1360,0))</f>
        <v>6</v>
      </c>
      <c r="C359" s="9" t="str">
        <f t="shared" si="20"/>
        <v>Above Average</v>
      </c>
      <c r="D359" s="11">
        <f>INDEX('2_Clean_Data'!$L$2:$L$1360,MATCH($A359,'2_Clean_Data'!$A$2:$A$1360,0))</f>
        <v>10.8</v>
      </c>
      <c r="E359" s="9" t="str">
        <f>IF(D359&lt;'3_Summary_Tables'!$C$16,"Low",IF(D359&lt;'3_Summary_Tables'!$C$17,"Medium","High"))</f>
        <v>Medium</v>
      </c>
      <c r="F359" s="12">
        <f>INDEX('2_Clean_Data'!$C$2:$C$1360,MATCH($A359,'2_Clean_Data'!$A$2:$A$1360,0))</f>
        <v>0.44</v>
      </c>
      <c r="G359" s="10">
        <f>INDEX('2_Clean_Data'!$H$2:$H$1360,MATCH($A359,'2_Clean_Data'!$A$2:$A$1360,0))</f>
        <v>28</v>
      </c>
      <c r="H359" s="9" t="str">
        <f t="shared" si="21"/>
        <v>Low</v>
      </c>
      <c r="I359" s="9" t="str">
        <f t="shared" si="22"/>
        <v>OK</v>
      </c>
      <c r="J359" s="9" t="str">
        <f t="shared" si="23"/>
        <v>Solid</v>
      </c>
    </row>
    <row r="360" spans="1:10" x14ac:dyDescent="0.3">
      <c r="A360" s="10">
        <f>'2_Clean_Data'!A357</f>
        <v>356</v>
      </c>
      <c r="B360" s="10">
        <f>INDEX('2_Clean_Data'!$M$2:$M$1360,MATCH($A360,'2_Clean_Data'!$A$2:$A$1360,0))</f>
        <v>7</v>
      </c>
      <c r="C360" s="9" t="str">
        <f t="shared" si="20"/>
        <v>Good</v>
      </c>
      <c r="D360" s="11">
        <f>INDEX('2_Clean_Data'!$L$2:$L$1360,MATCH($A360,'2_Clean_Data'!$A$2:$A$1360,0))</f>
        <v>10.8</v>
      </c>
      <c r="E360" s="9" t="str">
        <f>IF(D360&lt;'3_Summary_Tables'!$C$16,"Low",IF(D360&lt;'3_Summary_Tables'!$C$17,"Medium","High"))</f>
        <v>Medium</v>
      </c>
      <c r="F360" s="12">
        <f>INDEX('2_Clean_Data'!$C$2:$C$1360,MATCH($A360,'2_Clean_Data'!$A$2:$A$1360,0))</f>
        <v>0.39</v>
      </c>
      <c r="G360" s="10">
        <f>INDEX('2_Clean_Data'!$H$2:$H$1360,MATCH($A360,'2_Clean_Data'!$A$2:$A$1360,0))</f>
        <v>30</v>
      </c>
      <c r="H360" s="9" t="str">
        <f t="shared" si="21"/>
        <v>Low</v>
      </c>
      <c r="I360" s="9" t="str">
        <f t="shared" si="22"/>
        <v>OK</v>
      </c>
      <c r="J360" s="9" t="str">
        <f t="shared" si="23"/>
        <v>Solid</v>
      </c>
    </row>
    <row r="361" spans="1:10" x14ac:dyDescent="0.3">
      <c r="A361" s="10">
        <f>'2_Clean_Data'!A358</f>
        <v>357</v>
      </c>
      <c r="B361" s="10">
        <f>INDEX('2_Clean_Data'!$M$2:$M$1360,MATCH($A361,'2_Clean_Data'!$A$2:$A$1360,0))</f>
        <v>6</v>
      </c>
      <c r="C361" s="9" t="str">
        <f t="shared" si="20"/>
        <v>Above Average</v>
      </c>
      <c r="D361" s="11">
        <f>INDEX('2_Clean_Data'!$L$2:$L$1360,MATCH($A361,'2_Clean_Data'!$A$2:$A$1360,0))</f>
        <v>11.3</v>
      </c>
      <c r="E361" s="9" t="str">
        <f>IF(D361&lt;'3_Summary_Tables'!$C$16,"Low",IF(D361&lt;'3_Summary_Tables'!$C$17,"Medium","High"))</f>
        <v>Medium</v>
      </c>
      <c r="F361" s="12">
        <f>INDEX('2_Clean_Data'!$C$2:$C$1360,MATCH($A361,'2_Clean_Data'!$A$2:$A$1360,0))</f>
        <v>0.34</v>
      </c>
      <c r="G361" s="10">
        <f>INDEX('2_Clean_Data'!$H$2:$H$1360,MATCH($A361,'2_Clean_Data'!$A$2:$A$1360,0))</f>
        <v>16</v>
      </c>
      <c r="H361" s="9" t="str">
        <f t="shared" si="21"/>
        <v>Low</v>
      </c>
      <c r="I361" s="9" t="str">
        <f t="shared" si="22"/>
        <v>OK</v>
      </c>
      <c r="J361" s="9" t="str">
        <f t="shared" si="23"/>
        <v>Solid</v>
      </c>
    </row>
    <row r="362" spans="1:10" x14ac:dyDescent="0.3">
      <c r="A362" s="10">
        <f>'2_Clean_Data'!A359</f>
        <v>358</v>
      </c>
      <c r="B362" s="10">
        <f>INDEX('2_Clean_Data'!$M$2:$M$1360,MATCH($A362,'2_Clean_Data'!$A$2:$A$1360,0))</f>
        <v>4</v>
      </c>
      <c r="C362" s="9" t="str">
        <f t="shared" si="20"/>
        <v>Poor</v>
      </c>
      <c r="D362" s="11">
        <f>INDEX('2_Clean_Data'!$L$2:$L$1360,MATCH($A362,'2_Clean_Data'!$A$2:$A$1360,0))</f>
        <v>9.6</v>
      </c>
      <c r="E362" s="9" t="str">
        <f>IF(D362&lt;'3_Summary_Tables'!$C$16,"Low",IF(D362&lt;'3_Summary_Tables'!$C$17,"Medium","High"))</f>
        <v>Low</v>
      </c>
      <c r="F362" s="12">
        <f>INDEX('2_Clean_Data'!$C$2:$C$1360,MATCH($A362,'2_Clean_Data'!$A$2:$A$1360,0))</f>
        <v>0.46</v>
      </c>
      <c r="G362" s="10">
        <f>INDEX('2_Clean_Data'!$H$2:$H$1360,MATCH($A362,'2_Clean_Data'!$A$2:$A$1360,0))</f>
        <v>49</v>
      </c>
      <c r="H362" s="9" t="str">
        <f t="shared" si="21"/>
        <v>Low</v>
      </c>
      <c r="I362" s="9" t="str">
        <f t="shared" si="22"/>
        <v>OK</v>
      </c>
      <c r="J362" s="9" t="str">
        <f t="shared" si="23"/>
        <v>Poor</v>
      </c>
    </row>
    <row r="363" spans="1:10" x14ac:dyDescent="0.3">
      <c r="A363" s="10">
        <f>'2_Clean_Data'!A360</f>
        <v>359</v>
      </c>
      <c r="B363" s="10">
        <f>INDEX('2_Clean_Data'!$M$2:$M$1360,MATCH($A363,'2_Clean_Data'!$A$2:$A$1360,0))</f>
        <v>6</v>
      </c>
      <c r="C363" s="9" t="str">
        <f t="shared" si="20"/>
        <v>Above Average</v>
      </c>
      <c r="D363" s="11">
        <f>INDEX('2_Clean_Data'!$L$2:$L$1360,MATCH($A363,'2_Clean_Data'!$A$2:$A$1360,0))</f>
        <v>9.5</v>
      </c>
      <c r="E363" s="9" t="str">
        <f>IF(D363&lt;'3_Summary_Tables'!$C$16,"Low",IF(D363&lt;'3_Summary_Tables'!$C$17,"Medium","High"))</f>
        <v>Low</v>
      </c>
      <c r="F363" s="12">
        <f>INDEX('2_Clean_Data'!$C$2:$C$1360,MATCH($A363,'2_Clean_Data'!$A$2:$A$1360,0))</f>
        <v>0.43</v>
      </c>
      <c r="G363" s="10">
        <f>INDEX('2_Clean_Data'!$H$2:$H$1360,MATCH($A363,'2_Clean_Data'!$A$2:$A$1360,0))</f>
        <v>86</v>
      </c>
      <c r="H363" s="9" t="str">
        <f t="shared" si="21"/>
        <v>Moderate</v>
      </c>
      <c r="I363" s="9" t="str">
        <f t="shared" si="22"/>
        <v>OK</v>
      </c>
      <c r="J363" s="9" t="str">
        <f t="shared" si="23"/>
        <v>Solid</v>
      </c>
    </row>
    <row r="364" spans="1:10" x14ac:dyDescent="0.3">
      <c r="A364" s="10">
        <f>'2_Clean_Data'!A361</f>
        <v>360</v>
      </c>
      <c r="B364" s="10">
        <f>INDEX('2_Clean_Data'!$M$2:$M$1360,MATCH($A364,'2_Clean_Data'!$A$2:$A$1360,0))</f>
        <v>5</v>
      </c>
      <c r="C364" s="9" t="str">
        <f t="shared" si="20"/>
        <v>Average</v>
      </c>
      <c r="D364" s="11">
        <f>INDEX('2_Clean_Data'!$L$2:$L$1360,MATCH($A364,'2_Clean_Data'!$A$2:$A$1360,0))</f>
        <v>9.5</v>
      </c>
      <c r="E364" s="9" t="str">
        <f>IF(D364&lt;'3_Summary_Tables'!$C$16,"Low",IF(D364&lt;'3_Summary_Tables'!$C$17,"Medium","High"))</f>
        <v>Low</v>
      </c>
      <c r="F364" s="12">
        <f>INDEX('2_Clean_Data'!$C$2:$C$1360,MATCH($A364,'2_Clean_Data'!$A$2:$A$1360,0))</f>
        <v>0.45</v>
      </c>
      <c r="G364" s="10">
        <f>INDEX('2_Clean_Data'!$H$2:$H$1360,MATCH($A364,'2_Clean_Data'!$A$2:$A$1360,0))</f>
        <v>78</v>
      </c>
      <c r="H364" s="9" t="str">
        <f t="shared" si="21"/>
        <v>Moderate</v>
      </c>
      <c r="I364" s="9" t="str">
        <f t="shared" si="22"/>
        <v>OK</v>
      </c>
      <c r="J364" s="9" t="str">
        <f t="shared" si="23"/>
        <v>Standard</v>
      </c>
    </row>
    <row r="365" spans="1:10" x14ac:dyDescent="0.3">
      <c r="A365" s="10">
        <f>'2_Clean_Data'!A362</f>
        <v>361</v>
      </c>
      <c r="B365" s="10">
        <f>INDEX('2_Clean_Data'!$M$2:$M$1360,MATCH($A365,'2_Clean_Data'!$A$2:$A$1360,0))</f>
        <v>5</v>
      </c>
      <c r="C365" s="9" t="str">
        <f t="shared" si="20"/>
        <v>Average</v>
      </c>
      <c r="D365" s="11">
        <f>INDEX('2_Clean_Data'!$L$2:$L$1360,MATCH($A365,'2_Clean_Data'!$A$2:$A$1360,0))</f>
        <v>9.3000000000000007</v>
      </c>
      <c r="E365" s="9" t="str">
        <f>IF(D365&lt;'3_Summary_Tables'!$C$16,"Low",IF(D365&lt;'3_Summary_Tables'!$C$17,"Medium","High"))</f>
        <v>Low</v>
      </c>
      <c r="F365" s="12">
        <f>INDEX('2_Clean_Data'!$C$2:$C$1360,MATCH($A365,'2_Clean_Data'!$A$2:$A$1360,0))</f>
        <v>0.73499999999999999</v>
      </c>
      <c r="G365" s="10">
        <f>INDEX('2_Clean_Data'!$H$2:$H$1360,MATCH($A365,'2_Clean_Data'!$A$2:$A$1360,0))</f>
        <v>77</v>
      </c>
      <c r="H365" s="9" t="str">
        <f t="shared" si="21"/>
        <v>Moderate</v>
      </c>
      <c r="I365" s="9" t="str">
        <f t="shared" si="22"/>
        <v>Above limit</v>
      </c>
      <c r="J365" s="9" t="str">
        <f t="shared" si="23"/>
        <v>Standard</v>
      </c>
    </row>
    <row r="366" spans="1:10" x14ac:dyDescent="0.3">
      <c r="A366" s="10">
        <f>'2_Clean_Data'!A363</f>
        <v>362</v>
      </c>
      <c r="B366" s="10">
        <f>INDEX('2_Clean_Data'!$M$2:$M$1360,MATCH($A366,'2_Clean_Data'!$A$2:$A$1360,0))</f>
        <v>7</v>
      </c>
      <c r="C366" s="9" t="str">
        <f t="shared" si="20"/>
        <v>Good</v>
      </c>
      <c r="D366" s="11">
        <f>INDEX('2_Clean_Data'!$L$2:$L$1360,MATCH($A366,'2_Clean_Data'!$A$2:$A$1360,0))</f>
        <v>11.7</v>
      </c>
      <c r="E366" s="9" t="str">
        <f>IF(D366&lt;'3_Summary_Tables'!$C$16,"Low",IF(D366&lt;'3_Summary_Tables'!$C$17,"Medium","High"))</f>
        <v>High</v>
      </c>
      <c r="F366" s="12">
        <f>INDEX('2_Clean_Data'!$C$2:$C$1360,MATCH($A366,'2_Clean_Data'!$A$2:$A$1360,0))</f>
        <v>0.4</v>
      </c>
      <c r="G366" s="10">
        <f>INDEX('2_Clean_Data'!$H$2:$H$1360,MATCH($A366,'2_Clean_Data'!$A$2:$A$1360,0))</f>
        <v>19</v>
      </c>
      <c r="H366" s="9" t="str">
        <f t="shared" si="21"/>
        <v>Low</v>
      </c>
      <c r="I366" s="9" t="str">
        <f t="shared" si="22"/>
        <v>OK</v>
      </c>
      <c r="J366" s="9" t="str">
        <f t="shared" si="23"/>
        <v>Premium</v>
      </c>
    </row>
    <row r="367" spans="1:10" x14ac:dyDescent="0.3">
      <c r="A367" s="10">
        <f>'2_Clean_Data'!A364</f>
        <v>363</v>
      </c>
      <c r="B367" s="10">
        <f>INDEX('2_Clean_Data'!$M$2:$M$1360,MATCH($A367,'2_Clean_Data'!$A$2:$A$1360,0))</f>
        <v>5</v>
      </c>
      <c r="C367" s="9" t="str">
        <f t="shared" si="20"/>
        <v>Average</v>
      </c>
      <c r="D367" s="11">
        <f>INDEX('2_Clean_Data'!$L$2:$L$1360,MATCH($A367,'2_Clean_Data'!$A$2:$A$1360,0))</f>
        <v>9.5</v>
      </c>
      <c r="E367" s="9" t="str">
        <f>IF(D367&lt;'3_Summary_Tables'!$C$16,"Low",IF(D367&lt;'3_Summary_Tables'!$C$17,"Medium","High"))</f>
        <v>Low</v>
      </c>
      <c r="F367" s="12">
        <f>INDEX('2_Clean_Data'!$C$2:$C$1360,MATCH($A367,'2_Clean_Data'!$A$2:$A$1360,0))</f>
        <v>0.52</v>
      </c>
      <c r="G367" s="10">
        <f>INDEX('2_Clean_Data'!$H$2:$H$1360,MATCH($A367,'2_Clean_Data'!$A$2:$A$1360,0))</f>
        <v>122</v>
      </c>
      <c r="H367" s="9" t="str">
        <f t="shared" si="21"/>
        <v>High</v>
      </c>
      <c r="I367" s="9" t="str">
        <f t="shared" si="22"/>
        <v>OK</v>
      </c>
      <c r="J367" s="9" t="str">
        <f t="shared" si="23"/>
        <v>Standard</v>
      </c>
    </row>
    <row r="368" spans="1:10" x14ac:dyDescent="0.3">
      <c r="A368" s="10">
        <f>'2_Clean_Data'!A365</f>
        <v>364</v>
      </c>
      <c r="B368" s="10">
        <f>INDEX('2_Clean_Data'!$M$2:$M$1360,MATCH($A368,'2_Clean_Data'!$A$2:$A$1360,0))</f>
        <v>5</v>
      </c>
      <c r="C368" s="9" t="str">
        <f t="shared" si="20"/>
        <v>Average</v>
      </c>
      <c r="D368" s="11">
        <f>INDEX('2_Clean_Data'!$L$2:$L$1360,MATCH($A368,'2_Clean_Data'!$A$2:$A$1360,0))</f>
        <v>9.3000000000000007</v>
      </c>
      <c r="E368" s="9" t="str">
        <f>IF(D368&lt;'3_Summary_Tables'!$C$16,"Low",IF(D368&lt;'3_Summary_Tables'!$C$17,"Medium","High"))</f>
        <v>Low</v>
      </c>
      <c r="F368" s="12">
        <f>INDEX('2_Clean_Data'!$C$2:$C$1360,MATCH($A368,'2_Clean_Data'!$A$2:$A$1360,0))</f>
        <v>0.72499999999999998</v>
      </c>
      <c r="G368" s="10">
        <f>INDEX('2_Clean_Data'!$H$2:$H$1360,MATCH($A368,'2_Clean_Data'!$A$2:$A$1360,0))</f>
        <v>134</v>
      </c>
      <c r="H368" s="9" t="str">
        <f t="shared" si="21"/>
        <v>High</v>
      </c>
      <c r="I368" s="9" t="str">
        <f t="shared" si="22"/>
        <v>Above limit</v>
      </c>
      <c r="J368" s="9" t="str">
        <f t="shared" si="23"/>
        <v>Standard</v>
      </c>
    </row>
    <row r="369" spans="1:10" x14ac:dyDescent="0.3">
      <c r="A369" s="10">
        <f>'2_Clean_Data'!A366</f>
        <v>365</v>
      </c>
      <c r="B369" s="10">
        <f>INDEX('2_Clean_Data'!$M$2:$M$1360,MATCH($A369,'2_Clean_Data'!$A$2:$A$1360,0))</f>
        <v>6</v>
      </c>
      <c r="C369" s="9" t="str">
        <f t="shared" si="20"/>
        <v>Above Average</v>
      </c>
      <c r="D369" s="11">
        <f>INDEX('2_Clean_Data'!$L$2:$L$1360,MATCH($A369,'2_Clean_Data'!$A$2:$A$1360,0))</f>
        <v>11.7</v>
      </c>
      <c r="E369" s="9" t="str">
        <f>IF(D369&lt;'3_Summary_Tables'!$C$16,"Low",IF(D369&lt;'3_Summary_Tables'!$C$17,"Medium","High"))</f>
        <v>High</v>
      </c>
      <c r="F369" s="12">
        <f>INDEX('2_Clean_Data'!$C$2:$C$1360,MATCH($A369,'2_Clean_Data'!$A$2:$A$1360,0))</f>
        <v>0.48</v>
      </c>
      <c r="G369" s="10">
        <f>INDEX('2_Clean_Data'!$H$2:$H$1360,MATCH($A369,'2_Clean_Data'!$A$2:$A$1360,0))</f>
        <v>20</v>
      </c>
      <c r="H369" s="9" t="str">
        <f t="shared" si="21"/>
        <v>Low</v>
      </c>
      <c r="I369" s="9" t="str">
        <f t="shared" si="22"/>
        <v>OK</v>
      </c>
      <c r="J369" s="9" t="str">
        <f t="shared" si="23"/>
        <v>Solid</v>
      </c>
    </row>
    <row r="370" spans="1:10" x14ac:dyDescent="0.3">
      <c r="A370" s="10">
        <f>'2_Clean_Data'!A367</f>
        <v>366</v>
      </c>
      <c r="B370" s="10">
        <f>INDEX('2_Clean_Data'!$M$2:$M$1360,MATCH($A370,'2_Clean_Data'!$A$2:$A$1360,0))</f>
        <v>5</v>
      </c>
      <c r="C370" s="9" t="str">
        <f t="shared" si="20"/>
        <v>Average</v>
      </c>
      <c r="D370" s="11">
        <f>INDEX('2_Clean_Data'!$L$2:$L$1360,MATCH($A370,'2_Clean_Data'!$A$2:$A$1360,0))</f>
        <v>10.5</v>
      </c>
      <c r="E370" s="9" t="str">
        <f>IF(D370&lt;'3_Summary_Tables'!$C$16,"Low",IF(D370&lt;'3_Summary_Tables'!$C$17,"Medium","High"))</f>
        <v>Medium</v>
      </c>
      <c r="F370" s="12">
        <f>INDEX('2_Clean_Data'!$C$2:$C$1360,MATCH($A370,'2_Clean_Data'!$A$2:$A$1360,0))</f>
        <v>0.57999999999999996</v>
      </c>
      <c r="G370" s="10">
        <f>INDEX('2_Clean_Data'!$H$2:$H$1360,MATCH($A370,'2_Clean_Data'!$A$2:$A$1360,0))</f>
        <v>124</v>
      </c>
      <c r="H370" s="9" t="str">
        <f t="shared" si="21"/>
        <v>High</v>
      </c>
      <c r="I370" s="9" t="str">
        <f t="shared" si="22"/>
        <v>OK</v>
      </c>
      <c r="J370" s="9" t="str">
        <f t="shared" si="23"/>
        <v>Standard</v>
      </c>
    </row>
    <row r="371" spans="1:10" x14ac:dyDescent="0.3">
      <c r="A371" s="10">
        <f>'2_Clean_Data'!A368</f>
        <v>367</v>
      </c>
      <c r="B371" s="10">
        <f>INDEX('2_Clean_Data'!$M$2:$M$1360,MATCH($A371,'2_Clean_Data'!$A$2:$A$1360,0))</f>
        <v>6</v>
      </c>
      <c r="C371" s="9" t="str">
        <f t="shared" si="20"/>
        <v>Above Average</v>
      </c>
      <c r="D371" s="11">
        <f>INDEX('2_Clean_Data'!$L$2:$L$1360,MATCH($A371,'2_Clean_Data'!$A$2:$A$1360,0))</f>
        <v>10.4</v>
      </c>
      <c r="E371" s="9" t="str">
        <f>IF(D371&lt;'3_Summary_Tables'!$C$16,"Low",IF(D371&lt;'3_Summary_Tables'!$C$17,"Medium","High"))</f>
        <v>Medium</v>
      </c>
      <c r="F371" s="12">
        <f>INDEX('2_Clean_Data'!$C$2:$C$1360,MATCH($A371,'2_Clean_Data'!$A$2:$A$1360,0))</f>
        <v>0.38</v>
      </c>
      <c r="G371" s="10">
        <f>INDEX('2_Clean_Data'!$H$2:$H$1360,MATCH($A371,'2_Clean_Data'!$A$2:$A$1360,0))</f>
        <v>20</v>
      </c>
      <c r="H371" s="9" t="str">
        <f t="shared" si="21"/>
        <v>Low</v>
      </c>
      <c r="I371" s="9" t="str">
        <f t="shared" si="22"/>
        <v>OK</v>
      </c>
      <c r="J371" s="9" t="str">
        <f t="shared" si="23"/>
        <v>Solid</v>
      </c>
    </row>
    <row r="372" spans="1:10" x14ac:dyDescent="0.3">
      <c r="A372" s="10">
        <f>'2_Clean_Data'!A369</f>
        <v>368</v>
      </c>
      <c r="B372" s="10">
        <f>INDEX('2_Clean_Data'!$M$2:$M$1360,MATCH($A372,'2_Clean_Data'!$A$2:$A$1360,0))</f>
        <v>5</v>
      </c>
      <c r="C372" s="9" t="str">
        <f t="shared" si="20"/>
        <v>Average</v>
      </c>
      <c r="D372" s="11">
        <f>INDEX('2_Clean_Data'!$L$2:$L$1360,MATCH($A372,'2_Clean_Data'!$A$2:$A$1360,0))</f>
        <v>9.9</v>
      </c>
      <c r="E372" s="9" t="str">
        <f>IF(D372&lt;'3_Summary_Tables'!$C$16,"Low",IF(D372&lt;'3_Summary_Tables'!$C$17,"Medium","High"))</f>
        <v>Low</v>
      </c>
      <c r="F372" s="12">
        <f>INDEX('2_Clean_Data'!$C$2:$C$1360,MATCH($A372,'2_Clean_Data'!$A$2:$A$1360,0))</f>
        <v>0.77</v>
      </c>
      <c r="G372" s="10">
        <f>INDEX('2_Clean_Data'!$H$2:$H$1360,MATCH($A372,'2_Clean_Data'!$A$2:$A$1360,0))</f>
        <v>52</v>
      </c>
      <c r="H372" s="9" t="str">
        <f t="shared" si="21"/>
        <v>Moderate</v>
      </c>
      <c r="I372" s="9" t="str">
        <f t="shared" si="22"/>
        <v>Above limit</v>
      </c>
      <c r="J372" s="9" t="str">
        <f t="shared" si="23"/>
        <v>Standard</v>
      </c>
    </row>
    <row r="373" spans="1:10" x14ac:dyDescent="0.3">
      <c r="A373" s="10">
        <f>'2_Clean_Data'!A370</f>
        <v>369</v>
      </c>
      <c r="B373" s="10">
        <f>INDEX('2_Clean_Data'!$M$2:$M$1360,MATCH($A373,'2_Clean_Data'!$A$2:$A$1360,0))</f>
        <v>7</v>
      </c>
      <c r="C373" s="9" t="str">
        <f t="shared" si="20"/>
        <v>Good</v>
      </c>
      <c r="D373" s="11">
        <f>INDEX('2_Clean_Data'!$L$2:$L$1360,MATCH($A373,'2_Clean_Data'!$A$2:$A$1360,0))</f>
        <v>11.8</v>
      </c>
      <c r="E373" s="9" t="str">
        <f>IF(D373&lt;'3_Summary_Tables'!$C$16,"Low",IF(D373&lt;'3_Summary_Tables'!$C$17,"Medium","High"))</f>
        <v>High</v>
      </c>
      <c r="F373" s="12">
        <f>INDEX('2_Clean_Data'!$C$2:$C$1360,MATCH($A373,'2_Clean_Data'!$A$2:$A$1360,0))</f>
        <v>0.56000000000000005</v>
      </c>
      <c r="G373" s="10">
        <f>INDEX('2_Clean_Data'!$H$2:$H$1360,MATCH($A373,'2_Clean_Data'!$A$2:$A$1360,0))</f>
        <v>67</v>
      </c>
      <c r="H373" s="9" t="str">
        <f t="shared" si="21"/>
        <v>Moderate</v>
      </c>
      <c r="I373" s="9" t="str">
        <f t="shared" si="22"/>
        <v>OK</v>
      </c>
      <c r="J373" s="9" t="str">
        <f t="shared" si="23"/>
        <v>Premium</v>
      </c>
    </row>
    <row r="374" spans="1:10" x14ac:dyDescent="0.3">
      <c r="A374" s="10">
        <f>'2_Clean_Data'!A371</f>
        <v>370</v>
      </c>
      <c r="B374" s="10">
        <f>INDEX('2_Clean_Data'!$M$2:$M$1360,MATCH($A374,'2_Clean_Data'!$A$2:$A$1360,0))</f>
        <v>7</v>
      </c>
      <c r="C374" s="9" t="str">
        <f t="shared" si="20"/>
        <v>Good</v>
      </c>
      <c r="D374" s="11">
        <f>INDEX('2_Clean_Data'!$L$2:$L$1360,MATCH($A374,'2_Clean_Data'!$A$2:$A$1360,0))</f>
        <v>12.3</v>
      </c>
      <c r="E374" s="9" t="str">
        <f>IF(D374&lt;'3_Summary_Tables'!$C$16,"Low",IF(D374&lt;'3_Summary_Tables'!$C$17,"Medium","High"))</f>
        <v>High</v>
      </c>
      <c r="F374" s="12">
        <f>INDEX('2_Clean_Data'!$C$2:$C$1360,MATCH($A374,'2_Clean_Data'!$A$2:$A$1360,0))</f>
        <v>0.84</v>
      </c>
      <c r="G374" s="10">
        <f>INDEX('2_Clean_Data'!$H$2:$H$1360,MATCH($A374,'2_Clean_Data'!$A$2:$A$1360,0))</f>
        <v>48</v>
      </c>
      <c r="H374" s="9" t="str">
        <f t="shared" si="21"/>
        <v>Low</v>
      </c>
      <c r="I374" s="9" t="str">
        <f t="shared" si="22"/>
        <v>Above limit</v>
      </c>
      <c r="J374" s="9" t="str">
        <f t="shared" si="23"/>
        <v>Premium</v>
      </c>
    </row>
    <row r="375" spans="1:10" x14ac:dyDescent="0.3">
      <c r="A375" s="10">
        <f>'2_Clean_Data'!A372</f>
        <v>371</v>
      </c>
      <c r="B375" s="10">
        <f>INDEX('2_Clean_Data'!$M$2:$M$1360,MATCH($A375,'2_Clean_Data'!$A$2:$A$1360,0))</f>
        <v>5</v>
      </c>
      <c r="C375" s="9" t="str">
        <f t="shared" si="20"/>
        <v>Average</v>
      </c>
      <c r="D375" s="11">
        <f>INDEX('2_Clean_Data'!$L$2:$L$1360,MATCH($A375,'2_Clean_Data'!$A$2:$A$1360,0))</f>
        <v>10.9</v>
      </c>
      <c r="E375" s="9" t="str">
        <f>IF(D375&lt;'3_Summary_Tables'!$C$16,"Low",IF(D375&lt;'3_Summary_Tables'!$C$17,"Medium","High"))</f>
        <v>Medium</v>
      </c>
      <c r="F375" s="12">
        <f>INDEX('2_Clean_Data'!$C$2:$C$1360,MATCH($A375,'2_Clean_Data'!$A$2:$A$1360,0))</f>
        <v>0.96</v>
      </c>
      <c r="G375" s="10">
        <f>INDEX('2_Clean_Data'!$H$2:$H$1360,MATCH($A375,'2_Clean_Data'!$A$2:$A$1360,0))</f>
        <v>60</v>
      </c>
      <c r="H375" s="9" t="str">
        <f t="shared" si="21"/>
        <v>Moderate</v>
      </c>
      <c r="I375" s="9" t="str">
        <f t="shared" si="22"/>
        <v>Above limit</v>
      </c>
      <c r="J375" s="9" t="str">
        <f t="shared" si="23"/>
        <v>Standard</v>
      </c>
    </row>
    <row r="376" spans="1:10" x14ac:dyDescent="0.3">
      <c r="A376" s="10">
        <f>'2_Clean_Data'!A373</f>
        <v>372</v>
      </c>
      <c r="B376" s="10">
        <f>INDEX('2_Clean_Data'!$M$2:$M$1360,MATCH($A376,'2_Clean_Data'!$A$2:$A$1360,0))</f>
        <v>7</v>
      </c>
      <c r="C376" s="9" t="str">
        <f t="shared" si="20"/>
        <v>Good</v>
      </c>
      <c r="D376" s="11">
        <f>INDEX('2_Clean_Data'!$L$2:$L$1360,MATCH($A376,'2_Clean_Data'!$A$2:$A$1360,0))</f>
        <v>11</v>
      </c>
      <c r="E376" s="9" t="str">
        <f>IF(D376&lt;'3_Summary_Tables'!$C$16,"Low",IF(D376&lt;'3_Summary_Tables'!$C$17,"Medium","High"))</f>
        <v>Medium</v>
      </c>
      <c r="F376" s="12">
        <f>INDEX('2_Clean_Data'!$C$2:$C$1360,MATCH($A376,'2_Clean_Data'!$A$2:$A$1360,0))</f>
        <v>0.24</v>
      </c>
      <c r="G376" s="10">
        <f>INDEX('2_Clean_Data'!$H$2:$H$1360,MATCH($A376,'2_Clean_Data'!$A$2:$A$1360,0))</f>
        <v>24</v>
      </c>
      <c r="H376" s="9" t="str">
        <f t="shared" si="21"/>
        <v>Low</v>
      </c>
      <c r="I376" s="9" t="str">
        <f t="shared" si="22"/>
        <v>OK</v>
      </c>
      <c r="J376" s="9" t="str">
        <f t="shared" si="23"/>
        <v>Solid</v>
      </c>
    </row>
    <row r="377" spans="1:10" x14ac:dyDescent="0.3">
      <c r="A377" s="10">
        <f>'2_Clean_Data'!A374</f>
        <v>373</v>
      </c>
      <c r="B377" s="10">
        <f>INDEX('2_Clean_Data'!$M$2:$M$1360,MATCH($A377,'2_Clean_Data'!$A$2:$A$1360,0))</f>
        <v>6</v>
      </c>
      <c r="C377" s="9" t="str">
        <f t="shared" si="20"/>
        <v>Above Average</v>
      </c>
      <c r="D377" s="11">
        <f>INDEX('2_Clean_Data'!$L$2:$L$1360,MATCH($A377,'2_Clean_Data'!$A$2:$A$1360,0))</f>
        <v>11.4</v>
      </c>
      <c r="E377" s="9" t="str">
        <f>IF(D377&lt;'3_Summary_Tables'!$C$16,"Low",IF(D377&lt;'3_Summary_Tables'!$C$17,"Medium","High"))</f>
        <v>Medium</v>
      </c>
      <c r="F377" s="12">
        <f>INDEX('2_Clean_Data'!$C$2:$C$1360,MATCH($A377,'2_Clean_Data'!$A$2:$A$1360,0))</f>
        <v>0.67</v>
      </c>
      <c r="G377" s="10">
        <f>INDEX('2_Clean_Data'!$H$2:$H$1360,MATCH($A377,'2_Clean_Data'!$A$2:$A$1360,0))</f>
        <v>48</v>
      </c>
      <c r="H377" s="9" t="str">
        <f t="shared" si="21"/>
        <v>Low</v>
      </c>
      <c r="I377" s="9" t="str">
        <f t="shared" si="22"/>
        <v>OK</v>
      </c>
      <c r="J377" s="9" t="str">
        <f t="shared" si="23"/>
        <v>Solid</v>
      </c>
    </row>
    <row r="378" spans="1:10" x14ac:dyDescent="0.3">
      <c r="A378" s="10">
        <f>'2_Clean_Data'!A375</f>
        <v>374</v>
      </c>
      <c r="B378" s="10">
        <f>INDEX('2_Clean_Data'!$M$2:$M$1360,MATCH($A378,'2_Clean_Data'!$A$2:$A$1360,0))</f>
        <v>6</v>
      </c>
      <c r="C378" s="9" t="str">
        <f t="shared" si="20"/>
        <v>Above Average</v>
      </c>
      <c r="D378" s="11">
        <f>INDEX('2_Clean_Data'!$L$2:$L$1360,MATCH($A378,'2_Clean_Data'!$A$2:$A$1360,0))</f>
        <v>10.6</v>
      </c>
      <c r="E378" s="9" t="str">
        <f>IF(D378&lt;'3_Summary_Tables'!$C$16,"Low",IF(D378&lt;'3_Summary_Tables'!$C$17,"Medium","High"))</f>
        <v>Medium</v>
      </c>
      <c r="F378" s="12">
        <f>INDEX('2_Clean_Data'!$C$2:$C$1360,MATCH($A378,'2_Clean_Data'!$A$2:$A$1360,0))</f>
        <v>0.78</v>
      </c>
      <c r="G378" s="10">
        <f>INDEX('2_Clean_Data'!$H$2:$H$1360,MATCH($A378,'2_Clean_Data'!$A$2:$A$1360,0))</f>
        <v>32</v>
      </c>
      <c r="H378" s="9" t="str">
        <f t="shared" si="21"/>
        <v>Low</v>
      </c>
      <c r="I378" s="9" t="str">
        <f t="shared" si="22"/>
        <v>Above limit</v>
      </c>
      <c r="J378" s="9" t="str">
        <f t="shared" si="23"/>
        <v>Standard</v>
      </c>
    </row>
    <row r="379" spans="1:10" x14ac:dyDescent="0.3">
      <c r="A379" s="10">
        <f>'2_Clean_Data'!A376</f>
        <v>375</v>
      </c>
      <c r="B379" s="10">
        <f>INDEX('2_Clean_Data'!$M$2:$M$1360,MATCH($A379,'2_Clean_Data'!$A$2:$A$1360,0))</f>
        <v>5</v>
      </c>
      <c r="C379" s="9" t="str">
        <f t="shared" si="20"/>
        <v>Average</v>
      </c>
      <c r="D379" s="11">
        <f>INDEX('2_Clean_Data'!$L$2:$L$1360,MATCH($A379,'2_Clean_Data'!$A$2:$A$1360,0))</f>
        <v>9.3000000000000007</v>
      </c>
      <c r="E379" s="9" t="str">
        <f>IF(D379&lt;'3_Summary_Tables'!$C$16,"Low",IF(D379&lt;'3_Summary_Tables'!$C$17,"Medium","High"))</f>
        <v>Low</v>
      </c>
      <c r="F379" s="12">
        <f>INDEX('2_Clean_Data'!$C$2:$C$1360,MATCH($A379,'2_Clean_Data'!$A$2:$A$1360,0))</f>
        <v>0.52</v>
      </c>
      <c r="G379" s="10">
        <f>INDEX('2_Clean_Data'!$H$2:$H$1360,MATCH($A379,'2_Clean_Data'!$A$2:$A$1360,0))</f>
        <v>30</v>
      </c>
      <c r="H379" s="9" t="str">
        <f t="shared" si="21"/>
        <v>Low</v>
      </c>
      <c r="I379" s="9" t="str">
        <f t="shared" si="22"/>
        <v>OK</v>
      </c>
      <c r="J379" s="9" t="str">
        <f t="shared" si="23"/>
        <v>Standard</v>
      </c>
    </row>
    <row r="380" spans="1:10" x14ac:dyDescent="0.3">
      <c r="A380" s="10">
        <f>'2_Clean_Data'!A377</f>
        <v>376</v>
      </c>
      <c r="B380" s="10">
        <f>INDEX('2_Clean_Data'!$M$2:$M$1360,MATCH($A380,'2_Clean_Data'!$A$2:$A$1360,0))</f>
        <v>6</v>
      </c>
      <c r="C380" s="9" t="str">
        <f t="shared" si="20"/>
        <v>Above Average</v>
      </c>
      <c r="D380" s="11">
        <f>INDEX('2_Clean_Data'!$L$2:$L$1360,MATCH($A380,'2_Clean_Data'!$A$2:$A$1360,0))</f>
        <v>10.4</v>
      </c>
      <c r="E380" s="9" t="str">
        <f>IF(D380&lt;'3_Summary_Tables'!$C$16,"Low",IF(D380&lt;'3_Summary_Tables'!$C$17,"Medium","High"))</f>
        <v>Medium</v>
      </c>
      <c r="F380" s="12">
        <f>INDEX('2_Clean_Data'!$C$2:$C$1360,MATCH($A380,'2_Clean_Data'!$A$2:$A$1360,0))</f>
        <v>0.84</v>
      </c>
      <c r="G380" s="10">
        <f>INDEX('2_Clean_Data'!$H$2:$H$1360,MATCH($A380,'2_Clean_Data'!$A$2:$A$1360,0))</f>
        <v>35</v>
      </c>
      <c r="H380" s="9" t="str">
        <f t="shared" si="21"/>
        <v>Low</v>
      </c>
      <c r="I380" s="9" t="str">
        <f t="shared" si="22"/>
        <v>Above limit</v>
      </c>
      <c r="J380" s="9" t="str">
        <f t="shared" si="23"/>
        <v>Standard</v>
      </c>
    </row>
    <row r="381" spans="1:10" x14ac:dyDescent="0.3">
      <c r="A381" s="10">
        <f>'2_Clean_Data'!A378</f>
        <v>377</v>
      </c>
      <c r="B381" s="10">
        <f>INDEX('2_Clean_Data'!$M$2:$M$1360,MATCH($A381,'2_Clean_Data'!$A$2:$A$1360,0))</f>
        <v>5</v>
      </c>
      <c r="C381" s="9" t="str">
        <f t="shared" si="20"/>
        <v>Average</v>
      </c>
      <c r="D381" s="11">
        <f>INDEX('2_Clean_Data'!$L$2:$L$1360,MATCH($A381,'2_Clean_Data'!$A$2:$A$1360,0))</f>
        <v>9.1999999999999993</v>
      </c>
      <c r="E381" s="9" t="str">
        <f>IF(D381&lt;'3_Summary_Tables'!$C$16,"Low",IF(D381&lt;'3_Summary_Tables'!$C$17,"Medium","High"))</f>
        <v>Low</v>
      </c>
      <c r="F381" s="12">
        <f>INDEX('2_Clean_Data'!$C$2:$C$1360,MATCH($A381,'2_Clean_Data'!$A$2:$A$1360,0))</f>
        <v>0.55000000000000004</v>
      </c>
      <c r="G381" s="10">
        <f>INDEX('2_Clean_Data'!$H$2:$H$1360,MATCH($A381,'2_Clean_Data'!$A$2:$A$1360,0))</f>
        <v>66</v>
      </c>
      <c r="H381" s="9" t="str">
        <f t="shared" si="21"/>
        <v>Moderate</v>
      </c>
      <c r="I381" s="9" t="str">
        <f t="shared" si="22"/>
        <v>OK</v>
      </c>
      <c r="J381" s="9" t="str">
        <f t="shared" si="23"/>
        <v>Standard</v>
      </c>
    </row>
    <row r="382" spans="1:10" x14ac:dyDescent="0.3">
      <c r="A382" s="10">
        <f>'2_Clean_Data'!A379</f>
        <v>378</v>
      </c>
      <c r="B382" s="10">
        <f>INDEX('2_Clean_Data'!$M$2:$M$1360,MATCH($A382,'2_Clean_Data'!$A$2:$A$1360,0))</f>
        <v>6</v>
      </c>
      <c r="C382" s="9" t="str">
        <f t="shared" si="20"/>
        <v>Above Average</v>
      </c>
      <c r="D382" s="11">
        <f>INDEX('2_Clean_Data'!$L$2:$L$1360,MATCH($A382,'2_Clean_Data'!$A$2:$A$1360,0))</f>
        <v>12.8</v>
      </c>
      <c r="E382" s="9" t="str">
        <f>IF(D382&lt;'3_Summary_Tables'!$C$16,"Low",IF(D382&lt;'3_Summary_Tables'!$C$17,"Medium","High"))</f>
        <v>High</v>
      </c>
      <c r="F382" s="12">
        <f>INDEX('2_Clean_Data'!$C$2:$C$1360,MATCH($A382,'2_Clean_Data'!$A$2:$A$1360,0))</f>
        <v>0.37</v>
      </c>
      <c r="G382" s="10">
        <f>INDEX('2_Clean_Data'!$H$2:$H$1360,MATCH($A382,'2_Clean_Data'!$A$2:$A$1360,0))</f>
        <v>24</v>
      </c>
      <c r="H382" s="9" t="str">
        <f t="shared" si="21"/>
        <v>Low</v>
      </c>
      <c r="I382" s="9" t="str">
        <f t="shared" si="22"/>
        <v>OK</v>
      </c>
      <c r="J382" s="9" t="str">
        <f t="shared" si="23"/>
        <v>Solid</v>
      </c>
    </row>
    <row r="383" spans="1:10" x14ac:dyDescent="0.3">
      <c r="A383" s="10">
        <f>'2_Clean_Data'!A380</f>
        <v>379</v>
      </c>
      <c r="B383" s="10">
        <f>INDEX('2_Clean_Data'!$M$2:$M$1360,MATCH($A383,'2_Clean_Data'!$A$2:$A$1360,0))</f>
        <v>5</v>
      </c>
      <c r="C383" s="9" t="str">
        <f t="shared" si="20"/>
        <v>Average</v>
      </c>
      <c r="D383" s="11">
        <f>INDEX('2_Clean_Data'!$L$2:$L$1360,MATCH($A383,'2_Clean_Data'!$A$2:$A$1360,0))</f>
        <v>9.5</v>
      </c>
      <c r="E383" s="9" t="str">
        <f>IF(D383&lt;'3_Summary_Tables'!$C$16,"Low",IF(D383&lt;'3_Summary_Tables'!$C$17,"Medium","High"))</f>
        <v>Low</v>
      </c>
      <c r="F383" s="12">
        <f>INDEX('2_Clean_Data'!$C$2:$C$1360,MATCH($A383,'2_Clean_Data'!$A$2:$A$1360,0))</f>
        <v>0.39</v>
      </c>
      <c r="G383" s="10">
        <f>INDEX('2_Clean_Data'!$H$2:$H$1360,MATCH($A383,'2_Clean_Data'!$A$2:$A$1360,0))</f>
        <v>18</v>
      </c>
      <c r="H383" s="9" t="str">
        <f t="shared" si="21"/>
        <v>Low</v>
      </c>
      <c r="I383" s="9" t="str">
        <f t="shared" si="22"/>
        <v>OK</v>
      </c>
      <c r="J383" s="9" t="str">
        <f t="shared" si="23"/>
        <v>Standard</v>
      </c>
    </row>
    <row r="384" spans="1:10" x14ac:dyDescent="0.3">
      <c r="A384" s="10">
        <f>'2_Clean_Data'!A381</f>
        <v>380</v>
      </c>
      <c r="B384" s="10">
        <f>INDEX('2_Clean_Data'!$M$2:$M$1360,MATCH($A384,'2_Clean_Data'!$A$2:$A$1360,0))</f>
        <v>6</v>
      </c>
      <c r="C384" s="9" t="str">
        <f t="shared" si="20"/>
        <v>Above Average</v>
      </c>
      <c r="D384" s="11">
        <f>INDEX('2_Clean_Data'!$L$2:$L$1360,MATCH($A384,'2_Clean_Data'!$A$2:$A$1360,0))</f>
        <v>9.9</v>
      </c>
      <c r="E384" s="9" t="str">
        <f>IF(D384&lt;'3_Summary_Tables'!$C$16,"Low",IF(D384&lt;'3_Summary_Tables'!$C$17,"Medium","High"))</f>
        <v>Low</v>
      </c>
      <c r="F384" s="12">
        <f>INDEX('2_Clean_Data'!$C$2:$C$1360,MATCH($A384,'2_Clean_Data'!$A$2:$A$1360,0))</f>
        <v>0.41</v>
      </c>
      <c r="G384" s="10">
        <f>INDEX('2_Clean_Data'!$H$2:$H$1360,MATCH($A384,'2_Clean_Data'!$A$2:$A$1360,0))</f>
        <v>54</v>
      </c>
      <c r="H384" s="9" t="str">
        <f t="shared" si="21"/>
        <v>Moderate</v>
      </c>
      <c r="I384" s="9" t="str">
        <f t="shared" si="22"/>
        <v>OK</v>
      </c>
      <c r="J384" s="9" t="str">
        <f t="shared" si="23"/>
        <v>Solid</v>
      </c>
    </row>
    <row r="385" spans="1:10" x14ac:dyDescent="0.3">
      <c r="A385" s="10">
        <f>'2_Clean_Data'!A382</f>
        <v>381</v>
      </c>
      <c r="B385" s="10">
        <f>INDEX('2_Clean_Data'!$M$2:$M$1360,MATCH($A385,'2_Clean_Data'!$A$2:$A$1360,0))</f>
        <v>6</v>
      </c>
      <c r="C385" s="9" t="str">
        <f t="shared" si="20"/>
        <v>Above Average</v>
      </c>
      <c r="D385" s="11">
        <f>INDEX('2_Clean_Data'!$L$2:$L$1360,MATCH($A385,'2_Clean_Data'!$A$2:$A$1360,0))</f>
        <v>10.199999999999999</v>
      </c>
      <c r="E385" s="9" t="str">
        <f>IF(D385&lt;'3_Summary_Tables'!$C$16,"Low",IF(D385&lt;'3_Summary_Tables'!$C$17,"Medium","High"))</f>
        <v>Medium</v>
      </c>
      <c r="F385" s="12">
        <f>INDEX('2_Clean_Data'!$C$2:$C$1360,MATCH($A385,'2_Clean_Data'!$A$2:$A$1360,0))</f>
        <v>0.67</v>
      </c>
      <c r="G385" s="10">
        <f>INDEX('2_Clean_Data'!$H$2:$H$1360,MATCH($A385,'2_Clean_Data'!$A$2:$A$1360,0))</f>
        <v>62</v>
      </c>
      <c r="H385" s="9" t="str">
        <f t="shared" si="21"/>
        <v>Moderate</v>
      </c>
      <c r="I385" s="9" t="str">
        <f t="shared" si="22"/>
        <v>OK</v>
      </c>
      <c r="J385" s="9" t="str">
        <f t="shared" si="23"/>
        <v>Solid</v>
      </c>
    </row>
    <row r="386" spans="1:10" x14ac:dyDescent="0.3">
      <c r="A386" s="10">
        <f>'2_Clean_Data'!A383</f>
        <v>382</v>
      </c>
      <c r="B386" s="10">
        <f>INDEX('2_Clean_Data'!$M$2:$M$1360,MATCH($A386,'2_Clean_Data'!$A$2:$A$1360,0))</f>
        <v>6</v>
      </c>
      <c r="C386" s="9" t="str">
        <f t="shared" si="20"/>
        <v>Above Average</v>
      </c>
      <c r="D386" s="11">
        <f>INDEX('2_Clean_Data'!$L$2:$L$1360,MATCH($A386,'2_Clean_Data'!$A$2:$A$1360,0))</f>
        <v>11.2</v>
      </c>
      <c r="E386" s="9" t="str">
        <f>IF(D386&lt;'3_Summary_Tables'!$C$16,"Low",IF(D386&lt;'3_Summary_Tables'!$C$17,"Medium","High"))</f>
        <v>Medium</v>
      </c>
      <c r="F386" s="12">
        <f>INDEX('2_Clean_Data'!$C$2:$C$1360,MATCH($A386,'2_Clean_Data'!$A$2:$A$1360,0))</f>
        <v>0.45</v>
      </c>
      <c r="G386" s="10">
        <f>INDEX('2_Clean_Data'!$H$2:$H$1360,MATCH($A386,'2_Clean_Data'!$A$2:$A$1360,0))</f>
        <v>22</v>
      </c>
      <c r="H386" s="9" t="str">
        <f t="shared" si="21"/>
        <v>Low</v>
      </c>
      <c r="I386" s="9" t="str">
        <f t="shared" si="22"/>
        <v>OK</v>
      </c>
      <c r="J386" s="9" t="str">
        <f t="shared" si="23"/>
        <v>Solid</v>
      </c>
    </row>
    <row r="387" spans="1:10" x14ac:dyDescent="0.3">
      <c r="A387" s="10">
        <f>'2_Clean_Data'!A384</f>
        <v>383</v>
      </c>
      <c r="B387" s="10">
        <f>INDEX('2_Clean_Data'!$M$2:$M$1360,MATCH($A387,'2_Clean_Data'!$A$2:$A$1360,0))</f>
        <v>5</v>
      </c>
      <c r="C387" s="9" t="str">
        <f t="shared" si="20"/>
        <v>Average</v>
      </c>
      <c r="D387" s="11">
        <f>INDEX('2_Clean_Data'!$L$2:$L$1360,MATCH($A387,'2_Clean_Data'!$A$2:$A$1360,0))</f>
        <v>9.3000000000000007</v>
      </c>
      <c r="E387" s="9" t="str">
        <f>IF(D387&lt;'3_Summary_Tables'!$C$16,"Low",IF(D387&lt;'3_Summary_Tables'!$C$17,"Medium","High"))</f>
        <v>Low</v>
      </c>
      <c r="F387" s="12">
        <f>INDEX('2_Clean_Data'!$C$2:$C$1360,MATCH($A387,'2_Clean_Data'!$A$2:$A$1360,0))</f>
        <v>0.62</v>
      </c>
      <c r="G387" s="10">
        <f>INDEX('2_Clean_Data'!$H$2:$H$1360,MATCH($A387,'2_Clean_Data'!$A$2:$A$1360,0))</f>
        <v>50</v>
      </c>
      <c r="H387" s="9" t="str">
        <f t="shared" si="21"/>
        <v>Low</v>
      </c>
      <c r="I387" s="9" t="str">
        <f t="shared" si="22"/>
        <v>OK</v>
      </c>
      <c r="J387" s="9" t="str">
        <f t="shared" si="23"/>
        <v>Standard</v>
      </c>
    </row>
    <row r="388" spans="1:10" x14ac:dyDescent="0.3">
      <c r="A388" s="10">
        <f>'2_Clean_Data'!A385</f>
        <v>384</v>
      </c>
      <c r="B388" s="10">
        <f>INDEX('2_Clean_Data'!$M$2:$M$1360,MATCH($A388,'2_Clean_Data'!$A$2:$A$1360,0))</f>
        <v>8</v>
      </c>
      <c r="C388" s="9" t="str">
        <f t="shared" si="20"/>
        <v>Excellent</v>
      </c>
      <c r="D388" s="11">
        <f>INDEX('2_Clean_Data'!$L$2:$L$1360,MATCH($A388,'2_Clean_Data'!$A$2:$A$1360,0))</f>
        <v>9.8000000000000007</v>
      </c>
      <c r="E388" s="9" t="str">
        <f>IF(D388&lt;'3_Summary_Tables'!$C$16,"Low",IF(D388&lt;'3_Summary_Tables'!$C$17,"Medium","High"))</f>
        <v>Low</v>
      </c>
      <c r="F388" s="12">
        <f>INDEX('2_Clean_Data'!$C$2:$C$1360,MATCH($A388,'2_Clean_Data'!$A$2:$A$1360,0))</f>
        <v>0.31</v>
      </c>
      <c r="G388" s="10">
        <f>INDEX('2_Clean_Data'!$H$2:$H$1360,MATCH($A388,'2_Clean_Data'!$A$2:$A$1360,0))</f>
        <v>29</v>
      </c>
      <c r="H388" s="9" t="str">
        <f t="shared" si="21"/>
        <v>Low</v>
      </c>
      <c r="I388" s="9" t="str">
        <f t="shared" si="22"/>
        <v>OK</v>
      </c>
      <c r="J388" s="9" t="str">
        <f t="shared" si="23"/>
        <v>Solid</v>
      </c>
    </row>
    <row r="389" spans="1:10" x14ac:dyDescent="0.3">
      <c r="A389" s="10">
        <f>'2_Clean_Data'!A386</f>
        <v>385</v>
      </c>
      <c r="B389" s="10">
        <f>INDEX('2_Clean_Data'!$M$2:$M$1360,MATCH($A389,'2_Clean_Data'!$A$2:$A$1360,0))</f>
        <v>6</v>
      </c>
      <c r="C389" s="9" t="str">
        <f t="shared" ref="C389:C452" si="24">VLOOKUP(B389,$L$12:$N$17,2,FALSE())</f>
        <v>Above Average</v>
      </c>
      <c r="D389" s="11">
        <f>INDEX('2_Clean_Data'!$L$2:$L$1360,MATCH($A389,'2_Clean_Data'!$A$2:$A$1360,0))</f>
        <v>11.3</v>
      </c>
      <c r="E389" s="9" t="str">
        <f>IF(D389&lt;'3_Summary_Tables'!$C$16,"Low",IF(D389&lt;'3_Summary_Tables'!$C$17,"Medium","High"))</f>
        <v>Medium</v>
      </c>
      <c r="F389" s="12">
        <f>INDEX('2_Clean_Data'!$C$2:$C$1360,MATCH($A389,'2_Clean_Data'!$A$2:$A$1360,0))</f>
        <v>0.4</v>
      </c>
      <c r="G389" s="10">
        <f>INDEX('2_Clean_Data'!$H$2:$H$1360,MATCH($A389,'2_Clean_Data'!$A$2:$A$1360,0))</f>
        <v>27</v>
      </c>
      <c r="H389" s="9" t="str">
        <f t="shared" ref="H389:H452" si="25">IF(G389&gt;$M$8,"High",IF(G389&gt;$M$7,"Moderate","Low"))</f>
        <v>Low</v>
      </c>
      <c r="I389" s="9" t="str">
        <f t="shared" ref="I389:I452" si="26">IF(F389&gt;$M$6,"Above limit","OK")</f>
        <v>OK</v>
      </c>
      <c r="J389" s="9" t="str">
        <f t="shared" ref="J389:J452" si="27">IF(AND(B389&gt;=7,E389="High"),"Premium",IF(AND(B389&gt;=6,I389="OK"),"Solid",IF(B389&lt;=4,"Poor","Standard")))</f>
        <v>Solid</v>
      </c>
    </row>
    <row r="390" spans="1:10" x14ac:dyDescent="0.3">
      <c r="A390" s="10">
        <f>'2_Clean_Data'!A387</f>
        <v>386</v>
      </c>
      <c r="B390" s="10">
        <f>INDEX('2_Clean_Data'!$M$2:$M$1360,MATCH($A390,'2_Clean_Data'!$A$2:$A$1360,0))</f>
        <v>7</v>
      </c>
      <c r="C390" s="9" t="str">
        <f t="shared" si="24"/>
        <v>Good</v>
      </c>
      <c r="D390" s="11">
        <f>INDEX('2_Clean_Data'!$L$2:$L$1360,MATCH($A390,'2_Clean_Data'!$A$2:$A$1360,0))</f>
        <v>11.2</v>
      </c>
      <c r="E390" s="9" t="str">
        <f>IF(D390&lt;'3_Summary_Tables'!$C$16,"Low",IF(D390&lt;'3_Summary_Tables'!$C$17,"Medium","High"))</f>
        <v>Medium</v>
      </c>
      <c r="F390" s="12">
        <f>INDEX('2_Clean_Data'!$C$2:$C$1360,MATCH($A390,'2_Clean_Data'!$A$2:$A$1360,0))</f>
        <v>0.68500000000000005</v>
      </c>
      <c r="G390" s="10">
        <f>INDEX('2_Clean_Data'!$H$2:$H$1360,MATCH($A390,'2_Clean_Data'!$A$2:$A$1360,0))</f>
        <v>43</v>
      </c>
      <c r="H390" s="9" t="str">
        <f t="shared" si="25"/>
        <v>Low</v>
      </c>
      <c r="I390" s="9" t="str">
        <f t="shared" si="26"/>
        <v>OK</v>
      </c>
      <c r="J390" s="9" t="str">
        <f t="shared" si="27"/>
        <v>Solid</v>
      </c>
    </row>
    <row r="391" spans="1:10" x14ac:dyDescent="0.3">
      <c r="A391" s="10">
        <f>'2_Clean_Data'!A388</f>
        <v>387</v>
      </c>
      <c r="B391" s="10">
        <f>INDEX('2_Clean_Data'!$M$2:$M$1360,MATCH($A391,'2_Clean_Data'!$A$2:$A$1360,0))</f>
        <v>7</v>
      </c>
      <c r="C391" s="9" t="str">
        <f t="shared" si="24"/>
        <v>Good</v>
      </c>
      <c r="D391" s="11">
        <f>INDEX('2_Clean_Data'!$L$2:$L$1360,MATCH($A391,'2_Clean_Data'!$A$2:$A$1360,0))</f>
        <v>11.6</v>
      </c>
      <c r="E391" s="9" t="str">
        <f>IF(D391&lt;'3_Summary_Tables'!$C$16,"Low",IF(D391&lt;'3_Summary_Tables'!$C$17,"Medium","High"))</f>
        <v>High</v>
      </c>
      <c r="F391" s="12">
        <f>INDEX('2_Clean_Data'!$C$2:$C$1360,MATCH($A391,'2_Clean_Data'!$A$2:$A$1360,0))</f>
        <v>0.44</v>
      </c>
      <c r="G391" s="10">
        <f>INDEX('2_Clean_Data'!$H$2:$H$1360,MATCH($A391,'2_Clean_Data'!$A$2:$A$1360,0))</f>
        <v>19</v>
      </c>
      <c r="H391" s="9" t="str">
        <f t="shared" si="25"/>
        <v>Low</v>
      </c>
      <c r="I391" s="9" t="str">
        <f t="shared" si="26"/>
        <v>OK</v>
      </c>
      <c r="J391" s="9" t="str">
        <f t="shared" si="27"/>
        <v>Premium</v>
      </c>
    </row>
    <row r="392" spans="1:10" x14ac:dyDescent="0.3">
      <c r="A392" s="10">
        <f>'2_Clean_Data'!A389</f>
        <v>388</v>
      </c>
      <c r="B392" s="10">
        <f>INDEX('2_Clean_Data'!$M$2:$M$1360,MATCH($A392,'2_Clean_Data'!$A$2:$A$1360,0))</f>
        <v>7</v>
      </c>
      <c r="C392" s="9" t="str">
        <f t="shared" si="24"/>
        <v>Good</v>
      </c>
      <c r="D392" s="11">
        <f>INDEX('2_Clean_Data'!$L$2:$L$1360,MATCH($A392,'2_Clean_Data'!$A$2:$A$1360,0))</f>
        <v>12.5</v>
      </c>
      <c r="E392" s="9" t="str">
        <f>IF(D392&lt;'3_Summary_Tables'!$C$16,"Low",IF(D392&lt;'3_Summary_Tables'!$C$17,"Medium","High"))</f>
        <v>High</v>
      </c>
      <c r="F392" s="12">
        <f>INDEX('2_Clean_Data'!$C$2:$C$1360,MATCH($A392,'2_Clean_Data'!$A$2:$A$1360,0))</f>
        <v>0.56999999999999995</v>
      </c>
      <c r="G392" s="10">
        <f>INDEX('2_Clean_Data'!$H$2:$H$1360,MATCH($A392,'2_Clean_Data'!$A$2:$A$1360,0))</f>
        <v>27</v>
      </c>
      <c r="H392" s="9" t="str">
        <f t="shared" si="25"/>
        <v>Low</v>
      </c>
      <c r="I392" s="9" t="str">
        <f t="shared" si="26"/>
        <v>OK</v>
      </c>
      <c r="J392" s="9" t="str">
        <f t="shared" si="27"/>
        <v>Premium</v>
      </c>
    </row>
    <row r="393" spans="1:10" x14ac:dyDescent="0.3">
      <c r="A393" s="10">
        <f>'2_Clean_Data'!A390</f>
        <v>389</v>
      </c>
      <c r="B393" s="10">
        <f>INDEX('2_Clean_Data'!$M$2:$M$1360,MATCH($A393,'2_Clean_Data'!$A$2:$A$1360,0))</f>
        <v>6</v>
      </c>
      <c r="C393" s="9" t="str">
        <f t="shared" si="24"/>
        <v>Above Average</v>
      </c>
      <c r="D393" s="11">
        <f>INDEX('2_Clean_Data'!$L$2:$L$1360,MATCH($A393,'2_Clean_Data'!$A$2:$A$1360,0))</f>
        <v>10.1</v>
      </c>
      <c r="E393" s="9" t="str">
        <f>IF(D393&lt;'3_Summary_Tables'!$C$16,"Low",IF(D393&lt;'3_Summary_Tables'!$C$17,"Medium","High"))</f>
        <v>Medium</v>
      </c>
      <c r="F393" s="12">
        <f>INDEX('2_Clean_Data'!$C$2:$C$1360,MATCH($A393,'2_Clean_Data'!$A$2:$A$1360,0))</f>
        <v>0.73499999999999999</v>
      </c>
      <c r="G393" s="10">
        <f>INDEX('2_Clean_Data'!$H$2:$H$1360,MATCH($A393,'2_Clean_Data'!$A$2:$A$1360,0))</f>
        <v>31</v>
      </c>
      <c r="H393" s="9" t="str">
        <f t="shared" si="25"/>
        <v>Low</v>
      </c>
      <c r="I393" s="9" t="str">
        <f t="shared" si="26"/>
        <v>Above limit</v>
      </c>
      <c r="J393" s="9" t="str">
        <f t="shared" si="27"/>
        <v>Standard</v>
      </c>
    </row>
    <row r="394" spans="1:10" x14ac:dyDescent="0.3">
      <c r="A394" s="10">
        <f>'2_Clean_Data'!A391</f>
        <v>390</v>
      </c>
      <c r="B394" s="10">
        <f>INDEX('2_Clean_Data'!$M$2:$M$1360,MATCH($A394,'2_Clean_Data'!$A$2:$A$1360,0))</f>
        <v>5</v>
      </c>
      <c r="C394" s="9" t="str">
        <f t="shared" si="24"/>
        <v>Average</v>
      </c>
      <c r="D394" s="11">
        <f>INDEX('2_Clean_Data'!$L$2:$L$1360,MATCH($A394,'2_Clean_Data'!$A$2:$A$1360,0))</f>
        <v>10.5</v>
      </c>
      <c r="E394" s="9" t="str">
        <f>IF(D394&lt;'3_Summary_Tables'!$C$16,"Low",IF(D394&lt;'3_Summary_Tables'!$C$17,"Medium","High"))</f>
        <v>Medium</v>
      </c>
      <c r="F394" s="12">
        <f>INDEX('2_Clean_Data'!$C$2:$C$1360,MATCH($A394,'2_Clean_Data'!$A$2:$A$1360,0))</f>
        <v>0.38</v>
      </c>
      <c r="G394" s="10">
        <f>INDEX('2_Clean_Data'!$H$2:$H$1360,MATCH($A394,'2_Clean_Data'!$A$2:$A$1360,0))</f>
        <v>72</v>
      </c>
      <c r="H394" s="9" t="str">
        <f t="shared" si="25"/>
        <v>Moderate</v>
      </c>
      <c r="I394" s="9" t="str">
        <f t="shared" si="26"/>
        <v>OK</v>
      </c>
      <c r="J394" s="9" t="str">
        <f t="shared" si="27"/>
        <v>Standard</v>
      </c>
    </row>
    <row r="395" spans="1:10" x14ac:dyDescent="0.3">
      <c r="A395" s="10">
        <f>'2_Clean_Data'!A392</f>
        <v>391</v>
      </c>
      <c r="B395" s="10">
        <f>INDEX('2_Clean_Data'!$M$2:$M$1360,MATCH($A395,'2_Clean_Data'!$A$2:$A$1360,0))</f>
        <v>5</v>
      </c>
      <c r="C395" s="9" t="str">
        <f t="shared" si="24"/>
        <v>Average</v>
      </c>
      <c r="D395" s="11">
        <f>INDEX('2_Clean_Data'!$L$2:$L$1360,MATCH($A395,'2_Clean_Data'!$A$2:$A$1360,0))</f>
        <v>11.2</v>
      </c>
      <c r="E395" s="9" t="str">
        <f>IF(D395&lt;'3_Summary_Tables'!$C$16,"Low",IF(D395&lt;'3_Summary_Tables'!$C$17,"Medium","High"))</f>
        <v>Medium</v>
      </c>
      <c r="F395" s="12">
        <f>INDEX('2_Clean_Data'!$C$2:$C$1360,MATCH($A395,'2_Clean_Data'!$A$2:$A$1360,0))</f>
        <v>0.48</v>
      </c>
      <c r="G395" s="10">
        <f>INDEX('2_Clean_Data'!$H$2:$H$1360,MATCH($A395,'2_Clean_Data'!$A$2:$A$1360,0))</f>
        <v>16</v>
      </c>
      <c r="H395" s="9" t="str">
        <f t="shared" si="25"/>
        <v>Low</v>
      </c>
      <c r="I395" s="9" t="str">
        <f t="shared" si="26"/>
        <v>OK</v>
      </c>
      <c r="J395" s="9" t="str">
        <f t="shared" si="27"/>
        <v>Standard</v>
      </c>
    </row>
    <row r="396" spans="1:10" x14ac:dyDescent="0.3">
      <c r="A396" s="10">
        <f>'2_Clean_Data'!A393</f>
        <v>392</v>
      </c>
      <c r="B396" s="10">
        <f>INDEX('2_Clean_Data'!$M$2:$M$1360,MATCH($A396,'2_Clean_Data'!$A$2:$A$1360,0))</f>
        <v>6</v>
      </c>
      <c r="C396" s="9" t="str">
        <f t="shared" si="24"/>
        <v>Above Average</v>
      </c>
      <c r="D396" s="11">
        <f>INDEX('2_Clean_Data'!$L$2:$L$1360,MATCH($A396,'2_Clean_Data'!$A$2:$A$1360,0))</f>
        <v>10.199999999999999</v>
      </c>
      <c r="E396" s="9" t="str">
        <f>IF(D396&lt;'3_Summary_Tables'!$C$16,"Low",IF(D396&lt;'3_Summary_Tables'!$C$17,"Medium","High"))</f>
        <v>Medium</v>
      </c>
      <c r="F396" s="12">
        <f>INDEX('2_Clean_Data'!$C$2:$C$1360,MATCH($A396,'2_Clean_Data'!$A$2:$A$1360,0))</f>
        <v>0.53</v>
      </c>
      <c r="G396" s="10">
        <f>INDEX('2_Clean_Data'!$H$2:$H$1360,MATCH($A396,'2_Clean_Data'!$A$2:$A$1360,0))</f>
        <v>27</v>
      </c>
      <c r="H396" s="9" t="str">
        <f t="shared" si="25"/>
        <v>Low</v>
      </c>
      <c r="I396" s="9" t="str">
        <f t="shared" si="26"/>
        <v>OK</v>
      </c>
      <c r="J396" s="9" t="str">
        <f t="shared" si="27"/>
        <v>Solid</v>
      </c>
    </row>
    <row r="397" spans="1:10" x14ac:dyDescent="0.3">
      <c r="A397" s="10">
        <f>'2_Clean_Data'!A394</f>
        <v>393</v>
      </c>
      <c r="B397" s="10">
        <f>INDEX('2_Clean_Data'!$M$2:$M$1360,MATCH($A397,'2_Clean_Data'!$A$2:$A$1360,0))</f>
        <v>6</v>
      </c>
      <c r="C397" s="9" t="str">
        <f t="shared" si="24"/>
        <v>Above Average</v>
      </c>
      <c r="D397" s="11">
        <f>INDEX('2_Clean_Data'!$L$2:$L$1360,MATCH($A397,'2_Clean_Data'!$A$2:$A$1360,0))</f>
        <v>10.8</v>
      </c>
      <c r="E397" s="9" t="str">
        <f>IF(D397&lt;'3_Summary_Tables'!$C$16,"Low",IF(D397&lt;'3_Summary_Tables'!$C$17,"Medium","High"))</f>
        <v>Medium</v>
      </c>
      <c r="F397" s="12">
        <f>INDEX('2_Clean_Data'!$C$2:$C$1360,MATCH($A397,'2_Clean_Data'!$A$2:$A$1360,0))</f>
        <v>0.39</v>
      </c>
      <c r="G397" s="10">
        <f>INDEX('2_Clean_Data'!$H$2:$H$1360,MATCH($A397,'2_Clean_Data'!$A$2:$A$1360,0))</f>
        <v>35</v>
      </c>
      <c r="H397" s="9" t="str">
        <f t="shared" si="25"/>
        <v>Low</v>
      </c>
      <c r="I397" s="9" t="str">
        <f t="shared" si="26"/>
        <v>OK</v>
      </c>
      <c r="J397" s="9" t="str">
        <f t="shared" si="27"/>
        <v>Solid</v>
      </c>
    </row>
    <row r="398" spans="1:10" x14ac:dyDescent="0.3">
      <c r="A398" s="10">
        <f>'2_Clean_Data'!A395</f>
        <v>394</v>
      </c>
      <c r="B398" s="10">
        <f>INDEX('2_Clean_Data'!$M$2:$M$1360,MATCH($A398,'2_Clean_Data'!$A$2:$A$1360,0))</f>
        <v>6</v>
      </c>
      <c r="C398" s="9" t="str">
        <f t="shared" si="24"/>
        <v>Above Average</v>
      </c>
      <c r="D398" s="11">
        <f>INDEX('2_Clean_Data'!$L$2:$L$1360,MATCH($A398,'2_Clean_Data'!$A$2:$A$1360,0))</f>
        <v>9.1</v>
      </c>
      <c r="E398" s="9" t="str">
        <f>IF(D398&lt;'3_Summary_Tables'!$C$16,"Low",IF(D398&lt;'3_Summary_Tables'!$C$17,"Medium","High"))</f>
        <v>Low</v>
      </c>
      <c r="F398" s="12">
        <f>INDEX('2_Clean_Data'!$C$2:$C$1360,MATCH($A398,'2_Clean_Data'!$A$2:$A$1360,0))</f>
        <v>0.37</v>
      </c>
      <c r="G398" s="10">
        <f>INDEX('2_Clean_Data'!$H$2:$H$1360,MATCH($A398,'2_Clean_Data'!$A$2:$A$1360,0))</f>
        <v>26</v>
      </c>
      <c r="H398" s="9" t="str">
        <f t="shared" si="25"/>
        <v>Low</v>
      </c>
      <c r="I398" s="9" t="str">
        <f t="shared" si="26"/>
        <v>OK</v>
      </c>
      <c r="J398" s="9" t="str">
        <f t="shared" si="27"/>
        <v>Solid</v>
      </c>
    </row>
    <row r="399" spans="1:10" x14ac:dyDescent="0.3">
      <c r="A399" s="10">
        <f>'2_Clean_Data'!A396</f>
        <v>395</v>
      </c>
      <c r="B399" s="10">
        <f>INDEX('2_Clean_Data'!$M$2:$M$1360,MATCH($A399,'2_Clean_Data'!$A$2:$A$1360,0))</f>
        <v>6</v>
      </c>
      <c r="C399" s="9" t="str">
        <f t="shared" si="24"/>
        <v>Above Average</v>
      </c>
      <c r="D399" s="11">
        <f>INDEX('2_Clean_Data'!$L$2:$L$1360,MATCH($A399,'2_Clean_Data'!$A$2:$A$1360,0))</f>
        <v>10</v>
      </c>
      <c r="E399" s="9" t="str">
        <f>IF(D399&lt;'3_Summary_Tables'!$C$16,"Low",IF(D399&lt;'3_Summary_Tables'!$C$17,"Medium","High"))</f>
        <v>Medium</v>
      </c>
      <c r="F399" s="12">
        <f>INDEX('2_Clean_Data'!$C$2:$C$1360,MATCH($A399,'2_Clean_Data'!$A$2:$A$1360,0))</f>
        <v>0.56000000000000005</v>
      </c>
      <c r="G399" s="10">
        <f>INDEX('2_Clean_Data'!$H$2:$H$1360,MATCH($A399,'2_Clean_Data'!$A$2:$A$1360,0))</f>
        <v>35</v>
      </c>
      <c r="H399" s="9" t="str">
        <f t="shared" si="25"/>
        <v>Low</v>
      </c>
      <c r="I399" s="9" t="str">
        <f t="shared" si="26"/>
        <v>OK</v>
      </c>
      <c r="J399" s="9" t="str">
        <f t="shared" si="27"/>
        <v>Solid</v>
      </c>
    </row>
    <row r="400" spans="1:10" x14ac:dyDescent="0.3">
      <c r="A400" s="10">
        <f>'2_Clean_Data'!A397</f>
        <v>396</v>
      </c>
      <c r="B400" s="10">
        <f>INDEX('2_Clean_Data'!$M$2:$M$1360,MATCH($A400,'2_Clean_Data'!$A$2:$A$1360,0))</f>
        <v>7</v>
      </c>
      <c r="C400" s="9" t="str">
        <f t="shared" si="24"/>
        <v>Good</v>
      </c>
      <c r="D400" s="11">
        <f>INDEX('2_Clean_Data'!$L$2:$L$1360,MATCH($A400,'2_Clean_Data'!$A$2:$A$1360,0))</f>
        <v>11.2</v>
      </c>
      <c r="E400" s="9" t="str">
        <f>IF(D400&lt;'3_Summary_Tables'!$C$16,"Low",IF(D400&lt;'3_Summary_Tables'!$C$17,"Medium","High"))</f>
        <v>Medium</v>
      </c>
      <c r="F400" s="12">
        <f>INDEX('2_Clean_Data'!$C$2:$C$1360,MATCH($A400,'2_Clean_Data'!$A$2:$A$1360,0))</f>
        <v>0.33</v>
      </c>
      <c r="G400" s="10">
        <f>INDEX('2_Clean_Data'!$H$2:$H$1360,MATCH($A400,'2_Clean_Data'!$A$2:$A$1360,0))</f>
        <v>22</v>
      </c>
      <c r="H400" s="9" t="str">
        <f t="shared" si="25"/>
        <v>Low</v>
      </c>
      <c r="I400" s="9" t="str">
        <f t="shared" si="26"/>
        <v>OK</v>
      </c>
      <c r="J400" s="9" t="str">
        <f t="shared" si="27"/>
        <v>Solid</v>
      </c>
    </row>
    <row r="401" spans="1:10" x14ac:dyDescent="0.3">
      <c r="A401" s="10">
        <f>'2_Clean_Data'!A398</f>
        <v>397</v>
      </c>
      <c r="B401" s="10">
        <f>INDEX('2_Clean_Data'!$M$2:$M$1360,MATCH($A401,'2_Clean_Data'!$A$2:$A$1360,0))</f>
        <v>5</v>
      </c>
      <c r="C401" s="9" t="str">
        <f t="shared" si="24"/>
        <v>Average</v>
      </c>
      <c r="D401" s="11">
        <f>INDEX('2_Clean_Data'!$L$2:$L$1360,MATCH($A401,'2_Clean_Data'!$A$2:$A$1360,0))</f>
        <v>11.1</v>
      </c>
      <c r="E401" s="9" t="str">
        <f>IF(D401&lt;'3_Summary_Tables'!$C$16,"Low",IF(D401&lt;'3_Summary_Tables'!$C$17,"Medium","High"))</f>
        <v>Medium</v>
      </c>
      <c r="F401" s="12">
        <f>INDEX('2_Clean_Data'!$C$2:$C$1360,MATCH($A401,'2_Clean_Data'!$A$2:$A$1360,0))</f>
        <v>0.23</v>
      </c>
      <c r="G401" s="10">
        <f>INDEX('2_Clean_Data'!$H$2:$H$1360,MATCH($A401,'2_Clean_Data'!$A$2:$A$1360,0))</f>
        <v>67</v>
      </c>
      <c r="H401" s="9" t="str">
        <f t="shared" si="25"/>
        <v>Moderate</v>
      </c>
      <c r="I401" s="9" t="str">
        <f t="shared" si="26"/>
        <v>OK</v>
      </c>
      <c r="J401" s="9" t="str">
        <f t="shared" si="27"/>
        <v>Standard</v>
      </c>
    </row>
    <row r="402" spans="1:10" x14ac:dyDescent="0.3">
      <c r="A402" s="10">
        <f>'2_Clean_Data'!A399</f>
        <v>398</v>
      </c>
      <c r="B402" s="10">
        <f>INDEX('2_Clean_Data'!$M$2:$M$1360,MATCH($A402,'2_Clean_Data'!$A$2:$A$1360,0))</f>
        <v>8</v>
      </c>
      <c r="C402" s="9" t="str">
        <f t="shared" si="24"/>
        <v>Excellent</v>
      </c>
      <c r="D402" s="11">
        <f>INDEX('2_Clean_Data'!$L$2:$L$1360,MATCH($A402,'2_Clean_Data'!$A$2:$A$1360,0))</f>
        <v>13.4</v>
      </c>
      <c r="E402" s="9" t="str">
        <f>IF(D402&lt;'3_Summary_Tables'!$C$16,"Low",IF(D402&lt;'3_Summary_Tables'!$C$17,"Medium","High"))</f>
        <v>High</v>
      </c>
      <c r="F402" s="12">
        <f>INDEX('2_Clean_Data'!$C$2:$C$1360,MATCH($A402,'2_Clean_Data'!$A$2:$A$1360,0))</f>
        <v>0.62</v>
      </c>
      <c r="G402" s="10">
        <f>INDEX('2_Clean_Data'!$H$2:$H$1360,MATCH($A402,'2_Clean_Data'!$A$2:$A$1360,0))</f>
        <v>19</v>
      </c>
      <c r="H402" s="9" t="str">
        <f t="shared" si="25"/>
        <v>Low</v>
      </c>
      <c r="I402" s="9" t="str">
        <f t="shared" si="26"/>
        <v>OK</v>
      </c>
      <c r="J402" s="9" t="str">
        <f t="shared" si="27"/>
        <v>Premium</v>
      </c>
    </row>
    <row r="403" spans="1:10" x14ac:dyDescent="0.3">
      <c r="A403" s="10">
        <f>'2_Clean_Data'!A400</f>
        <v>399</v>
      </c>
      <c r="B403" s="10">
        <f>INDEX('2_Clean_Data'!$M$2:$M$1360,MATCH($A403,'2_Clean_Data'!$A$2:$A$1360,0))</f>
        <v>5</v>
      </c>
      <c r="C403" s="9" t="str">
        <f t="shared" si="24"/>
        <v>Average</v>
      </c>
      <c r="D403" s="11">
        <f>INDEX('2_Clean_Data'!$L$2:$L$1360,MATCH($A403,'2_Clean_Data'!$A$2:$A$1360,0))</f>
        <v>10.3</v>
      </c>
      <c r="E403" s="9" t="str">
        <f>IF(D403&lt;'3_Summary_Tables'!$C$16,"Low",IF(D403&lt;'3_Summary_Tables'!$C$17,"Medium","High"))</f>
        <v>Medium</v>
      </c>
      <c r="F403" s="12">
        <f>INDEX('2_Clean_Data'!$C$2:$C$1360,MATCH($A403,'2_Clean_Data'!$A$2:$A$1360,0))</f>
        <v>0.59</v>
      </c>
      <c r="G403" s="10">
        <f>INDEX('2_Clean_Data'!$H$2:$H$1360,MATCH($A403,'2_Clean_Data'!$A$2:$A$1360,0))</f>
        <v>22</v>
      </c>
      <c r="H403" s="9" t="str">
        <f t="shared" si="25"/>
        <v>Low</v>
      </c>
      <c r="I403" s="9" t="str">
        <f t="shared" si="26"/>
        <v>OK</v>
      </c>
      <c r="J403" s="9" t="str">
        <f t="shared" si="27"/>
        <v>Standard</v>
      </c>
    </row>
    <row r="404" spans="1:10" x14ac:dyDescent="0.3">
      <c r="A404" s="10">
        <f>'2_Clean_Data'!A401</f>
        <v>400</v>
      </c>
      <c r="B404" s="10">
        <f>INDEX('2_Clean_Data'!$M$2:$M$1360,MATCH($A404,'2_Clean_Data'!$A$2:$A$1360,0))</f>
        <v>5</v>
      </c>
      <c r="C404" s="9" t="str">
        <f t="shared" si="24"/>
        <v>Average</v>
      </c>
      <c r="D404" s="11">
        <f>INDEX('2_Clean_Data'!$L$2:$L$1360,MATCH($A404,'2_Clean_Data'!$A$2:$A$1360,0))</f>
        <v>9.6</v>
      </c>
      <c r="E404" s="9" t="str">
        <f>IF(D404&lt;'3_Summary_Tables'!$C$16,"Low",IF(D404&lt;'3_Summary_Tables'!$C$17,"Medium","High"))</f>
        <v>Low</v>
      </c>
      <c r="F404" s="12">
        <f>INDEX('2_Clean_Data'!$C$2:$C$1360,MATCH($A404,'2_Clean_Data'!$A$2:$A$1360,0))</f>
        <v>0.63</v>
      </c>
      <c r="G404" s="10">
        <f>INDEX('2_Clean_Data'!$H$2:$H$1360,MATCH($A404,'2_Clean_Data'!$A$2:$A$1360,0))</f>
        <v>65</v>
      </c>
      <c r="H404" s="9" t="str">
        <f t="shared" si="25"/>
        <v>Moderate</v>
      </c>
      <c r="I404" s="9" t="str">
        <f t="shared" si="26"/>
        <v>OK</v>
      </c>
      <c r="J404" s="9" t="str">
        <f t="shared" si="27"/>
        <v>Standard</v>
      </c>
    </row>
    <row r="405" spans="1:10" x14ac:dyDescent="0.3">
      <c r="A405" s="10">
        <f>'2_Clean_Data'!A402</f>
        <v>401</v>
      </c>
      <c r="B405" s="10">
        <f>INDEX('2_Clean_Data'!$M$2:$M$1360,MATCH($A405,'2_Clean_Data'!$A$2:$A$1360,0))</f>
        <v>3</v>
      </c>
      <c r="C405" s="9" t="str">
        <f t="shared" si="24"/>
        <v>Poor</v>
      </c>
      <c r="D405" s="11">
        <f>INDEX('2_Clean_Data'!$L$2:$L$1360,MATCH($A405,'2_Clean_Data'!$A$2:$A$1360,0))</f>
        <v>9</v>
      </c>
      <c r="E405" s="9" t="str">
        <f>IF(D405&lt;'3_Summary_Tables'!$C$16,"Low",IF(D405&lt;'3_Summary_Tables'!$C$17,"Medium","High"))</f>
        <v>Low</v>
      </c>
      <c r="F405" s="12">
        <f>INDEX('2_Clean_Data'!$C$2:$C$1360,MATCH($A405,'2_Clean_Data'!$A$2:$A$1360,0))</f>
        <v>0.57999999999999996</v>
      </c>
      <c r="G405" s="10">
        <f>INDEX('2_Clean_Data'!$H$2:$H$1360,MATCH($A405,'2_Clean_Data'!$A$2:$A$1360,0))</f>
        <v>47</v>
      </c>
      <c r="H405" s="9" t="str">
        <f t="shared" si="25"/>
        <v>Low</v>
      </c>
      <c r="I405" s="9" t="str">
        <f t="shared" si="26"/>
        <v>OK</v>
      </c>
      <c r="J405" s="9" t="str">
        <f t="shared" si="27"/>
        <v>Poor</v>
      </c>
    </row>
    <row r="406" spans="1:10" x14ac:dyDescent="0.3">
      <c r="A406" s="10">
        <f>'2_Clean_Data'!A403</f>
        <v>402</v>
      </c>
      <c r="B406" s="10">
        <f>INDEX('2_Clean_Data'!$M$2:$M$1360,MATCH($A406,'2_Clean_Data'!$A$2:$A$1360,0))</f>
        <v>6</v>
      </c>
      <c r="C406" s="9" t="str">
        <f t="shared" si="24"/>
        <v>Above Average</v>
      </c>
      <c r="D406" s="11">
        <f>INDEX('2_Clean_Data'!$L$2:$L$1360,MATCH($A406,'2_Clean_Data'!$A$2:$A$1360,0))</f>
        <v>11.3</v>
      </c>
      <c r="E406" s="9" t="str">
        <f>IF(D406&lt;'3_Summary_Tables'!$C$16,"Low",IF(D406&lt;'3_Summary_Tables'!$C$17,"Medium","High"))</f>
        <v>Medium</v>
      </c>
      <c r="F406" s="12">
        <f>INDEX('2_Clean_Data'!$C$2:$C$1360,MATCH($A406,'2_Clean_Data'!$A$2:$A$1360,0))</f>
        <v>0.43</v>
      </c>
      <c r="G406" s="10">
        <f>INDEX('2_Clean_Data'!$H$2:$H$1360,MATCH($A406,'2_Clean_Data'!$A$2:$A$1360,0))</f>
        <v>23</v>
      </c>
      <c r="H406" s="9" t="str">
        <f t="shared" si="25"/>
        <v>Low</v>
      </c>
      <c r="I406" s="9" t="str">
        <f t="shared" si="26"/>
        <v>OK</v>
      </c>
      <c r="J406" s="9" t="str">
        <f t="shared" si="27"/>
        <v>Solid</v>
      </c>
    </row>
    <row r="407" spans="1:10" x14ac:dyDescent="0.3">
      <c r="A407" s="10">
        <f>'2_Clean_Data'!A404</f>
        <v>403</v>
      </c>
      <c r="B407" s="10">
        <f>INDEX('2_Clean_Data'!$M$2:$M$1360,MATCH($A407,'2_Clean_Data'!$A$2:$A$1360,0))</f>
        <v>5</v>
      </c>
      <c r="C407" s="9" t="str">
        <f t="shared" si="24"/>
        <v>Average</v>
      </c>
      <c r="D407" s="11">
        <f>INDEX('2_Clean_Data'!$L$2:$L$1360,MATCH($A407,'2_Clean_Data'!$A$2:$A$1360,0))</f>
        <v>9.3000000000000007</v>
      </c>
      <c r="E407" s="9" t="str">
        <f>IF(D407&lt;'3_Summary_Tables'!$C$16,"Low",IF(D407&lt;'3_Summary_Tables'!$C$17,"Medium","High"))</f>
        <v>Low</v>
      </c>
      <c r="F407" s="12">
        <f>INDEX('2_Clean_Data'!$C$2:$C$1360,MATCH($A407,'2_Clean_Data'!$A$2:$A$1360,0))</f>
        <v>0.61499999999999999</v>
      </c>
      <c r="G407" s="10">
        <f>INDEX('2_Clean_Data'!$H$2:$H$1360,MATCH($A407,'2_Clean_Data'!$A$2:$A$1360,0))</f>
        <v>19</v>
      </c>
      <c r="H407" s="9" t="str">
        <f t="shared" si="25"/>
        <v>Low</v>
      </c>
      <c r="I407" s="9" t="str">
        <f t="shared" si="26"/>
        <v>OK</v>
      </c>
      <c r="J407" s="9" t="str">
        <f t="shared" si="27"/>
        <v>Standard</v>
      </c>
    </row>
    <row r="408" spans="1:10" x14ac:dyDescent="0.3">
      <c r="A408" s="10">
        <f>'2_Clean_Data'!A405</f>
        <v>404</v>
      </c>
      <c r="B408" s="10">
        <f>INDEX('2_Clean_Data'!$M$2:$M$1360,MATCH($A408,'2_Clean_Data'!$A$2:$A$1360,0))</f>
        <v>5</v>
      </c>
      <c r="C408" s="9" t="str">
        <f t="shared" si="24"/>
        <v>Average</v>
      </c>
      <c r="D408" s="11">
        <f>INDEX('2_Clean_Data'!$L$2:$L$1360,MATCH($A408,'2_Clean_Data'!$A$2:$A$1360,0))</f>
        <v>11.8</v>
      </c>
      <c r="E408" s="9" t="str">
        <f>IF(D408&lt;'3_Summary_Tables'!$C$16,"Low",IF(D408&lt;'3_Summary_Tables'!$C$17,"Medium","High"))</f>
        <v>High</v>
      </c>
      <c r="F408" s="12">
        <f>INDEX('2_Clean_Data'!$C$2:$C$1360,MATCH($A408,'2_Clean_Data'!$A$2:$A$1360,0))</f>
        <v>0.26</v>
      </c>
      <c r="G408" s="10">
        <f>INDEX('2_Clean_Data'!$H$2:$H$1360,MATCH($A408,'2_Clean_Data'!$A$2:$A$1360,0))</f>
        <v>25</v>
      </c>
      <c r="H408" s="9" t="str">
        <f t="shared" si="25"/>
        <v>Low</v>
      </c>
      <c r="I408" s="9" t="str">
        <f t="shared" si="26"/>
        <v>OK</v>
      </c>
      <c r="J408" s="9" t="str">
        <f t="shared" si="27"/>
        <v>Standard</v>
      </c>
    </row>
    <row r="409" spans="1:10" x14ac:dyDescent="0.3">
      <c r="A409" s="10">
        <f>'2_Clean_Data'!A406</f>
        <v>405</v>
      </c>
      <c r="B409" s="10">
        <f>INDEX('2_Clean_Data'!$M$2:$M$1360,MATCH($A409,'2_Clean_Data'!$A$2:$A$1360,0))</f>
        <v>5</v>
      </c>
      <c r="C409" s="9" t="str">
        <f t="shared" si="24"/>
        <v>Average</v>
      </c>
      <c r="D409" s="11">
        <f>INDEX('2_Clean_Data'!$L$2:$L$1360,MATCH($A409,'2_Clean_Data'!$A$2:$A$1360,0))</f>
        <v>9</v>
      </c>
      <c r="E409" s="9" t="str">
        <f>IF(D409&lt;'3_Summary_Tables'!$C$16,"Low",IF(D409&lt;'3_Summary_Tables'!$C$17,"Medium","High"))</f>
        <v>Low</v>
      </c>
      <c r="F409" s="12">
        <f>INDEX('2_Clean_Data'!$C$2:$C$1360,MATCH($A409,'2_Clean_Data'!$A$2:$A$1360,0))</f>
        <v>0.66</v>
      </c>
      <c r="G409" s="10">
        <f>INDEX('2_Clean_Data'!$H$2:$H$1360,MATCH($A409,'2_Clean_Data'!$A$2:$A$1360,0))</f>
        <v>129</v>
      </c>
      <c r="H409" s="9" t="str">
        <f t="shared" si="25"/>
        <v>High</v>
      </c>
      <c r="I409" s="9" t="str">
        <f t="shared" si="26"/>
        <v>OK</v>
      </c>
      <c r="J409" s="9" t="str">
        <f t="shared" si="27"/>
        <v>Standard</v>
      </c>
    </row>
    <row r="410" spans="1:10" x14ac:dyDescent="0.3">
      <c r="A410" s="10">
        <f>'2_Clean_Data'!A407</f>
        <v>406</v>
      </c>
      <c r="B410" s="10">
        <f>INDEX('2_Clean_Data'!$M$2:$M$1360,MATCH($A410,'2_Clean_Data'!$A$2:$A$1360,0))</f>
        <v>6</v>
      </c>
      <c r="C410" s="9" t="str">
        <f t="shared" si="24"/>
        <v>Above Average</v>
      </c>
      <c r="D410" s="11">
        <f>INDEX('2_Clean_Data'!$L$2:$L$1360,MATCH($A410,'2_Clean_Data'!$A$2:$A$1360,0))</f>
        <v>9.1999999999999993</v>
      </c>
      <c r="E410" s="9" t="str">
        <f>IF(D410&lt;'3_Summary_Tables'!$C$16,"Low",IF(D410&lt;'3_Summary_Tables'!$C$17,"Medium","High"))</f>
        <v>Low</v>
      </c>
      <c r="F410" s="12">
        <f>INDEX('2_Clean_Data'!$C$2:$C$1360,MATCH($A410,'2_Clean_Data'!$A$2:$A$1360,0))</f>
        <v>0.315</v>
      </c>
      <c r="G410" s="10">
        <f>INDEX('2_Clean_Data'!$H$2:$H$1360,MATCH($A410,'2_Clean_Data'!$A$2:$A$1360,0))</f>
        <v>15</v>
      </c>
      <c r="H410" s="9" t="str">
        <f t="shared" si="25"/>
        <v>Low</v>
      </c>
      <c r="I410" s="9" t="str">
        <f t="shared" si="26"/>
        <v>OK</v>
      </c>
      <c r="J410" s="9" t="str">
        <f t="shared" si="27"/>
        <v>Solid</v>
      </c>
    </row>
    <row r="411" spans="1:10" x14ac:dyDescent="0.3">
      <c r="A411" s="10">
        <f>'2_Clean_Data'!A408</f>
        <v>407</v>
      </c>
      <c r="B411" s="10">
        <f>INDEX('2_Clean_Data'!$M$2:$M$1360,MATCH($A411,'2_Clean_Data'!$A$2:$A$1360,0))</f>
        <v>5</v>
      </c>
      <c r="C411" s="9" t="str">
        <f t="shared" si="24"/>
        <v>Average</v>
      </c>
      <c r="D411" s="11">
        <f>INDEX('2_Clean_Data'!$L$2:$L$1360,MATCH($A411,'2_Clean_Data'!$A$2:$A$1360,0))</f>
        <v>9.6999999999999993</v>
      </c>
      <c r="E411" s="9" t="str">
        <f>IF(D411&lt;'3_Summary_Tables'!$C$16,"Low",IF(D411&lt;'3_Summary_Tables'!$C$17,"Medium","High"))</f>
        <v>Low</v>
      </c>
      <c r="F411" s="12">
        <f>INDEX('2_Clean_Data'!$C$2:$C$1360,MATCH($A411,'2_Clean_Data'!$A$2:$A$1360,0))</f>
        <v>0.28999999999999998</v>
      </c>
      <c r="G411" s="10">
        <f>INDEX('2_Clean_Data'!$H$2:$H$1360,MATCH($A411,'2_Clean_Data'!$A$2:$A$1360,0))</f>
        <v>26</v>
      </c>
      <c r="H411" s="9" t="str">
        <f t="shared" si="25"/>
        <v>Low</v>
      </c>
      <c r="I411" s="9" t="str">
        <f t="shared" si="26"/>
        <v>OK</v>
      </c>
      <c r="J411" s="9" t="str">
        <f t="shared" si="27"/>
        <v>Standard</v>
      </c>
    </row>
    <row r="412" spans="1:10" x14ac:dyDescent="0.3">
      <c r="A412" s="10">
        <f>'2_Clean_Data'!A409</f>
        <v>408</v>
      </c>
      <c r="B412" s="10">
        <f>INDEX('2_Clean_Data'!$M$2:$M$1360,MATCH($A412,'2_Clean_Data'!$A$2:$A$1360,0))</f>
        <v>6</v>
      </c>
      <c r="C412" s="9" t="str">
        <f t="shared" si="24"/>
        <v>Above Average</v>
      </c>
      <c r="D412" s="11">
        <f>INDEX('2_Clean_Data'!$L$2:$L$1360,MATCH($A412,'2_Clean_Data'!$A$2:$A$1360,0))</f>
        <v>11.5</v>
      </c>
      <c r="E412" s="9" t="str">
        <f>IF(D412&lt;'3_Summary_Tables'!$C$16,"Low",IF(D412&lt;'3_Summary_Tables'!$C$17,"Medium","High"))</f>
        <v>High</v>
      </c>
      <c r="F412" s="12">
        <f>INDEX('2_Clean_Data'!$C$2:$C$1360,MATCH($A412,'2_Clean_Data'!$A$2:$A$1360,0))</f>
        <v>0.5</v>
      </c>
      <c r="G412" s="10">
        <f>INDEX('2_Clean_Data'!$H$2:$H$1360,MATCH($A412,'2_Clean_Data'!$A$2:$A$1360,0))</f>
        <v>51</v>
      </c>
      <c r="H412" s="9" t="str">
        <f t="shared" si="25"/>
        <v>Moderate</v>
      </c>
      <c r="I412" s="9" t="str">
        <f t="shared" si="26"/>
        <v>OK</v>
      </c>
      <c r="J412" s="9" t="str">
        <f t="shared" si="27"/>
        <v>Solid</v>
      </c>
    </row>
    <row r="413" spans="1:10" x14ac:dyDescent="0.3">
      <c r="A413" s="10">
        <f>'2_Clean_Data'!A410</f>
        <v>409</v>
      </c>
      <c r="B413" s="10">
        <f>INDEX('2_Clean_Data'!$M$2:$M$1360,MATCH($A413,'2_Clean_Data'!$A$2:$A$1360,0))</f>
        <v>6</v>
      </c>
      <c r="C413" s="9" t="str">
        <f t="shared" si="24"/>
        <v>Above Average</v>
      </c>
      <c r="D413" s="11">
        <f>INDEX('2_Clean_Data'!$L$2:$L$1360,MATCH($A413,'2_Clean_Data'!$A$2:$A$1360,0))</f>
        <v>14</v>
      </c>
      <c r="E413" s="9" t="str">
        <f>IF(D413&lt;'3_Summary_Tables'!$C$16,"Low",IF(D413&lt;'3_Summary_Tables'!$C$17,"Medium","High"))</f>
        <v>High</v>
      </c>
      <c r="F413" s="12">
        <f>INDEX('2_Clean_Data'!$C$2:$C$1360,MATCH($A413,'2_Clean_Data'!$A$2:$A$1360,0))</f>
        <v>0.46</v>
      </c>
      <c r="G413" s="10">
        <f>INDEX('2_Clean_Data'!$H$2:$H$1360,MATCH($A413,'2_Clean_Data'!$A$2:$A$1360,0))</f>
        <v>18</v>
      </c>
      <c r="H413" s="9" t="str">
        <f t="shared" si="25"/>
        <v>Low</v>
      </c>
      <c r="I413" s="9" t="str">
        <f t="shared" si="26"/>
        <v>OK</v>
      </c>
      <c r="J413" s="9" t="str">
        <f t="shared" si="27"/>
        <v>Solid</v>
      </c>
    </row>
    <row r="414" spans="1:10" x14ac:dyDescent="0.3">
      <c r="A414" s="10">
        <f>'2_Clean_Data'!A411</f>
        <v>410</v>
      </c>
      <c r="B414" s="10">
        <f>INDEX('2_Clean_Data'!$M$2:$M$1360,MATCH($A414,'2_Clean_Data'!$A$2:$A$1360,0))</f>
        <v>6</v>
      </c>
      <c r="C414" s="9" t="str">
        <f t="shared" si="24"/>
        <v>Above Average</v>
      </c>
      <c r="D414" s="11">
        <f>INDEX('2_Clean_Data'!$L$2:$L$1360,MATCH($A414,'2_Clean_Data'!$A$2:$A$1360,0))</f>
        <v>9.1999999999999993</v>
      </c>
      <c r="E414" s="9" t="str">
        <f>IF(D414&lt;'3_Summary_Tables'!$C$16,"Low",IF(D414&lt;'3_Summary_Tables'!$C$17,"Medium","High"))</f>
        <v>Low</v>
      </c>
      <c r="F414" s="12">
        <f>INDEX('2_Clean_Data'!$C$2:$C$1360,MATCH($A414,'2_Clean_Data'!$A$2:$A$1360,0))</f>
        <v>0.36</v>
      </c>
      <c r="G414" s="10">
        <f>INDEX('2_Clean_Data'!$H$2:$H$1360,MATCH($A414,'2_Clean_Data'!$A$2:$A$1360,0))</f>
        <v>21</v>
      </c>
      <c r="H414" s="9" t="str">
        <f t="shared" si="25"/>
        <v>Low</v>
      </c>
      <c r="I414" s="9" t="str">
        <f t="shared" si="26"/>
        <v>OK</v>
      </c>
      <c r="J414" s="9" t="str">
        <f t="shared" si="27"/>
        <v>Solid</v>
      </c>
    </row>
    <row r="415" spans="1:10" x14ac:dyDescent="0.3">
      <c r="A415" s="10">
        <f>'2_Clean_Data'!A412</f>
        <v>411</v>
      </c>
      <c r="B415" s="10">
        <f>INDEX('2_Clean_Data'!$M$2:$M$1360,MATCH($A415,'2_Clean_Data'!$A$2:$A$1360,0))</f>
        <v>5</v>
      </c>
      <c r="C415" s="9" t="str">
        <f t="shared" si="24"/>
        <v>Average</v>
      </c>
      <c r="D415" s="11">
        <f>INDEX('2_Clean_Data'!$L$2:$L$1360,MATCH($A415,'2_Clean_Data'!$A$2:$A$1360,0))</f>
        <v>9.8000000000000007</v>
      </c>
      <c r="E415" s="9" t="str">
        <f>IF(D415&lt;'3_Summary_Tables'!$C$16,"Low",IF(D415&lt;'3_Summary_Tables'!$C$17,"Medium","High"))</f>
        <v>Low</v>
      </c>
      <c r="F415" s="12">
        <f>INDEX('2_Clean_Data'!$C$2:$C$1360,MATCH($A415,'2_Clean_Data'!$A$2:$A$1360,0))</f>
        <v>0.82</v>
      </c>
      <c r="G415" s="10">
        <f>INDEX('2_Clean_Data'!$H$2:$H$1360,MATCH($A415,'2_Clean_Data'!$A$2:$A$1360,0))</f>
        <v>48</v>
      </c>
      <c r="H415" s="9" t="str">
        <f t="shared" si="25"/>
        <v>Low</v>
      </c>
      <c r="I415" s="9" t="str">
        <f t="shared" si="26"/>
        <v>Above limit</v>
      </c>
      <c r="J415" s="9" t="str">
        <f t="shared" si="27"/>
        <v>Standard</v>
      </c>
    </row>
    <row r="416" spans="1:10" x14ac:dyDescent="0.3">
      <c r="A416" s="10">
        <f>'2_Clean_Data'!A413</f>
        <v>412</v>
      </c>
      <c r="B416" s="10">
        <f>INDEX('2_Clean_Data'!$M$2:$M$1360,MATCH($A416,'2_Clean_Data'!$A$2:$A$1360,0))</f>
        <v>5</v>
      </c>
      <c r="C416" s="9" t="str">
        <f t="shared" si="24"/>
        <v>Average</v>
      </c>
      <c r="D416" s="11">
        <f>INDEX('2_Clean_Data'!$L$2:$L$1360,MATCH($A416,'2_Clean_Data'!$A$2:$A$1360,0))</f>
        <v>10.6</v>
      </c>
      <c r="E416" s="9" t="str">
        <f>IF(D416&lt;'3_Summary_Tables'!$C$16,"Low",IF(D416&lt;'3_Summary_Tables'!$C$17,"Medium","High"))</f>
        <v>Medium</v>
      </c>
      <c r="F416" s="12">
        <f>INDEX('2_Clean_Data'!$C$2:$C$1360,MATCH($A416,'2_Clean_Data'!$A$2:$A$1360,0))</f>
        <v>0.32</v>
      </c>
      <c r="G416" s="10">
        <f>INDEX('2_Clean_Data'!$H$2:$H$1360,MATCH($A416,'2_Clean_Data'!$A$2:$A$1360,0))</f>
        <v>47</v>
      </c>
      <c r="H416" s="9" t="str">
        <f t="shared" si="25"/>
        <v>Low</v>
      </c>
      <c r="I416" s="9" t="str">
        <f t="shared" si="26"/>
        <v>OK</v>
      </c>
      <c r="J416" s="9" t="str">
        <f t="shared" si="27"/>
        <v>Standard</v>
      </c>
    </row>
    <row r="417" spans="1:10" x14ac:dyDescent="0.3">
      <c r="A417" s="10">
        <f>'2_Clean_Data'!A414</f>
        <v>413</v>
      </c>
      <c r="B417" s="10">
        <f>INDEX('2_Clean_Data'!$M$2:$M$1360,MATCH($A417,'2_Clean_Data'!$A$2:$A$1360,0))</f>
        <v>6</v>
      </c>
      <c r="C417" s="9" t="str">
        <f t="shared" si="24"/>
        <v>Above Average</v>
      </c>
      <c r="D417" s="11">
        <f>INDEX('2_Clean_Data'!$L$2:$L$1360,MATCH($A417,'2_Clean_Data'!$A$2:$A$1360,0))</f>
        <v>11.4</v>
      </c>
      <c r="E417" s="9" t="str">
        <f>IF(D417&lt;'3_Summary_Tables'!$C$16,"Low",IF(D417&lt;'3_Summary_Tables'!$C$17,"Medium","High"))</f>
        <v>Medium</v>
      </c>
      <c r="F417" s="12">
        <f>INDEX('2_Clean_Data'!$C$2:$C$1360,MATCH($A417,'2_Clean_Data'!$A$2:$A$1360,0))</f>
        <v>0.54</v>
      </c>
      <c r="G417" s="10">
        <f>INDEX('2_Clean_Data'!$H$2:$H$1360,MATCH($A417,'2_Clean_Data'!$A$2:$A$1360,0))</f>
        <v>52</v>
      </c>
      <c r="H417" s="9" t="str">
        <f t="shared" si="25"/>
        <v>Moderate</v>
      </c>
      <c r="I417" s="9" t="str">
        <f t="shared" si="26"/>
        <v>OK</v>
      </c>
      <c r="J417" s="9" t="str">
        <f t="shared" si="27"/>
        <v>Solid</v>
      </c>
    </row>
    <row r="418" spans="1:10" x14ac:dyDescent="0.3">
      <c r="A418" s="10">
        <f>'2_Clean_Data'!A415</f>
        <v>414</v>
      </c>
      <c r="B418" s="10">
        <f>INDEX('2_Clean_Data'!$M$2:$M$1360,MATCH($A418,'2_Clean_Data'!$A$2:$A$1360,0))</f>
        <v>6</v>
      </c>
      <c r="C418" s="9" t="str">
        <f t="shared" si="24"/>
        <v>Above Average</v>
      </c>
      <c r="D418" s="11">
        <f>INDEX('2_Clean_Data'!$L$2:$L$1360,MATCH($A418,'2_Clean_Data'!$A$2:$A$1360,0))</f>
        <v>10.4</v>
      </c>
      <c r="E418" s="9" t="str">
        <f>IF(D418&lt;'3_Summary_Tables'!$C$16,"Low",IF(D418&lt;'3_Summary_Tables'!$C$17,"Medium","High"))</f>
        <v>Medium</v>
      </c>
      <c r="F418" s="12">
        <f>INDEX('2_Clean_Data'!$C$2:$C$1360,MATCH($A418,'2_Clean_Data'!$A$2:$A$1360,0))</f>
        <v>0.37</v>
      </c>
      <c r="G418" s="10">
        <f>INDEX('2_Clean_Data'!$H$2:$H$1360,MATCH($A418,'2_Clean_Data'!$A$2:$A$1360,0))</f>
        <v>68</v>
      </c>
      <c r="H418" s="9" t="str">
        <f t="shared" si="25"/>
        <v>Moderate</v>
      </c>
      <c r="I418" s="9" t="str">
        <f t="shared" si="26"/>
        <v>OK</v>
      </c>
      <c r="J418" s="9" t="str">
        <f t="shared" si="27"/>
        <v>Solid</v>
      </c>
    </row>
    <row r="419" spans="1:10" x14ac:dyDescent="0.3">
      <c r="A419" s="10">
        <f>'2_Clean_Data'!A416</f>
        <v>415</v>
      </c>
      <c r="B419" s="10">
        <f>INDEX('2_Clean_Data'!$M$2:$M$1360,MATCH($A419,'2_Clean_Data'!$A$2:$A$1360,0))</f>
        <v>5</v>
      </c>
      <c r="C419" s="9" t="str">
        <f t="shared" si="24"/>
        <v>Average</v>
      </c>
      <c r="D419" s="11">
        <f>INDEX('2_Clean_Data'!$L$2:$L$1360,MATCH($A419,'2_Clean_Data'!$A$2:$A$1360,0))</f>
        <v>10.6</v>
      </c>
      <c r="E419" s="9" t="str">
        <f>IF(D419&lt;'3_Summary_Tables'!$C$16,"Low",IF(D419&lt;'3_Summary_Tables'!$C$17,"Medium","High"))</f>
        <v>Medium</v>
      </c>
      <c r="F419" s="12">
        <f>INDEX('2_Clean_Data'!$C$2:$C$1360,MATCH($A419,'2_Clean_Data'!$A$2:$A$1360,0))</f>
        <v>0.35</v>
      </c>
      <c r="G419" s="10">
        <f>INDEX('2_Clean_Data'!$H$2:$H$1360,MATCH($A419,'2_Clean_Data'!$A$2:$A$1360,0))</f>
        <v>14</v>
      </c>
      <c r="H419" s="9" t="str">
        <f t="shared" si="25"/>
        <v>Low</v>
      </c>
      <c r="I419" s="9" t="str">
        <f t="shared" si="26"/>
        <v>OK</v>
      </c>
      <c r="J419" s="9" t="str">
        <f t="shared" si="27"/>
        <v>Standard</v>
      </c>
    </row>
    <row r="420" spans="1:10" x14ac:dyDescent="0.3">
      <c r="A420" s="10">
        <f>'2_Clean_Data'!A417</f>
        <v>416</v>
      </c>
      <c r="B420" s="10">
        <f>INDEX('2_Clean_Data'!$M$2:$M$1360,MATCH($A420,'2_Clean_Data'!$A$2:$A$1360,0))</f>
        <v>6</v>
      </c>
      <c r="C420" s="9" t="str">
        <f t="shared" si="24"/>
        <v>Above Average</v>
      </c>
      <c r="D420" s="11">
        <f>INDEX('2_Clean_Data'!$L$2:$L$1360,MATCH($A420,'2_Clean_Data'!$A$2:$A$1360,0))</f>
        <v>9.4</v>
      </c>
      <c r="E420" s="9" t="str">
        <f>IF(D420&lt;'3_Summary_Tables'!$C$16,"Low",IF(D420&lt;'3_Summary_Tables'!$C$17,"Medium","High"))</f>
        <v>Low</v>
      </c>
      <c r="F420" s="12">
        <f>INDEX('2_Clean_Data'!$C$2:$C$1360,MATCH($A420,'2_Clean_Data'!$A$2:$A$1360,0))</f>
        <v>0.28000000000000003</v>
      </c>
      <c r="G420" s="10">
        <f>INDEX('2_Clean_Data'!$H$2:$H$1360,MATCH($A420,'2_Clean_Data'!$A$2:$A$1360,0))</f>
        <v>24</v>
      </c>
      <c r="H420" s="9" t="str">
        <f t="shared" si="25"/>
        <v>Low</v>
      </c>
      <c r="I420" s="9" t="str">
        <f t="shared" si="26"/>
        <v>OK</v>
      </c>
      <c r="J420" s="9" t="str">
        <f t="shared" si="27"/>
        <v>Solid</v>
      </c>
    </row>
    <row r="421" spans="1:10" x14ac:dyDescent="0.3">
      <c r="A421" s="10">
        <f>'2_Clean_Data'!A418</f>
        <v>417</v>
      </c>
      <c r="B421" s="10">
        <f>INDEX('2_Clean_Data'!$M$2:$M$1360,MATCH($A421,'2_Clean_Data'!$A$2:$A$1360,0))</f>
        <v>5</v>
      </c>
      <c r="C421" s="9" t="str">
        <f t="shared" si="24"/>
        <v>Average</v>
      </c>
      <c r="D421" s="11">
        <f>INDEX('2_Clean_Data'!$L$2:$L$1360,MATCH($A421,'2_Clean_Data'!$A$2:$A$1360,0))</f>
        <v>10.199999999999999</v>
      </c>
      <c r="E421" s="9" t="str">
        <f>IF(D421&lt;'3_Summary_Tables'!$C$16,"Low",IF(D421&lt;'3_Summary_Tables'!$C$17,"Medium","High"))</f>
        <v>Medium</v>
      </c>
      <c r="F421" s="12">
        <f>INDEX('2_Clean_Data'!$C$2:$C$1360,MATCH($A421,'2_Clean_Data'!$A$2:$A$1360,0))</f>
        <v>0.68</v>
      </c>
      <c r="G421" s="10">
        <f>INDEX('2_Clean_Data'!$H$2:$H$1360,MATCH($A421,'2_Clean_Data'!$A$2:$A$1360,0))</f>
        <v>28</v>
      </c>
      <c r="H421" s="9" t="str">
        <f t="shared" si="25"/>
        <v>Low</v>
      </c>
      <c r="I421" s="9" t="str">
        <f t="shared" si="26"/>
        <v>OK</v>
      </c>
      <c r="J421" s="9" t="str">
        <f t="shared" si="27"/>
        <v>Standard</v>
      </c>
    </row>
    <row r="422" spans="1:10" x14ac:dyDescent="0.3">
      <c r="A422" s="10">
        <f>'2_Clean_Data'!A419</f>
        <v>418</v>
      </c>
      <c r="B422" s="10">
        <f>INDEX('2_Clean_Data'!$M$2:$M$1360,MATCH($A422,'2_Clean_Data'!$A$2:$A$1360,0))</f>
        <v>5</v>
      </c>
      <c r="C422" s="9" t="str">
        <f t="shared" si="24"/>
        <v>Average</v>
      </c>
      <c r="D422" s="11">
        <f>INDEX('2_Clean_Data'!$L$2:$L$1360,MATCH($A422,'2_Clean_Data'!$A$2:$A$1360,0))</f>
        <v>9.6999999999999993</v>
      </c>
      <c r="E422" s="9" t="str">
        <f>IF(D422&lt;'3_Summary_Tables'!$C$16,"Low",IF(D422&lt;'3_Summary_Tables'!$C$17,"Medium","High"))</f>
        <v>Low</v>
      </c>
      <c r="F422" s="12">
        <f>INDEX('2_Clean_Data'!$C$2:$C$1360,MATCH($A422,'2_Clean_Data'!$A$2:$A$1360,0))</f>
        <v>0.27</v>
      </c>
      <c r="G422" s="10">
        <f>INDEX('2_Clean_Data'!$H$2:$H$1360,MATCH($A422,'2_Clean_Data'!$A$2:$A$1360,0))</f>
        <v>16</v>
      </c>
      <c r="H422" s="9" t="str">
        <f t="shared" si="25"/>
        <v>Low</v>
      </c>
      <c r="I422" s="9" t="str">
        <f t="shared" si="26"/>
        <v>OK</v>
      </c>
      <c r="J422" s="9" t="str">
        <f t="shared" si="27"/>
        <v>Standard</v>
      </c>
    </row>
    <row r="423" spans="1:10" x14ac:dyDescent="0.3">
      <c r="A423" s="10">
        <f>'2_Clean_Data'!A420</f>
        <v>419</v>
      </c>
      <c r="B423" s="10">
        <f>INDEX('2_Clean_Data'!$M$2:$M$1360,MATCH($A423,'2_Clean_Data'!$A$2:$A$1360,0))</f>
        <v>6</v>
      </c>
      <c r="C423" s="9" t="str">
        <f t="shared" si="24"/>
        <v>Above Average</v>
      </c>
      <c r="D423" s="11">
        <f>INDEX('2_Clean_Data'!$L$2:$L$1360,MATCH($A423,'2_Clean_Data'!$A$2:$A$1360,0))</f>
        <v>11</v>
      </c>
      <c r="E423" s="9" t="str">
        <f>IF(D423&lt;'3_Summary_Tables'!$C$16,"Low",IF(D423&lt;'3_Summary_Tables'!$C$17,"Medium","High"))</f>
        <v>Medium</v>
      </c>
      <c r="F423" s="12">
        <f>INDEX('2_Clean_Data'!$C$2:$C$1360,MATCH($A423,'2_Clean_Data'!$A$2:$A$1360,0))</f>
        <v>0.24</v>
      </c>
      <c r="G423" s="10">
        <f>INDEX('2_Clean_Data'!$H$2:$H$1360,MATCH($A423,'2_Clean_Data'!$A$2:$A$1360,0))</f>
        <v>20</v>
      </c>
      <c r="H423" s="9" t="str">
        <f t="shared" si="25"/>
        <v>Low</v>
      </c>
      <c r="I423" s="9" t="str">
        <f t="shared" si="26"/>
        <v>OK</v>
      </c>
      <c r="J423" s="9" t="str">
        <f t="shared" si="27"/>
        <v>Solid</v>
      </c>
    </row>
    <row r="424" spans="1:10" x14ac:dyDescent="0.3">
      <c r="A424" s="10">
        <f>'2_Clean_Data'!A421</f>
        <v>420</v>
      </c>
      <c r="B424" s="10">
        <f>INDEX('2_Clean_Data'!$M$2:$M$1360,MATCH($A424,'2_Clean_Data'!$A$2:$A$1360,0))</f>
        <v>6</v>
      </c>
      <c r="C424" s="9" t="str">
        <f t="shared" si="24"/>
        <v>Above Average</v>
      </c>
      <c r="D424" s="11">
        <f>INDEX('2_Clean_Data'!$L$2:$L$1360,MATCH($A424,'2_Clean_Data'!$A$2:$A$1360,0))</f>
        <v>10.1</v>
      </c>
      <c r="E424" s="9" t="str">
        <f>IF(D424&lt;'3_Summary_Tables'!$C$16,"Low",IF(D424&lt;'3_Summary_Tables'!$C$17,"Medium","High"))</f>
        <v>Medium</v>
      </c>
      <c r="F424" s="12">
        <f>INDEX('2_Clean_Data'!$C$2:$C$1360,MATCH($A424,'2_Clean_Data'!$A$2:$A$1360,0))</f>
        <v>0.68500000000000005</v>
      </c>
      <c r="G424" s="10">
        <f>INDEX('2_Clean_Data'!$H$2:$H$1360,MATCH($A424,'2_Clean_Data'!$A$2:$A$1360,0))</f>
        <v>31</v>
      </c>
      <c r="H424" s="9" t="str">
        <f t="shared" si="25"/>
        <v>Low</v>
      </c>
      <c r="I424" s="9" t="str">
        <f t="shared" si="26"/>
        <v>OK</v>
      </c>
      <c r="J424" s="9" t="str">
        <f t="shared" si="27"/>
        <v>Solid</v>
      </c>
    </row>
    <row r="425" spans="1:10" x14ac:dyDescent="0.3">
      <c r="A425" s="10">
        <f>'2_Clean_Data'!A422</f>
        <v>421</v>
      </c>
      <c r="B425" s="10">
        <f>INDEX('2_Clean_Data'!$M$2:$M$1360,MATCH($A425,'2_Clean_Data'!$A$2:$A$1360,0))</f>
        <v>5</v>
      </c>
      <c r="C425" s="9" t="str">
        <f t="shared" si="24"/>
        <v>Average</v>
      </c>
      <c r="D425" s="11">
        <f>INDEX('2_Clean_Data'!$L$2:$L$1360,MATCH($A425,'2_Clean_Data'!$A$2:$A$1360,0))</f>
        <v>9.1999999999999993</v>
      </c>
      <c r="E425" s="9" t="str">
        <f>IF(D425&lt;'3_Summary_Tables'!$C$16,"Low",IF(D425&lt;'3_Summary_Tables'!$C$17,"Medium","High"))</f>
        <v>Low</v>
      </c>
      <c r="F425" s="12">
        <f>INDEX('2_Clean_Data'!$C$2:$C$1360,MATCH($A425,'2_Clean_Data'!$A$2:$A$1360,0))</f>
        <v>0.28000000000000003</v>
      </c>
      <c r="G425" s="10">
        <f>INDEX('2_Clean_Data'!$H$2:$H$1360,MATCH($A425,'2_Clean_Data'!$A$2:$A$1360,0))</f>
        <v>23</v>
      </c>
      <c r="H425" s="9" t="str">
        <f t="shared" si="25"/>
        <v>Low</v>
      </c>
      <c r="I425" s="9" t="str">
        <f t="shared" si="26"/>
        <v>OK</v>
      </c>
      <c r="J425" s="9" t="str">
        <f t="shared" si="27"/>
        <v>Standard</v>
      </c>
    </row>
    <row r="426" spans="1:10" x14ac:dyDescent="0.3">
      <c r="A426" s="10">
        <f>'2_Clean_Data'!A423</f>
        <v>422</v>
      </c>
      <c r="B426" s="10">
        <f>INDEX('2_Clean_Data'!$M$2:$M$1360,MATCH($A426,'2_Clean_Data'!$A$2:$A$1360,0))</f>
        <v>8</v>
      </c>
      <c r="C426" s="9" t="str">
        <f t="shared" si="24"/>
        <v>Excellent</v>
      </c>
      <c r="D426" s="11">
        <f>INDEX('2_Clean_Data'!$L$2:$L$1360,MATCH($A426,'2_Clean_Data'!$A$2:$A$1360,0))</f>
        <v>11.7</v>
      </c>
      <c r="E426" s="9" t="str">
        <f>IF(D426&lt;'3_Summary_Tables'!$C$16,"Low",IF(D426&lt;'3_Summary_Tables'!$C$17,"Medium","High"))</f>
        <v>High</v>
      </c>
      <c r="F426" s="12">
        <f>INDEX('2_Clean_Data'!$C$2:$C$1360,MATCH($A426,'2_Clean_Data'!$A$2:$A$1360,0))</f>
        <v>0.3</v>
      </c>
      <c r="G426" s="10">
        <f>INDEX('2_Clean_Data'!$H$2:$H$1360,MATCH($A426,'2_Clean_Data'!$A$2:$A$1360,0))</f>
        <v>17</v>
      </c>
      <c r="H426" s="9" t="str">
        <f t="shared" si="25"/>
        <v>Low</v>
      </c>
      <c r="I426" s="9" t="str">
        <f t="shared" si="26"/>
        <v>OK</v>
      </c>
      <c r="J426" s="9" t="str">
        <f t="shared" si="27"/>
        <v>Premium</v>
      </c>
    </row>
    <row r="427" spans="1:10" x14ac:dyDescent="0.3">
      <c r="A427" s="10">
        <f>'2_Clean_Data'!A424</f>
        <v>423</v>
      </c>
      <c r="B427" s="10">
        <f>INDEX('2_Clean_Data'!$M$2:$M$1360,MATCH($A427,'2_Clean_Data'!$A$2:$A$1360,0))</f>
        <v>5</v>
      </c>
      <c r="C427" s="9" t="str">
        <f t="shared" si="24"/>
        <v>Average</v>
      </c>
      <c r="D427" s="11">
        <f>INDEX('2_Clean_Data'!$L$2:$L$1360,MATCH($A427,'2_Clean_Data'!$A$2:$A$1360,0))</f>
        <v>9.4</v>
      </c>
      <c r="E427" s="9" t="str">
        <f>IF(D427&lt;'3_Summary_Tables'!$C$16,"Low",IF(D427&lt;'3_Summary_Tables'!$C$17,"Medium","High"))</f>
        <v>Low</v>
      </c>
      <c r="F427" s="12">
        <f>INDEX('2_Clean_Data'!$C$2:$C$1360,MATCH($A427,'2_Clean_Data'!$A$2:$A$1360,0))</f>
        <v>0.36</v>
      </c>
      <c r="G427" s="10">
        <f>INDEX('2_Clean_Data'!$H$2:$H$1360,MATCH($A427,'2_Clean_Data'!$A$2:$A$1360,0))</f>
        <v>18</v>
      </c>
      <c r="H427" s="9" t="str">
        <f t="shared" si="25"/>
        <v>Low</v>
      </c>
      <c r="I427" s="9" t="str">
        <f t="shared" si="26"/>
        <v>OK</v>
      </c>
      <c r="J427" s="9" t="str">
        <f t="shared" si="27"/>
        <v>Standard</v>
      </c>
    </row>
    <row r="428" spans="1:10" x14ac:dyDescent="0.3">
      <c r="A428" s="10">
        <f>'2_Clean_Data'!A425</f>
        <v>424</v>
      </c>
      <c r="B428" s="10">
        <f>INDEX('2_Clean_Data'!$M$2:$M$1360,MATCH($A428,'2_Clean_Data'!$A$2:$A$1360,0))</f>
        <v>5</v>
      </c>
      <c r="C428" s="9" t="str">
        <f t="shared" si="24"/>
        <v>Average</v>
      </c>
      <c r="D428" s="11">
        <f>INDEX('2_Clean_Data'!$L$2:$L$1360,MATCH($A428,'2_Clean_Data'!$A$2:$A$1360,0))</f>
        <v>9.4</v>
      </c>
      <c r="E428" s="9" t="str">
        <f>IF(D428&lt;'3_Summary_Tables'!$C$16,"Low",IF(D428&lt;'3_Summary_Tables'!$C$17,"Medium","High"))</f>
        <v>Low</v>
      </c>
      <c r="F428" s="12">
        <f>INDEX('2_Clean_Data'!$C$2:$C$1360,MATCH($A428,'2_Clean_Data'!$A$2:$A$1360,0))</f>
        <v>0.36</v>
      </c>
      <c r="G428" s="10">
        <f>INDEX('2_Clean_Data'!$H$2:$H$1360,MATCH($A428,'2_Clean_Data'!$A$2:$A$1360,0))</f>
        <v>18</v>
      </c>
      <c r="H428" s="9" t="str">
        <f t="shared" si="25"/>
        <v>Low</v>
      </c>
      <c r="I428" s="9" t="str">
        <f t="shared" si="26"/>
        <v>OK</v>
      </c>
      <c r="J428" s="9" t="str">
        <f t="shared" si="27"/>
        <v>Standard</v>
      </c>
    </row>
    <row r="429" spans="1:10" x14ac:dyDescent="0.3">
      <c r="A429" s="10">
        <f>'2_Clean_Data'!A426</f>
        <v>425</v>
      </c>
      <c r="B429" s="10">
        <f>INDEX('2_Clean_Data'!$M$2:$M$1360,MATCH($A429,'2_Clean_Data'!$A$2:$A$1360,0))</f>
        <v>6</v>
      </c>
      <c r="C429" s="9" t="str">
        <f t="shared" si="24"/>
        <v>Above Average</v>
      </c>
      <c r="D429" s="11">
        <f>INDEX('2_Clean_Data'!$L$2:$L$1360,MATCH($A429,'2_Clean_Data'!$A$2:$A$1360,0))</f>
        <v>13.4</v>
      </c>
      <c r="E429" s="9" t="str">
        <f>IF(D429&lt;'3_Summary_Tables'!$C$16,"Low",IF(D429&lt;'3_Summary_Tables'!$C$17,"Medium","High"))</f>
        <v>High</v>
      </c>
      <c r="F429" s="12">
        <f>INDEX('2_Clean_Data'!$C$2:$C$1360,MATCH($A429,'2_Clean_Data'!$A$2:$A$1360,0))</f>
        <v>0.44</v>
      </c>
      <c r="G429" s="10">
        <f>INDEX('2_Clean_Data'!$H$2:$H$1360,MATCH($A429,'2_Clean_Data'!$A$2:$A$1360,0))</f>
        <v>24</v>
      </c>
      <c r="H429" s="9" t="str">
        <f t="shared" si="25"/>
        <v>Low</v>
      </c>
      <c r="I429" s="9" t="str">
        <f t="shared" si="26"/>
        <v>OK</v>
      </c>
      <c r="J429" s="9" t="str">
        <f t="shared" si="27"/>
        <v>Solid</v>
      </c>
    </row>
    <row r="430" spans="1:10" x14ac:dyDescent="0.3">
      <c r="A430" s="10">
        <f>'2_Clean_Data'!A427</f>
        <v>426</v>
      </c>
      <c r="B430" s="10">
        <f>INDEX('2_Clean_Data'!$M$2:$M$1360,MATCH($A430,'2_Clean_Data'!$A$2:$A$1360,0))</f>
        <v>5</v>
      </c>
      <c r="C430" s="9" t="str">
        <f t="shared" si="24"/>
        <v>Average</v>
      </c>
      <c r="D430" s="11">
        <f>INDEX('2_Clean_Data'!$L$2:$L$1360,MATCH($A430,'2_Clean_Data'!$A$2:$A$1360,0))</f>
        <v>10</v>
      </c>
      <c r="E430" s="9" t="str">
        <f>IF(D430&lt;'3_Summary_Tables'!$C$16,"Low",IF(D430&lt;'3_Summary_Tables'!$C$17,"Medium","High"))</f>
        <v>Medium</v>
      </c>
      <c r="F430" s="12">
        <f>INDEX('2_Clean_Data'!$C$2:$C$1360,MATCH($A430,'2_Clean_Data'!$A$2:$A$1360,0))</f>
        <v>0.67</v>
      </c>
      <c r="G430" s="10">
        <f>INDEX('2_Clean_Data'!$H$2:$H$1360,MATCH($A430,'2_Clean_Data'!$A$2:$A$1360,0))</f>
        <v>17</v>
      </c>
      <c r="H430" s="9" t="str">
        <f t="shared" si="25"/>
        <v>Low</v>
      </c>
      <c r="I430" s="9" t="str">
        <f t="shared" si="26"/>
        <v>OK</v>
      </c>
      <c r="J430" s="9" t="str">
        <f t="shared" si="27"/>
        <v>Standard</v>
      </c>
    </row>
    <row r="431" spans="1:10" x14ac:dyDescent="0.3">
      <c r="A431" s="10">
        <f>'2_Clean_Data'!A428</f>
        <v>427</v>
      </c>
      <c r="B431" s="10">
        <f>INDEX('2_Clean_Data'!$M$2:$M$1360,MATCH($A431,'2_Clean_Data'!$A$2:$A$1360,0))</f>
        <v>6</v>
      </c>
      <c r="C431" s="9" t="str">
        <f t="shared" si="24"/>
        <v>Above Average</v>
      </c>
      <c r="D431" s="11">
        <f>INDEX('2_Clean_Data'!$L$2:$L$1360,MATCH($A431,'2_Clean_Data'!$A$2:$A$1360,0))</f>
        <v>10</v>
      </c>
      <c r="E431" s="9" t="str">
        <f>IF(D431&lt;'3_Summary_Tables'!$C$16,"Low",IF(D431&lt;'3_Summary_Tables'!$C$17,"Medium","High"))</f>
        <v>Medium</v>
      </c>
      <c r="F431" s="12">
        <f>INDEX('2_Clean_Data'!$C$2:$C$1360,MATCH($A431,'2_Clean_Data'!$A$2:$A$1360,0))</f>
        <v>0.64500000000000002</v>
      </c>
      <c r="G431" s="10">
        <f>INDEX('2_Clean_Data'!$H$2:$H$1360,MATCH($A431,'2_Clean_Data'!$A$2:$A$1360,0))</f>
        <v>14</v>
      </c>
      <c r="H431" s="9" t="str">
        <f t="shared" si="25"/>
        <v>Low</v>
      </c>
      <c r="I431" s="9" t="str">
        <f t="shared" si="26"/>
        <v>OK</v>
      </c>
      <c r="J431" s="9" t="str">
        <f t="shared" si="27"/>
        <v>Solid</v>
      </c>
    </row>
    <row r="432" spans="1:10" x14ac:dyDescent="0.3">
      <c r="A432" s="10">
        <f>'2_Clean_Data'!A429</f>
        <v>428</v>
      </c>
      <c r="B432" s="10">
        <f>INDEX('2_Clean_Data'!$M$2:$M$1360,MATCH($A432,'2_Clean_Data'!$A$2:$A$1360,0))</f>
        <v>7</v>
      </c>
      <c r="C432" s="9" t="str">
        <f t="shared" si="24"/>
        <v>Good</v>
      </c>
      <c r="D432" s="11">
        <f>INDEX('2_Clean_Data'!$L$2:$L$1360,MATCH($A432,'2_Clean_Data'!$A$2:$A$1360,0))</f>
        <v>10.8</v>
      </c>
      <c r="E432" s="9" t="str">
        <f>IF(D432&lt;'3_Summary_Tables'!$C$16,"Low",IF(D432&lt;'3_Summary_Tables'!$C$17,"Medium","High"))</f>
        <v>Medium</v>
      </c>
      <c r="F432" s="12">
        <f>INDEX('2_Clean_Data'!$C$2:$C$1360,MATCH($A432,'2_Clean_Data'!$A$2:$A$1360,0))</f>
        <v>0.32</v>
      </c>
      <c r="G432" s="10">
        <f>INDEX('2_Clean_Data'!$H$2:$H$1360,MATCH($A432,'2_Clean_Data'!$A$2:$A$1360,0))</f>
        <v>67</v>
      </c>
      <c r="H432" s="9" t="str">
        <f t="shared" si="25"/>
        <v>Moderate</v>
      </c>
      <c r="I432" s="9" t="str">
        <f t="shared" si="26"/>
        <v>OK</v>
      </c>
      <c r="J432" s="9" t="str">
        <f t="shared" si="27"/>
        <v>Solid</v>
      </c>
    </row>
    <row r="433" spans="1:10" x14ac:dyDescent="0.3">
      <c r="A433" s="10">
        <f>'2_Clean_Data'!A430</f>
        <v>429</v>
      </c>
      <c r="B433" s="10">
        <f>INDEX('2_Clean_Data'!$M$2:$M$1360,MATCH($A433,'2_Clean_Data'!$A$2:$A$1360,0))</f>
        <v>6</v>
      </c>
      <c r="C433" s="9" t="str">
        <f t="shared" si="24"/>
        <v>Above Average</v>
      </c>
      <c r="D433" s="11">
        <f>INDEX('2_Clean_Data'!$L$2:$L$1360,MATCH($A433,'2_Clean_Data'!$A$2:$A$1360,0))</f>
        <v>10.199999999999999</v>
      </c>
      <c r="E433" s="9" t="str">
        <f>IF(D433&lt;'3_Summary_Tables'!$C$16,"Low",IF(D433&lt;'3_Summary_Tables'!$C$17,"Medium","High"))</f>
        <v>Medium</v>
      </c>
      <c r="F433" s="12">
        <f>INDEX('2_Clean_Data'!$C$2:$C$1360,MATCH($A433,'2_Clean_Data'!$A$2:$A$1360,0))</f>
        <v>0.39</v>
      </c>
      <c r="G433" s="10">
        <f>INDEX('2_Clean_Data'!$H$2:$H$1360,MATCH($A433,'2_Clean_Data'!$A$2:$A$1360,0))</f>
        <v>26</v>
      </c>
      <c r="H433" s="9" t="str">
        <f t="shared" si="25"/>
        <v>Low</v>
      </c>
      <c r="I433" s="9" t="str">
        <f t="shared" si="26"/>
        <v>OK</v>
      </c>
      <c r="J433" s="9" t="str">
        <f t="shared" si="27"/>
        <v>Solid</v>
      </c>
    </row>
    <row r="434" spans="1:10" x14ac:dyDescent="0.3">
      <c r="A434" s="10">
        <f>'2_Clean_Data'!A431</f>
        <v>430</v>
      </c>
      <c r="B434" s="10">
        <f>INDEX('2_Clean_Data'!$M$2:$M$1360,MATCH($A434,'2_Clean_Data'!$A$2:$A$1360,0))</f>
        <v>6</v>
      </c>
      <c r="C434" s="9" t="str">
        <f t="shared" si="24"/>
        <v>Above Average</v>
      </c>
      <c r="D434" s="11">
        <f>INDEX('2_Clean_Data'!$L$2:$L$1360,MATCH($A434,'2_Clean_Data'!$A$2:$A$1360,0))</f>
        <v>10.6</v>
      </c>
      <c r="E434" s="9" t="str">
        <f>IF(D434&lt;'3_Summary_Tables'!$C$16,"Low",IF(D434&lt;'3_Summary_Tables'!$C$17,"Medium","High"))</f>
        <v>Medium</v>
      </c>
      <c r="F434" s="12">
        <f>INDEX('2_Clean_Data'!$C$2:$C$1360,MATCH($A434,'2_Clean_Data'!$A$2:$A$1360,0))</f>
        <v>0.77500000000000002</v>
      </c>
      <c r="G434" s="10">
        <f>INDEX('2_Clean_Data'!$H$2:$H$1360,MATCH($A434,'2_Clean_Data'!$A$2:$A$1360,0))</f>
        <v>56</v>
      </c>
      <c r="H434" s="9" t="str">
        <f t="shared" si="25"/>
        <v>Moderate</v>
      </c>
      <c r="I434" s="9" t="str">
        <f t="shared" si="26"/>
        <v>Above limit</v>
      </c>
      <c r="J434" s="9" t="str">
        <f t="shared" si="27"/>
        <v>Standard</v>
      </c>
    </row>
    <row r="435" spans="1:10" x14ac:dyDescent="0.3">
      <c r="A435" s="10">
        <f>'2_Clean_Data'!A432</f>
        <v>431</v>
      </c>
      <c r="B435" s="10">
        <f>INDEX('2_Clean_Data'!$M$2:$M$1360,MATCH($A435,'2_Clean_Data'!$A$2:$A$1360,0))</f>
        <v>7</v>
      </c>
      <c r="C435" s="9" t="str">
        <f t="shared" si="24"/>
        <v>Good</v>
      </c>
      <c r="D435" s="11">
        <f>INDEX('2_Clean_Data'!$L$2:$L$1360,MATCH($A435,'2_Clean_Data'!$A$2:$A$1360,0))</f>
        <v>13.3</v>
      </c>
      <c r="E435" s="9" t="str">
        <f>IF(D435&lt;'3_Summary_Tables'!$C$16,"Low",IF(D435&lt;'3_Summary_Tables'!$C$17,"Medium","High"))</f>
        <v>High</v>
      </c>
      <c r="F435" s="12">
        <f>INDEX('2_Clean_Data'!$C$2:$C$1360,MATCH($A435,'2_Clean_Data'!$A$2:$A$1360,0))</f>
        <v>0.41</v>
      </c>
      <c r="G435" s="10">
        <f>INDEX('2_Clean_Data'!$H$2:$H$1360,MATCH($A435,'2_Clean_Data'!$A$2:$A$1360,0))</f>
        <v>25</v>
      </c>
      <c r="H435" s="9" t="str">
        <f t="shared" si="25"/>
        <v>Low</v>
      </c>
      <c r="I435" s="9" t="str">
        <f t="shared" si="26"/>
        <v>OK</v>
      </c>
      <c r="J435" s="9" t="str">
        <f t="shared" si="27"/>
        <v>Premium</v>
      </c>
    </row>
    <row r="436" spans="1:10" x14ac:dyDescent="0.3">
      <c r="A436" s="10">
        <f>'2_Clean_Data'!A433</f>
        <v>432</v>
      </c>
      <c r="B436" s="10">
        <f>INDEX('2_Clean_Data'!$M$2:$M$1360,MATCH($A436,'2_Clean_Data'!$A$2:$A$1360,0))</f>
        <v>7</v>
      </c>
      <c r="C436" s="9" t="str">
        <f t="shared" si="24"/>
        <v>Good</v>
      </c>
      <c r="D436" s="11">
        <f>INDEX('2_Clean_Data'!$L$2:$L$1360,MATCH($A436,'2_Clean_Data'!$A$2:$A$1360,0))</f>
        <v>13.4</v>
      </c>
      <c r="E436" s="9" t="str">
        <f>IF(D436&lt;'3_Summary_Tables'!$C$16,"Low",IF(D436&lt;'3_Summary_Tables'!$C$17,"Medium","High"))</f>
        <v>High</v>
      </c>
      <c r="F436" s="12">
        <f>INDEX('2_Clean_Data'!$C$2:$C$1360,MATCH($A436,'2_Clean_Data'!$A$2:$A$1360,0))</f>
        <v>0.4</v>
      </c>
      <c r="G436" s="10">
        <f>INDEX('2_Clean_Data'!$H$2:$H$1360,MATCH($A436,'2_Clean_Data'!$A$2:$A$1360,0))</f>
        <v>27</v>
      </c>
      <c r="H436" s="9" t="str">
        <f t="shared" si="25"/>
        <v>Low</v>
      </c>
      <c r="I436" s="9" t="str">
        <f t="shared" si="26"/>
        <v>OK</v>
      </c>
      <c r="J436" s="9" t="str">
        <f t="shared" si="27"/>
        <v>Premium</v>
      </c>
    </row>
    <row r="437" spans="1:10" x14ac:dyDescent="0.3">
      <c r="A437" s="10">
        <f>'2_Clean_Data'!A434</f>
        <v>433</v>
      </c>
      <c r="B437" s="10">
        <f>INDEX('2_Clean_Data'!$M$2:$M$1360,MATCH($A437,'2_Clean_Data'!$A$2:$A$1360,0))</f>
        <v>6</v>
      </c>
      <c r="C437" s="9" t="str">
        <f t="shared" si="24"/>
        <v>Above Average</v>
      </c>
      <c r="D437" s="11">
        <f>INDEX('2_Clean_Data'!$L$2:$L$1360,MATCH($A437,'2_Clean_Data'!$A$2:$A$1360,0))</f>
        <v>11.6</v>
      </c>
      <c r="E437" s="9" t="str">
        <f>IF(D437&lt;'3_Summary_Tables'!$C$16,"Low",IF(D437&lt;'3_Summary_Tables'!$C$17,"Medium","High"))</f>
        <v>High</v>
      </c>
      <c r="F437" s="12">
        <f>INDEX('2_Clean_Data'!$C$2:$C$1360,MATCH($A437,'2_Clean_Data'!$A$2:$A$1360,0))</f>
        <v>0.69</v>
      </c>
      <c r="G437" s="10">
        <f>INDEX('2_Clean_Data'!$H$2:$H$1360,MATCH($A437,'2_Clean_Data'!$A$2:$A$1360,0))</f>
        <v>81</v>
      </c>
      <c r="H437" s="9" t="str">
        <f t="shared" si="25"/>
        <v>Moderate</v>
      </c>
      <c r="I437" s="9" t="str">
        <f t="shared" si="26"/>
        <v>OK</v>
      </c>
      <c r="J437" s="9" t="str">
        <f t="shared" si="27"/>
        <v>Solid</v>
      </c>
    </row>
    <row r="438" spans="1:10" x14ac:dyDescent="0.3">
      <c r="A438" s="10">
        <f>'2_Clean_Data'!A435</f>
        <v>434</v>
      </c>
      <c r="B438" s="10">
        <f>INDEX('2_Clean_Data'!$M$2:$M$1360,MATCH($A438,'2_Clean_Data'!$A$2:$A$1360,0))</f>
        <v>6</v>
      </c>
      <c r="C438" s="9" t="str">
        <f t="shared" si="24"/>
        <v>Above Average</v>
      </c>
      <c r="D438" s="11">
        <f>INDEX('2_Clean_Data'!$L$2:$L$1360,MATCH($A438,'2_Clean_Data'!$A$2:$A$1360,0))</f>
        <v>12.1</v>
      </c>
      <c r="E438" s="9" t="str">
        <f>IF(D438&lt;'3_Summary_Tables'!$C$16,"Low",IF(D438&lt;'3_Summary_Tables'!$C$17,"Medium","High"))</f>
        <v>High</v>
      </c>
      <c r="F438" s="12">
        <f>INDEX('2_Clean_Data'!$C$2:$C$1360,MATCH($A438,'2_Clean_Data'!$A$2:$A$1360,0))</f>
        <v>0.39</v>
      </c>
      <c r="G438" s="10">
        <f>INDEX('2_Clean_Data'!$H$2:$H$1360,MATCH($A438,'2_Clean_Data'!$A$2:$A$1360,0))</f>
        <v>91</v>
      </c>
      <c r="H438" s="9" t="str">
        <f t="shared" si="25"/>
        <v>Moderate</v>
      </c>
      <c r="I438" s="9" t="str">
        <f t="shared" si="26"/>
        <v>OK</v>
      </c>
      <c r="J438" s="9" t="str">
        <f t="shared" si="27"/>
        <v>Solid</v>
      </c>
    </row>
    <row r="439" spans="1:10" x14ac:dyDescent="0.3">
      <c r="A439" s="10">
        <f>'2_Clean_Data'!A436</f>
        <v>435</v>
      </c>
      <c r="B439" s="10">
        <f>INDEX('2_Clean_Data'!$M$2:$M$1360,MATCH($A439,'2_Clean_Data'!$A$2:$A$1360,0))</f>
        <v>8</v>
      </c>
      <c r="C439" s="9" t="str">
        <f t="shared" si="24"/>
        <v>Excellent</v>
      </c>
      <c r="D439" s="11">
        <f>INDEX('2_Clean_Data'!$L$2:$L$1360,MATCH($A439,'2_Clean_Data'!$A$2:$A$1360,0))</f>
        <v>11</v>
      </c>
      <c r="E439" s="9" t="str">
        <f>IF(D439&lt;'3_Summary_Tables'!$C$16,"Low",IF(D439&lt;'3_Summary_Tables'!$C$17,"Medium","High"))</f>
        <v>Medium</v>
      </c>
      <c r="F439" s="12">
        <f>INDEX('2_Clean_Data'!$C$2:$C$1360,MATCH($A439,'2_Clean_Data'!$A$2:$A$1360,0))</f>
        <v>0.35</v>
      </c>
      <c r="G439" s="10">
        <f>INDEX('2_Clean_Data'!$H$2:$H$1360,MATCH($A439,'2_Clean_Data'!$A$2:$A$1360,0))</f>
        <v>16</v>
      </c>
      <c r="H439" s="9" t="str">
        <f t="shared" si="25"/>
        <v>Low</v>
      </c>
      <c r="I439" s="9" t="str">
        <f t="shared" si="26"/>
        <v>OK</v>
      </c>
      <c r="J439" s="9" t="str">
        <f t="shared" si="27"/>
        <v>Solid</v>
      </c>
    </row>
    <row r="440" spans="1:10" x14ac:dyDescent="0.3">
      <c r="A440" s="10">
        <f>'2_Clean_Data'!A437</f>
        <v>436</v>
      </c>
      <c r="B440" s="10">
        <f>INDEX('2_Clean_Data'!$M$2:$M$1360,MATCH($A440,'2_Clean_Data'!$A$2:$A$1360,0))</f>
        <v>6</v>
      </c>
      <c r="C440" s="9" t="str">
        <f t="shared" si="24"/>
        <v>Above Average</v>
      </c>
      <c r="D440" s="11">
        <f>INDEX('2_Clean_Data'!$L$2:$L$1360,MATCH($A440,'2_Clean_Data'!$A$2:$A$1360,0))</f>
        <v>9</v>
      </c>
      <c r="E440" s="9" t="str">
        <f>IF(D440&lt;'3_Summary_Tables'!$C$16,"Low",IF(D440&lt;'3_Summary_Tables'!$C$17,"Medium","High"))</f>
        <v>Low</v>
      </c>
      <c r="F440" s="12">
        <f>INDEX('2_Clean_Data'!$C$2:$C$1360,MATCH($A440,'2_Clean_Data'!$A$2:$A$1360,0))</f>
        <v>0.52</v>
      </c>
      <c r="G440" s="10">
        <f>INDEX('2_Clean_Data'!$H$2:$H$1360,MATCH($A440,'2_Clean_Data'!$A$2:$A$1360,0))</f>
        <v>38</v>
      </c>
      <c r="H440" s="9" t="str">
        <f t="shared" si="25"/>
        <v>Low</v>
      </c>
      <c r="I440" s="9" t="str">
        <f t="shared" si="26"/>
        <v>OK</v>
      </c>
      <c r="J440" s="9" t="str">
        <f t="shared" si="27"/>
        <v>Solid</v>
      </c>
    </row>
    <row r="441" spans="1:10" x14ac:dyDescent="0.3">
      <c r="A441" s="10">
        <f>'2_Clean_Data'!A438</f>
        <v>437</v>
      </c>
      <c r="B441" s="10">
        <f>INDEX('2_Clean_Data'!$M$2:$M$1360,MATCH($A441,'2_Clean_Data'!$A$2:$A$1360,0))</f>
        <v>5</v>
      </c>
      <c r="C441" s="9" t="str">
        <f t="shared" si="24"/>
        <v>Average</v>
      </c>
      <c r="D441" s="11">
        <f>INDEX('2_Clean_Data'!$L$2:$L$1360,MATCH($A441,'2_Clean_Data'!$A$2:$A$1360,0))</f>
        <v>11.1</v>
      </c>
      <c r="E441" s="9" t="str">
        <f>IF(D441&lt;'3_Summary_Tables'!$C$16,"Low",IF(D441&lt;'3_Summary_Tables'!$C$17,"Medium","High"))</f>
        <v>Medium</v>
      </c>
      <c r="F441" s="12">
        <f>INDEX('2_Clean_Data'!$C$2:$C$1360,MATCH($A441,'2_Clean_Data'!$A$2:$A$1360,0))</f>
        <v>0.34</v>
      </c>
      <c r="G441" s="10">
        <f>INDEX('2_Clean_Data'!$H$2:$H$1360,MATCH($A441,'2_Clean_Data'!$A$2:$A$1360,0))</f>
        <v>113</v>
      </c>
      <c r="H441" s="9" t="str">
        <f t="shared" si="25"/>
        <v>High</v>
      </c>
      <c r="I441" s="9" t="str">
        <f t="shared" si="26"/>
        <v>OK</v>
      </c>
      <c r="J441" s="9" t="str">
        <f t="shared" si="27"/>
        <v>Standard</v>
      </c>
    </row>
    <row r="442" spans="1:10" x14ac:dyDescent="0.3">
      <c r="A442" s="10">
        <f>'2_Clean_Data'!A439</f>
        <v>438</v>
      </c>
      <c r="B442" s="10">
        <f>INDEX('2_Clean_Data'!$M$2:$M$1360,MATCH($A442,'2_Clean_Data'!$A$2:$A$1360,0))</f>
        <v>7</v>
      </c>
      <c r="C442" s="9" t="str">
        <f t="shared" si="24"/>
        <v>Good</v>
      </c>
      <c r="D442" s="11">
        <f>INDEX('2_Clean_Data'!$L$2:$L$1360,MATCH($A442,'2_Clean_Data'!$A$2:$A$1360,0))</f>
        <v>12</v>
      </c>
      <c r="E442" s="9" t="str">
        <f>IF(D442&lt;'3_Summary_Tables'!$C$16,"Low",IF(D442&lt;'3_Summary_Tables'!$C$17,"Medium","High"))</f>
        <v>High</v>
      </c>
      <c r="F442" s="12">
        <f>INDEX('2_Clean_Data'!$C$2:$C$1360,MATCH($A442,'2_Clean_Data'!$A$2:$A$1360,0))</f>
        <v>0.44</v>
      </c>
      <c r="G442" s="10">
        <f>INDEX('2_Clean_Data'!$H$2:$H$1360,MATCH($A442,'2_Clean_Data'!$A$2:$A$1360,0))</f>
        <v>76</v>
      </c>
      <c r="H442" s="9" t="str">
        <f t="shared" si="25"/>
        <v>Moderate</v>
      </c>
      <c r="I442" s="9" t="str">
        <f t="shared" si="26"/>
        <v>OK</v>
      </c>
      <c r="J442" s="9" t="str">
        <f t="shared" si="27"/>
        <v>Premium</v>
      </c>
    </row>
    <row r="443" spans="1:10" x14ac:dyDescent="0.3">
      <c r="A443" s="10">
        <f>'2_Clean_Data'!A440</f>
        <v>439</v>
      </c>
      <c r="B443" s="10">
        <f>INDEX('2_Clean_Data'!$M$2:$M$1360,MATCH($A443,'2_Clean_Data'!$A$2:$A$1360,0))</f>
        <v>7</v>
      </c>
      <c r="C443" s="9" t="str">
        <f t="shared" si="24"/>
        <v>Good</v>
      </c>
      <c r="D443" s="11">
        <f>INDEX('2_Clean_Data'!$L$2:$L$1360,MATCH($A443,'2_Clean_Data'!$A$2:$A$1360,0))</f>
        <v>10.9</v>
      </c>
      <c r="E443" s="9" t="str">
        <f>IF(D443&lt;'3_Summary_Tables'!$C$16,"Low",IF(D443&lt;'3_Summary_Tables'!$C$17,"Medium","High"))</f>
        <v>Medium</v>
      </c>
      <c r="F443" s="12">
        <f>INDEX('2_Clean_Data'!$C$2:$C$1360,MATCH($A443,'2_Clean_Data'!$A$2:$A$1360,0))</f>
        <v>0.26</v>
      </c>
      <c r="G443" s="10">
        <f>INDEX('2_Clean_Data'!$H$2:$H$1360,MATCH($A443,'2_Clean_Data'!$A$2:$A$1360,0))</f>
        <v>24</v>
      </c>
      <c r="H443" s="9" t="str">
        <f t="shared" si="25"/>
        <v>Low</v>
      </c>
      <c r="I443" s="9" t="str">
        <f t="shared" si="26"/>
        <v>OK</v>
      </c>
      <c r="J443" s="9" t="str">
        <f t="shared" si="27"/>
        <v>Solid</v>
      </c>
    </row>
    <row r="444" spans="1:10" x14ac:dyDescent="0.3">
      <c r="A444" s="10">
        <f>'2_Clean_Data'!A441</f>
        <v>440</v>
      </c>
      <c r="B444" s="10">
        <f>INDEX('2_Clean_Data'!$M$2:$M$1360,MATCH($A444,'2_Clean_Data'!$A$2:$A$1360,0))</f>
        <v>7</v>
      </c>
      <c r="C444" s="9" t="str">
        <f t="shared" si="24"/>
        <v>Good</v>
      </c>
      <c r="D444" s="11">
        <f>INDEX('2_Clean_Data'!$L$2:$L$1360,MATCH($A444,'2_Clean_Data'!$A$2:$A$1360,0))</f>
        <v>10.8</v>
      </c>
      <c r="E444" s="9" t="str">
        <f>IF(D444&lt;'3_Summary_Tables'!$C$16,"Low",IF(D444&lt;'3_Summary_Tables'!$C$17,"Medium","High"))</f>
        <v>Medium</v>
      </c>
      <c r="F444" s="12">
        <f>INDEX('2_Clean_Data'!$C$2:$C$1360,MATCH($A444,'2_Clean_Data'!$A$2:$A$1360,0))</f>
        <v>0.24</v>
      </c>
      <c r="G444" s="10">
        <f>INDEX('2_Clean_Data'!$H$2:$H$1360,MATCH($A444,'2_Clean_Data'!$A$2:$A$1360,0))</f>
        <v>22</v>
      </c>
      <c r="H444" s="9" t="str">
        <f t="shared" si="25"/>
        <v>Low</v>
      </c>
      <c r="I444" s="9" t="str">
        <f t="shared" si="26"/>
        <v>OK</v>
      </c>
      <c r="J444" s="9" t="str">
        <f t="shared" si="27"/>
        <v>Solid</v>
      </c>
    </row>
    <row r="445" spans="1:10" x14ac:dyDescent="0.3">
      <c r="A445" s="10">
        <f>'2_Clean_Data'!A442</f>
        <v>441</v>
      </c>
      <c r="B445" s="10">
        <f>INDEX('2_Clean_Data'!$M$2:$M$1360,MATCH($A445,'2_Clean_Data'!$A$2:$A$1360,0))</f>
        <v>7</v>
      </c>
      <c r="C445" s="9" t="str">
        <f t="shared" si="24"/>
        <v>Good</v>
      </c>
      <c r="D445" s="11">
        <f>INDEX('2_Clean_Data'!$L$2:$L$1360,MATCH($A445,'2_Clean_Data'!$A$2:$A$1360,0))</f>
        <v>12.5</v>
      </c>
      <c r="E445" s="9" t="str">
        <f>IF(D445&lt;'3_Summary_Tables'!$C$16,"Low",IF(D445&lt;'3_Summary_Tables'!$C$17,"Medium","High"))</f>
        <v>High</v>
      </c>
      <c r="F445" s="12">
        <f>INDEX('2_Clean_Data'!$C$2:$C$1360,MATCH($A445,'2_Clean_Data'!$A$2:$A$1360,0))</f>
        <v>0.49</v>
      </c>
      <c r="G445" s="10">
        <f>INDEX('2_Clean_Data'!$H$2:$H$1360,MATCH($A445,'2_Clean_Data'!$A$2:$A$1360,0))</f>
        <v>26</v>
      </c>
      <c r="H445" s="9" t="str">
        <f t="shared" si="25"/>
        <v>Low</v>
      </c>
      <c r="I445" s="9" t="str">
        <f t="shared" si="26"/>
        <v>OK</v>
      </c>
      <c r="J445" s="9" t="str">
        <f t="shared" si="27"/>
        <v>Premium</v>
      </c>
    </row>
    <row r="446" spans="1:10" x14ac:dyDescent="0.3">
      <c r="A446" s="10">
        <f>'2_Clean_Data'!A443</f>
        <v>442</v>
      </c>
      <c r="B446" s="10">
        <f>INDEX('2_Clean_Data'!$M$2:$M$1360,MATCH($A446,'2_Clean_Data'!$A$2:$A$1360,0))</f>
        <v>7</v>
      </c>
      <c r="C446" s="9" t="str">
        <f t="shared" si="24"/>
        <v>Good</v>
      </c>
      <c r="D446" s="11">
        <f>INDEX('2_Clean_Data'!$L$2:$L$1360,MATCH($A446,'2_Clean_Data'!$A$2:$A$1360,0))</f>
        <v>10.8</v>
      </c>
      <c r="E446" s="9" t="str">
        <f>IF(D446&lt;'3_Summary_Tables'!$C$16,"Low",IF(D446&lt;'3_Summary_Tables'!$C$17,"Medium","High"))</f>
        <v>Medium</v>
      </c>
      <c r="F446" s="12">
        <f>INDEX('2_Clean_Data'!$C$2:$C$1360,MATCH($A446,'2_Clean_Data'!$A$2:$A$1360,0))</f>
        <v>0.24</v>
      </c>
      <c r="G446" s="10">
        <f>INDEX('2_Clean_Data'!$H$2:$H$1360,MATCH($A446,'2_Clean_Data'!$A$2:$A$1360,0))</f>
        <v>21</v>
      </c>
      <c r="H446" s="9" t="str">
        <f t="shared" si="25"/>
        <v>Low</v>
      </c>
      <c r="I446" s="9" t="str">
        <f t="shared" si="26"/>
        <v>OK</v>
      </c>
      <c r="J446" s="9" t="str">
        <f t="shared" si="27"/>
        <v>Solid</v>
      </c>
    </row>
    <row r="447" spans="1:10" x14ac:dyDescent="0.3">
      <c r="A447" s="10">
        <f>'2_Clean_Data'!A444</f>
        <v>443</v>
      </c>
      <c r="B447" s="10">
        <f>INDEX('2_Clean_Data'!$M$2:$M$1360,MATCH($A447,'2_Clean_Data'!$A$2:$A$1360,0))</f>
        <v>6</v>
      </c>
      <c r="C447" s="9" t="str">
        <f t="shared" si="24"/>
        <v>Above Average</v>
      </c>
      <c r="D447" s="11">
        <f>INDEX('2_Clean_Data'!$L$2:$L$1360,MATCH($A447,'2_Clean_Data'!$A$2:$A$1360,0))</f>
        <v>9.5</v>
      </c>
      <c r="E447" s="9" t="str">
        <f>IF(D447&lt;'3_Summary_Tables'!$C$16,"Low",IF(D447&lt;'3_Summary_Tables'!$C$17,"Medium","High"))</f>
        <v>Low</v>
      </c>
      <c r="F447" s="12">
        <f>INDEX('2_Clean_Data'!$C$2:$C$1360,MATCH($A447,'2_Clean_Data'!$A$2:$A$1360,0))</f>
        <v>0.67</v>
      </c>
      <c r="G447" s="10">
        <f>INDEX('2_Clean_Data'!$H$2:$H$1360,MATCH($A447,'2_Clean_Data'!$A$2:$A$1360,0))</f>
        <v>13</v>
      </c>
      <c r="H447" s="9" t="str">
        <f t="shared" si="25"/>
        <v>Low</v>
      </c>
      <c r="I447" s="9" t="str">
        <f t="shared" si="26"/>
        <v>OK</v>
      </c>
      <c r="J447" s="9" t="str">
        <f t="shared" si="27"/>
        <v>Solid</v>
      </c>
    </row>
    <row r="448" spans="1:10" x14ac:dyDescent="0.3">
      <c r="A448" s="10">
        <f>'2_Clean_Data'!A445</f>
        <v>444</v>
      </c>
      <c r="B448" s="10">
        <f>INDEX('2_Clean_Data'!$M$2:$M$1360,MATCH($A448,'2_Clean_Data'!$A$2:$A$1360,0))</f>
        <v>6</v>
      </c>
      <c r="C448" s="9" t="str">
        <f t="shared" si="24"/>
        <v>Above Average</v>
      </c>
      <c r="D448" s="11">
        <f>INDEX('2_Clean_Data'!$L$2:$L$1360,MATCH($A448,'2_Clean_Data'!$A$2:$A$1360,0))</f>
        <v>10.199999999999999</v>
      </c>
      <c r="E448" s="9" t="str">
        <f>IF(D448&lt;'3_Summary_Tables'!$C$16,"Low",IF(D448&lt;'3_Summary_Tables'!$C$17,"Medium","High"))</f>
        <v>Medium</v>
      </c>
      <c r="F448" s="12">
        <f>INDEX('2_Clean_Data'!$C$2:$C$1360,MATCH($A448,'2_Clean_Data'!$A$2:$A$1360,0))</f>
        <v>0.59</v>
      </c>
      <c r="G448" s="10">
        <f>INDEX('2_Clean_Data'!$H$2:$H$1360,MATCH($A448,'2_Clean_Data'!$A$2:$A$1360,0))</f>
        <v>62</v>
      </c>
      <c r="H448" s="9" t="str">
        <f t="shared" si="25"/>
        <v>Moderate</v>
      </c>
      <c r="I448" s="9" t="str">
        <f t="shared" si="26"/>
        <v>OK</v>
      </c>
      <c r="J448" s="9" t="str">
        <f t="shared" si="27"/>
        <v>Solid</v>
      </c>
    </row>
    <row r="449" spans="1:10" x14ac:dyDescent="0.3">
      <c r="A449" s="10">
        <f>'2_Clean_Data'!A446</f>
        <v>445</v>
      </c>
      <c r="B449" s="10">
        <f>INDEX('2_Clean_Data'!$M$2:$M$1360,MATCH($A449,'2_Clean_Data'!$A$2:$A$1360,0))</f>
        <v>7</v>
      </c>
      <c r="C449" s="9" t="str">
        <f t="shared" si="24"/>
        <v>Good</v>
      </c>
      <c r="D449" s="11">
        <f>INDEX('2_Clean_Data'!$L$2:$L$1360,MATCH($A449,'2_Clean_Data'!$A$2:$A$1360,0))</f>
        <v>11.4</v>
      </c>
      <c r="E449" s="9" t="str">
        <f>IF(D449&lt;'3_Summary_Tables'!$C$16,"Low",IF(D449&lt;'3_Summary_Tables'!$C$17,"Medium","High"))</f>
        <v>Medium</v>
      </c>
      <c r="F449" s="12">
        <f>INDEX('2_Clean_Data'!$C$2:$C$1360,MATCH($A449,'2_Clean_Data'!$A$2:$A$1360,0))</f>
        <v>0.28999999999999998</v>
      </c>
      <c r="G449" s="10">
        <f>INDEX('2_Clean_Data'!$H$2:$H$1360,MATCH($A449,'2_Clean_Data'!$A$2:$A$1360,0))</f>
        <v>43</v>
      </c>
      <c r="H449" s="9" t="str">
        <f t="shared" si="25"/>
        <v>Low</v>
      </c>
      <c r="I449" s="9" t="str">
        <f t="shared" si="26"/>
        <v>OK</v>
      </c>
      <c r="J449" s="9" t="str">
        <f t="shared" si="27"/>
        <v>Solid</v>
      </c>
    </row>
    <row r="450" spans="1:10" x14ac:dyDescent="0.3">
      <c r="A450" s="10">
        <f>'2_Clean_Data'!A447</f>
        <v>446</v>
      </c>
      <c r="B450" s="10">
        <f>INDEX('2_Clean_Data'!$M$2:$M$1360,MATCH($A450,'2_Clean_Data'!$A$2:$A$1360,0))</f>
        <v>5</v>
      </c>
      <c r="C450" s="9" t="str">
        <f t="shared" si="24"/>
        <v>Average</v>
      </c>
      <c r="D450" s="11">
        <f>INDEX('2_Clean_Data'!$L$2:$L$1360,MATCH($A450,'2_Clean_Data'!$A$2:$A$1360,0))</f>
        <v>9.5</v>
      </c>
      <c r="E450" s="9" t="str">
        <f>IF(D450&lt;'3_Summary_Tables'!$C$16,"Low",IF(D450&lt;'3_Summary_Tables'!$C$17,"Medium","High"))</f>
        <v>Low</v>
      </c>
      <c r="F450" s="12">
        <f>INDEX('2_Clean_Data'!$C$2:$C$1360,MATCH($A450,'2_Clean_Data'!$A$2:$A$1360,0))</f>
        <v>0.42</v>
      </c>
      <c r="G450" s="10">
        <f>INDEX('2_Clean_Data'!$H$2:$H$1360,MATCH($A450,'2_Clean_Data'!$A$2:$A$1360,0))</f>
        <v>43</v>
      </c>
      <c r="H450" s="9" t="str">
        <f t="shared" si="25"/>
        <v>Low</v>
      </c>
      <c r="I450" s="9" t="str">
        <f t="shared" si="26"/>
        <v>OK</v>
      </c>
      <c r="J450" s="9" t="str">
        <f t="shared" si="27"/>
        <v>Standard</v>
      </c>
    </row>
    <row r="451" spans="1:10" x14ac:dyDescent="0.3">
      <c r="A451" s="10">
        <f>'2_Clean_Data'!A448</f>
        <v>447</v>
      </c>
      <c r="B451" s="10">
        <f>INDEX('2_Clean_Data'!$M$2:$M$1360,MATCH($A451,'2_Clean_Data'!$A$2:$A$1360,0))</f>
        <v>6</v>
      </c>
      <c r="C451" s="9" t="str">
        <f t="shared" si="24"/>
        <v>Above Average</v>
      </c>
      <c r="D451" s="11">
        <f>INDEX('2_Clean_Data'!$L$2:$L$1360,MATCH($A451,'2_Clean_Data'!$A$2:$A$1360,0))</f>
        <v>9.6999999999999993</v>
      </c>
      <c r="E451" s="9" t="str">
        <f>IF(D451&lt;'3_Summary_Tables'!$C$16,"Low",IF(D451&lt;'3_Summary_Tables'!$C$17,"Medium","High"))</f>
        <v>Low</v>
      </c>
      <c r="F451" s="12">
        <f>INDEX('2_Clean_Data'!$C$2:$C$1360,MATCH($A451,'2_Clean_Data'!$A$2:$A$1360,0))</f>
        <v>0.4</v>
      </c>
      <c r="G451" s="10">
        <f>INDEX('2_Clean_Data'!$H$2:$H$1360,MATCH($A451,'2_Clean_Data'!$A$2:$A$1360,0))</f>
        <v>49</v>
      </c>
      <c r="H451" s="9" t="str">
        <f t="shared" si="25"/>
        <v>Low</v>
      </c>
      <c r="I451" s="9" t="str">
        <f t="shared" si="26"/>
        <v>OK</v>
      </c>
      <c r="J451" s="9" t="str">
        <f t="shared" si="27"/>
        <v>Solid</v>
      </c>
    </row>
    <row r="452" spans="1:10" x14ac:dyDescent="0.3">
      <c r="A452" s="10">
        <f>'2_Clean_Data'!A449</f>
        <v>448</v>
      </c>
      <c r="B452" s="10">
        <f>INDEX('2_Clean_Data'!$M$2:$M$1360,MATCH($A452,'2_Clean_Data'!$A$2:$A$1360,0))</f>
        <v>7</v>
      </c>
      <c r="C452" s="9" t="str">
        <f t="shared" si="24"/>
        <v>Good</v>
      </c>
      <c r="D452" s="11">
        <f>INDEX('2_Clean_Data'!$L$2:$L$1360,MATCH($A452,'2_Clean_Data'!$A$2:$A$1360,0))</f>
        <v>11.8</v>
      </c>
      <c r="E452" s="9" t="str">
        <f>IF(D452&lt;'3_Summary_Tables'!$C$16,"Low",IF(D452&lt;'3_Summary_Tables'!$C$17,"Medium","High"))</f>
        <v>High</v>
      </c>
      <c r="F452" s="12">
        <f>INDEX('2_Clean_Data'!$C$2:$C$1360,MATCH($A452,'2_Clean_Data'!$A$2:$A$1360,0))</f>
        <v>0.51</v>
      </c>
      <c r="G452" s="10">
        <f>INDEX('2_Clean_Data'!$H$2:$H$1360,MATCH($A452,'2_Clean_Data'!$A$2:$A$1360,0))</f>
        <v>15</v>
      </c>
      <c r="H452" s="9" t="str">
        <f t="shared" si="25"/>
        <v>Low</v>
      </c>
      <c r="I452" s="9" t="str">
        <f t="shared" si="26"/>
        <v>OK</v>
      </c>
      <c r="J452" s="9" t="str">
        <f t="shared" si="27"/>
        <v>Premium</v>
      </c>
    </row>
    <row r="453" spans="1:10" x14ac:dyDescent="0.3">
      <c r="A453" s="10">
        <f>'2_Clean_Data'!A450</f>
        <v>449</v>
      </c>
      <c r="B453" s="10">
        <f>INDEX('2_Clean_Data'!$M$2:$M$1360,MATCH($A453,'2_Clean_Data'!$A$2:$A$1360,0))</f>
        <v>5</v>
      </c>
      <c r="C453" s="9" t="str">
        <f t="shared" ref="C453:C516" si="28">VLOOKUP(B453,$L$12:$N$17,2,FALSE())</f>
        <v>Average</v>
      </c>
      <c r="D453" s="11">
        <f>INDEX('2_Clean_Data'!$L$2:$L$1360,MATCH($A453,'2_Clean_Data'!$A$2:$A$1360,0))</f>
        <v>9.3000000000000007</v>
      </c>
      <c r="E453" s="9" t="str">
        <f>IF(D453&lt;'3_Summary_Tables'!$C$16,"Low",IF(D453&lt;'3_Summary_Tables'!$C$17,"Medium","High"))</f>
        <v>Low</v>
      </c>
      <c r="F453" s="12">
        <f>INDEX('2_Clean_Data'!$C$2:$C$1360,MATCH($A453,'2_Clean_Data'!$A$2:$A$1360,0))</f>
        <v>0.65500000000000003</v>
      </c>
      <c r="G453" s="10">
        <f>INDEX('2_Clean_Data'!$H$2:$H$1360,MATCH($A453,'2_Clean_Data'!$A$2:$A$1360,0))</f>
        <v>151</v>
      </c>
      <c r="H453" s="9" t="str">
        <f t="shared" ref="H453:H516" si="29">IF(G453&gt;$M$8,"High",IF(G453&gt;$M$7,"Moderate","Low"))</f>
        <v>High</v>
      </c>
      <c r="I453" s="9" t="str">
        <f t="shared" ref="I453:I516" si="30">IF(F453&gt;$M$6,"Above limit","OK")</f>
        <v>OK</v>
      </c>
      <c r="J453" s="9" t="str">
        <f t="shared" ref="J453:J516" si="31">IF(AND(B453&gt;=7,E453="High"),"Premium",IF(AND(B453&gt;=6,I453="OK"),"Solid",IF(B453&lt;=4,"Poor","Standard")))</f>
        <v>Standard</v>
      </c>
    </row>
    <row r="454" spans="1:10" x14ac:dyDescent="0.3">
      <c r="A454" s="10">
        <f>'2_Clean_Data'!A451</f>
        <v>450</v>
      </c>
      <c r="B454" s="10">
        <f>INDEX('2_Clean_Data'!$M$2:$M$1360,MATCH($A454,'2_Clean_Data'!$A$2:$A$1360,0))</f>
        <v>6</v>
      </c>
      <c r="C454" s="9" t="str">
        <f t="shared" si="28"/>
        <v>Above Average</v>
      </c>
      <c r="D454" s="11">
        <f>INDEX('2_Clean_Data'!$L$2:$L$1360,MATCH($A454,'2_Clean_Data'!$A$2:$A$1360,0))</f>
        <v>11.9</v>
      </c>
      <c r="E454" s="9" t="str">
        <f>IF(D454&lt;'3_Summary_Tables'!$C$16,"Low",IF(D454&lt;'3_Summary_Tables'!$C$17,"Medium","High"))</f>
        <v>High</v>
      </c>
      <c r="F454" s="12">
        <f>INDEX('2_Clean_Data'!$C$2:$C$1360,MATCH($A454,'2_Clean_Data'!$A$2:$A$1360,0))</f>
        <v>0.6</v>
      </c>
      <c r="G454" s="10">
        <f>INDEX('2_Clean_Data'!$H$2:$H$1360,MATCH($A454,'2_Clean_Data'!$A$2:$A$1360,0))</f>
        <v>14</v>
      </c>
      <c r="H454" s="9" t="str">
        <f t="shared" si="29"/>
        <v>Low</v>
      </c>
      <c r="I454" s="9" t="str">
        <f t="shared" si="30"/>
        <v>OK</v>
      </c>
      <c r="J454" s="9" t="str">
        <f t="shared" si="31"/>
        <v>Solid</v>
      </c>
    </row>
    <row r="455" spans="1:10" x14ac:dyDescent="0.3">
      <c r="A455" s="10">
        <f>'2_Clean_Data'!A452</f>
        <v>451</v>
      </c>
      <c r="B455" s="10">
        <f>INDEX('2_Clean_Data'!$M$2:$M$1360,MATCH($A455,'2_Clean_Data'!$A$2:$A$1360,0))</f>
        <v>3</v>
      </c>
      <c r="C455" s="9" t="str">
        <f t="shared" si="28"/>
        <v>Poor</v>
      </c>
      <c r="D455" s="11">
        <f>INDEX('2_Clean_Data'!$L$2:$L$1360,MATCH($A455,'2_Clean_Data'!$A$2:$A$1360,0))</f>
        <v>8.4</v>
      </c>
      <c r="E455" s="9" t="str">
        <f>IF(D455&lt;'3_Summary_Tables'!$C$16,"Low",IF(D455&lt;'3_Summary_Tables'!$C$17,"Medium","High"))</f>
        <v>Low</v>
      </c>
      <c r="F455" s="12">
        <f>INDEX('2_Clean_Data'!$C$2:$C$1360,MATCH($A455,'2_Clean_Data'!$A$2:$A$1360,0))</f>
        <v>0.61</v>
      </c>
      <c r="G455" s="10">
        <f>INDEX('2_Clean_Data'!$H$2:$H$1360,MATCH($A455,'2_Clean_Data'!$A$2:$A$1360,0))</f>
        <v>16</v>
      </c>
      <c r="H455" s="9" t="str">
        <f t="shared" si="29"/>
        <v>Low</v>
      </c>
      <c r="I455" s="9" t="str">
        <f t="shared" si="30"/>
        <v>OK</v>
      </c>
      <c r="J455" s="9" t="str">
        <f t="shared" si="31"/>
        <v>Poor</v>
      </c>
    </row>
    <row r="456" spans="1:10" x14ac:dyDescent="0.3">
      <c r="A456" s="10">
        <f>'2_Clean_Data'!A453</f>
        <v>452</v>
      </c>
      <c r="B456" s="10">
        <f>INDEX('2_Clean_Data'!$M$2:$M$1360,MATCH($A456,'2_Clean_Data'!$A$2:$A$1360,0))</f>
        <v>6</v>
      </c>
      <c r="C456" s="9" t="str">
        <f t="shared" si="28"/>
        <v>Above Average</v>
      </c>
      <c r="D456" s="11">
        <f>INDEX('2_Clean_Data'!$L$2:$L$1360,MATCH($A456,'2_Clean_Data'!$A$2:$A$1360,0))</f>
        <v>11.7</v>
      </c>
      <c r="E456" s="9" t="str">
        <f>IF(D456&lt;'3_Summary_Tables'!$C$16,"Low",IF(D456&lt;'3_Summary_Tables'!$C$17,"Medium","High"))</f>
        <v>High</v>
      </c>
      <c r="F456" s="12">
        <f>INDEX('2_Clean_Data'!$C$2:$C$1360,MATCH($A456,'2_Clean_Data'!$A$2:$A$1360,0))</f>
        <v>0.21</v>
      </c>
      <c r="G456" s="10">
        <f>INDEX('2_Clean_Data'!$H$2:$H$1360,MATCH($A456,'2_Clean_Data'!$A$2:$A$1360,0))</f>
        <v>32</v>
      </c>
      <c r="H456" s="9" t="str">
        <f t="shared" si="29"/>
        <v>Low</v>
      </c>
      <c r="I456" s="9" t="str">
        <f t="shared" si="30"/>
        <v>OK</v>
      </c>
      <c r="J456" s="9" t="str">
        <f t="shared" si="31"/>
        <v>Solid</v>
      </c>
    </row>
    <row r="457" spans="1:10" x14ac:dyDescent="0.3">
      <c r="A457" s="10">
        <f>'2_Clean_Data'!A454</f>
        <v>453</v>
      </c>
      <c r="B457" s="10">
        <f>INDEX('2_Clean_Data'!$M$2:$M$1360,MATCH($A457,'2_Clean_Data'!$A$2:$A$1360,0))</f>
        <v>5</v>
      </c>
      <c r="C457" s="9" t="str">
        <f t="shared" si="28"/>
        <v>Average</v>
      </c>
      <c r="D457" s="11">
        <f>INDEX('2_Clean_Data'!$L$2:$L$1360,MATCH($A457,'2_Clean_Data'!$A$2:$A$1360,0))</f>
        <v>11</v>
      </c>
      <c r="E457" s="9" t="str">
        <f>IF(D457&lt;'3_Summary_Tables'!$C$16,"Low",IF(D457&lt;'3_Summary_Tables'!$C$17,"Medium","High"))</f>
        <v>Medium</v>
      </c>
      <c r="F457" s="12">
        <f>INDEX('2_Clean_Data'!$C$2:$C$1360,MATCH($A457,'2_Clean_Data'!$A$2:$A$1360,0))</f>
        <v>0.36499999999999999</v>
      </c>
      <c r="G457" s="10">
        <f>INDEX('2_Clean_Data'!$H$2:$H$1360,MATCH($A457,'2_Clean_Data'!$A$2:$A$1360,0))</f>
        <v>106</v>
      </c>
      <c r="H457" s="9" t="str">
        <f t="shared" si="29"/>
        <v>High</v>
      </c>
      <c r="I457" s="9" t="str">
        <f t="shared" si="30"/>
        <v>OK</v>
      </c>
      <c r="J457" s="9" t="str">
        <f t="shared" si="31"/>
        <v>Standard</v>
      </c>
    </row>
    <row r="458" spans="1:10" x14ac:dyDescent="0.3">
      <c r="A458" s="10">
        <f>'2_Clean_Data'!A455</f>
        <v>454</v>
      </c>
      <c r="B458" s="10">
        <f>INDEX('2_Clean_Data'!$M$2:$M$1360,MATCH($A458,'2_Clean_Data'!$A$2:$A$1360,0))</f>
        <v>6</v>
      </c>
      <c r="C458" s="9" t="str">
        <f t="shared" si="28"/>
        <v>Above Average</v>
      </c>
      <c r="D458" s="11">
        <f>INDEX('2_Clean_Data'!$L$2:$L$1360,MATCH($A458,'2_Clean_Data'!$A$2:$A$1360,0))</f>
        <v>10</v>
      </c>
      <c r="E458" s="9" t="str">
        <f>IF(D458&lt;'3_Summary_Tables'!$C$16,"Low",IF(D458&lt;'3_Summary_Tables'!$C$17,"Medium","High"))</f>
        <v>Medium</v>
      </c>
      <c r="F458" s="12">
        <f>INDEX('2_Clean_Data'!$C$2:$C$1360,MATCH($A458,'2_Clean_Data'!$A$2:$A$1360,0))</f>
        <v>0.25</v>
      </c>
      <c r="G458" s="10">
        <f>INDEX('2_Clean_Data'!$H$2:$H$1360,MATCH($A458,'2_Clean_Data'!$A$2:$A$1360,0))</f>
        <v>33</v>
      </c>
      <c r="H458" s="9" t="str">
        <f t="shared" si="29"/>
        <v>Low</v>
      </c>
      <c r="I458" s="9" t="str">
        <f t="shared" si="30"/>
        <v>OK</v>
      </c>
      <c r="J458" s="9" t="str">
        <f t="shared" si="31"/>
        <v>Solid</v>
      </c>
    </row>
    <row r="459" spans="1:10" x14ac:dyDescent="0.3">
      <c r="A459" s="10">
        <f>'2_Clean_Data'!A456</f>
        <v>455</v>
      </c>
      <c r="B459" s="10">
        <f>INDEX('2_Clean_Data'!$M$2:$M$1360,MATCH($A459,'2_Clean_Data'!$A$2:$A$1360,0))</f>
        <v>5</v>
      </c>
      <c r="C459" s="9" t="str">
        <f t="shared" si="28"/>
        <v>Average</v>
      </c>
      <c r="D459" s="11">
        <f>INDEX('2_Clean_Data'!$L$2:$L$1360,MATCH($A459,'2_Clean_Data'!$A$2:$A$1360,0))</f>
        <v>9.1</v>
      </c>
      <c r="E459" s="9" t="str">
        <f>IF(D459&lt;'3_Summary_Tables'!$C$16,"Low",IF(D459&lt;'3_Summary_Tables'!$C$17,"Medium","High"))</f>
        <v>Low</v>
      </c>
      <c r="F459" s="12">
        <f>INDEX('2_Clean_Data'!$C$2:$C$1360,MATCH($A459,'2_Clean_Data'!$A$2:$A$1360,0))</f>
        <v>0.41</v>
      </c>
      <c r="G459" s="10">
        <f>INDEX('2_Clean_Data'!$H$2:$H$1360,MATCH($A459,'2_Clean_Data'!$A$2:$A$1360,0))</f>
        <v>43</v>
      </c>
      <c r="H459" s="9" t="str">
        <f t="shared" si="29"/>
        <v>Low</v>
      </c>
      <c r="I459" s="9" t="str">
        <f t="shared" si="30"/>
        <v>OK</v>
      </c>
      <c r="J459" s="9" t="str">
        <f t="shared" si="31"/>
        <v>Standard</v>
      </c>
    </row>
    <row r="460" spans="1:10" x14ac:dyDescent="0.3">
      <c r="A460" s="10">
        <f>'2_Clean_Data'!A457</f>
        <v>456</v>
      </c>
      <c r="B460" s="10">
        <f>INDEX('2_Clean_Data'!$M$2:$M$1360,MATCH($A460,'2_Clean_Data'!$A$2:$A$1360,0))</f>
        <v>5</v>
      </c>
      <c r="C460" s="9" t="str">
        <f t="shared" si="28"/>
        <v>Average</v>
      </c>
      <c r="D460" s="11">
        <f>INDEX('2_Clean_Data'!$L$2:$L$1360,MATCH($A460,'2_Clean_Data'!$A$2:$A$1360,0))</f>
        <v>9.8000000000000007</v>
      </c>
      <c r="E460" s="9" t="str">
        <f>IF(D460&lt;'3_Summary_Tables'!$C$16,"Low",IF(D460&lt;'3_Summary_Tables'!$C$17,"Medium","High"))</f>
        <v>Low</v>
      </c>
      <c r="F460" s="12">
        <f>INDEX('2_Clean_Data'!$C$2:$C$1360,MATCH($A460,'2_Clean_Data'!$A$2:$A$1360,0))</f>
        <v>0.39</v>
      </c>
      <c r="G460" s="10">
        <f>INDEX('2_Clean_Data'!$H$2:$H$1360,MATCH($A460,'2_Clean_Data'!$A$2:$A$1360,0))</f>
        <v>133</v>
      </c>
      <c r="H460" s="9" t="str">
        <f t="shared" si="29"/>
        <v>High</v>
      </c>
      <c r="I460" s="9" t="str">
        <f t="shared" si="30"/>
        <v>OK</v>
      </c>
      <c r="J460" s="9" t="str">
        <f t="shared" si="31"/>
        <v>Standard</v>
      </c>
    </row>
    <row r="461" spans="1:10" x14ac:dyDescent="0.3">
      <c r="A461" s="10">
        <f>'2_Clean_Data'!A458</f>
        <v>457</v>
      </c>
      <c r="B461" s="10">
        <f>INDEX('2_Clean_Data'!$M$2:$M$1360,MATCH($A461,'2_Clean_Data'!$A$2:$A$1360,0))</f>
        <v>5</v>
      </c>
      <c r="C461" s="9" t="str">
        <f t="shared" si="28"/>
        <v>Average</v>
      </c>
      <c r="D461" s="11">
        <f>INDEX('2_Clean_Data'!$L$2:$L$1360,MATCH($A461,'2_Clean_Data'!$A$2:$A$1360,0))</f>
        <v>9.4</v>
      </c>
      <c r="E461" s="9" t="str">
        <f>IF(D461&lt;'3_Summary_Tables'!$C$16,"Low",IF(D461&lt;'3_Summary_Tables'!$C$17,"Medium","High"))</f>
        <v>Low</v>
      </c>
      <c r="F461" s="12">
        <f>INDEX('2_Clean_Data'!$C$2:$C$1360,MATCH($A461,'2_Clean_Data'!$A$2:$A$1360,0))</f>
        <v>0.4</v>
      </c>
      <c r="G461" s="10">
        <f>INDEX('2_Clean_Data'!$H$2:$H$1360,MATCH($A461,'2_Clean_Data'!$A$2:$A$1360,0))</f>
        <v>142</v>
      </c>
      <c r="H461" s="9" t="str">
        <f t="shared" si="29"/>
        <v>High</v>
      </c>
      <c r="I461" s="9" t="str">
        <f t="shared" si="30"/>
        <v>OK</v>
      </c>
      <c r="J461" s="9" t="str">
        <f t="shared" si="31"/>
        <v>Standard</v>
      </c>
    </row>
    <row r="462" spans="1:10" x14ac:dyDescent="0.3">
      <c r="A462" s="10">
        <f>'2_Clean_Data'!A459</f>
        <v>458</v>
      </c>
      <c r="B462" s="10">
        <f>INDEX('2_Clean_Data'!$M$2:$M$1360,MATCH($A462,'2_Clean_Data'!$A$2:$A$1360,0))</f>
        <v>5</v>
      </c>
      <c r="C462" s="9" t="str">
        <f t="shared" si="28"/>
        <v>Average</v>
      </c>
      <c r="D462" s="11">
        <f>INDEX('2_Clean_Data'!$L$2:$L$1360,MATCH($A462,'2_Clean_Data'!$A$2:$A$1360,0))</f>
        <v>9.5</v>
      </c>
      <c r="E462" s="9" t="str">
        <f>IF(D462&lt;'3_Summary_Tables'!$C$16,"Low",IF(D462&lt;'3_Summary_Tables'!$C$17,"Medium","High"))</f>
        <v>Low</v>
      </c>
      <c r="F462" s="12">
        <f>INDEX('2_Clean_Data'!$C$2:$C$1360,MATCH($A462,'2_Clean_Data'!$A$2:$A$1360,0))</f>
        <v>0.43</v>
      </c>
      <c r="G462" s="10">
        <f>INDEX('2_Clean_Data'!$H$2:$H$1360,MATCH($A462,'2_Clean_Data'!$A$2:$A$1360,0))</f>
        <v>116</v>
      </c>
      <c r="H462" s="9" t="str">
        <f t="shared" si="29"/>
        <v>High</v>
      </c>
      <c r="I462" s="9" t="str">
        <f t="shared" si="30"/>
        <v>OK</v>
      </c>
      <c r="J462" s="9" t="str">
        <f t="shared" si="31"/>
        <v>Standard</v>
      </c>
    </row>
    <row r="463" spans="1:10" x14ac:dyDescent="0.3">
      <c r="A463" s="10">
        <f>'2_Clean_Data'!A460</f>
        <v>459</v>
      </c>
      <c r="B463" s="10">
        <f>INDEX('2_Clean_Data'!$M$2:$M$1360,MATCH($A463,'2_Clean_Data'!$A$2:$A$1360,0))</f>
        <v>5</v>
      </c>
      <c r="C463" s="9" t="str">
        <f t="shared" si="28"/>
        <v>Average</v>
      </c>
      <c r="D463" s="11">
        <f>INDEX('2_Clean_Data'!$L$2:$L$1360,MATCH($A463,'2_Clean_Data'!$A$2:$A$1360,0))</f>
        <v>9.9</v>
      </c>
      <c r="E463" s="9" t="str">
        <f>IF(D463&lt;'3_Summary_Tables'!$C$16,"Low",IF(D463&lt;'3_Summary_Tables'!$C$17,"Medium","High"))</f>
        <v>Low</v>
      </c>
      <c r="F463" s="12">
        <f>INDEX('2_Clean_Data'!$C$2:$C$1360,MATCH($A463,'2_Clean_Data'!$A$2:$A$1360,0))</f>
        <v>0.64</v>
      </c>
      <c r="G463" s="10">
        <f>INDEX('2_Clean_Data'!$H$2:$H$1360,MATCH($A463,'2_Clean_Data'!$A$2:$A$1360,0))</f>
        <v>53</v>
      </c>
      <c r="H463" s="9" t="str">
        <f t="shared" si="29"/>
        <v>Moderate</v>
      </c>
      <c r="I463" s="9" t="str">
        <f t="shared" si="30"/>
        <v>OK</v>
      </c>
      <c r="J463" s="9" t="str">
        <f t="shared" si="31"/>
        <v>Standard</v>
      </c>
    </row>
    <row r="464" spans="1:10" x14ac:dyDescent="0.3">
      <c r="A464" s="10">
        <f>'2_Clean_Data'!A461</f>
        <v>460</v>
      </c>
      <c r="B464" s="10">
        <f>INDEX('2_Clean_Data'!$M$2:$M$1360,MATCH($A464,'2_Clean_Data'!$A$2:$A$1360,0))</f>
        <v>6</v>
      </c>
      <c r="C464" s="9" t="str">
        <f t="shared" si="28"/>
        <v>Above Average</v>
      </c>
      <c r="D464" s="11">
        <f>INDEX('2_Clean_Data'!$L$2:$L$1360,MATCH($A464,'2_Clean_Data'!$A$2:$A$1360,0))</f>
        <v>11.4</v>
      </c>
      <c r="E464" s="9" t="str">
        <f>IF(D464&lt;'3_Summary_Tables'!$C$16,"Low",IF(D464&lt;'3_Summary_Tables'!$C$17,"Medium","High"))</f>
        <v>Medium</v>
      </c>
      <c r="F464" s="12">
        <f>INDEX('2_Clean_Data'!$C$2:$C$1360,MATCH($A464,'2_Clean_Data'!$A$2:$A$1360,0))</f>
        <v>0.38</v>
      </c>
      <c r="G464" s="10">
        <f>INDEX('2_Clean_Data'!$H$2:$H$1360,MATCH($A464,'2_Clean_Data'!$A$2:$A$1360,0))</f>
        <v>85</v>
      </c>
      <c r="H464" s="9" t="str">
        <f t="shared" si="29"/>
        <v>Moderate</v>
      </c>
      <c r="I464" s="9" t="str">
        <f t="shared" si="30"/>
        <v>OK</v>
      </c>
      <c r="J464" s="9" t="str">
        <f t="shared" si="31"/>
        <v>Solid</v>
      </c>
    </row>
    <row r="465" spans="1:10" x14ac:dyDescent="0.3">
      <c r="A465" s="10">
        <f>'2_Clean_Data'!A462</f>
        <v>461</v>
      </c>
      <c r="B465" s="10">
        <f>INDEX('2_Clean_Data'!$M$2:$M$1360,MATCH($A465,'2_Clean_Data'!$A$2:$A$1360,0))</f>
        <v>6</v>
      </c>
      <c r="C465" s="9" t="str">
        <f t="shared" si="28"/>
        <v>Above Average</v>
      </c>
      <c r="D465" s="11">
        <f>INDEX('2_Clean_Data'!$L$2:$L$1360,MATCH($A465,'2_Clean_Data'!$A$2:$A$1360,0))</f>
        <v>8.6999999999999993</v>
      </c>
      <c r="E465" s="9" t="str">
        <f>IF(D465&lt;'3_Summary_Tables'!$C$16,"Low",IF(D465&lt;'3_Summary_Tables'!$C$17,"Medium","High"))</f>
        <v>Low</v>
      </c>
      <c r="F465" s="12">
        <f>INDEX('2_Clean_Data'!$C$2:$C$1360,MATCH($A465,'2_Clean_Data'!$A$2:$A$1360,0))</f>
        <v>0.42</v>
      </c>
      <c r="G465" s="10">
        <f>INDEX('2_Clean_Data'!$H$2:$H$1360,MATCH($A465,'2_Clean_Data'!$A$2:$A$1360,0))</f>
        <v>55</v>
      </c>
      <c r="H465" s="9" t="str">
        <f t="shared" si="29"/>
        <v>Moderate</v>
      </c>
      <c r="I465" s="9" t="str">
        <f t="shared" si="30"/>
        <v>OK</v>
      </c>
      <c r="J465" s="9" t="str">
        <f t="shared" si="31"/>
        <v>Solid</v>
      </c>
    </row>
    <row r="466" spans="1:10" x14ac:dyDescent="0.3">
      <c r="A466" s="10">
        <f>'2_Clean_Data'!A463</f>
        <v>462</v>
      </c>
      <c r="B466" s="10">
        <f>INDEX('2_Clean_Data'!$M$2:$M$1360,MATCH($A466,'2_Clean_Data'!$A$2:$A$1360,0))</f>
        <v>5</v>
      </c>
      <c r="C466" s="9" t="str">
        <f t="shared" si="28"/>
        <v>Average</v>
      </c>
      <c r="D466" s="11">
        <f>INDEX('2_Clean_Data'!$L$2:$L$1360,MATCH($A466,'2_Clean_Data'!$A$2:$A$1360,0))</f>
        <v>9.4</v>
      </c>
      <c r="E466" s="9" t="str">
        <f>IF(D466&lt;'3_Summary_Tables'!$C$16,"Low",IF(D466&lt;'3_Summary_Tables'!$C$17,"Medium","High"))</f>
        <v>Low</v>
      </c>
      <c r="F466" s="12">
        <f>INDEX('2_Clean_Data'!$C$2:$C$1360,MATCH($A466,'2_Clean_Data'!$A$2:$A$1360,0))</f>
        <v>0.63</v>
      </c>
      <c r="G466" s="10">
        <f>INDEX('2_Clean_Data'!$H$2:$H$1360,MATCH($A466,'2_Clean_Data'!$A$2:$A$1360,0))</f>
        <v>33</v>
      </c>
      <c r="H466" s="9" t="str">
        <f t="shared" si="29"/>
        <v>Low</v>
      </c>
      <c r="I466" s="9" t="str">
        <f t="shared" si="30"/>
        <v>OK</v>
      </c>
      <c r="J466" s="9" t="str">
        <f t="shared" si="31"/>
        <v>Standard</v>
      </c>
    </row>
    <row r="467" spans="1:10" x14ac:dyDescent="0.3">
      <c r="A467" s="10">
        <f>'2_Clean_Data'!A464</f>
        <v>463</v>
      </c>
      <c r="B467" s="10">
        <f>INDEX('2_Clean_Data'!$M$2:$M$1360,MATCH($A467,'2_Clean_Data'!$A$2:$A$1360,0))</f>
        <v>6</v>
      </c>
      <c r="C467" s="9" t="str">
        <f t="shared" si="28"/>
        <v>Above Average</v>
      </c>
      <c r="D467" s="11">
        <f>INDEX('2_Clean_Data'!$L$2:$L$1360,MATCH($A467,'2_Clean_Data'!$A$2:$A$1360,0))</f>
        <v>10.3</v>
      </c>
      <c r="E467" s="9" t="str">
        <f>IF(D467&lt;'3_Summary_Tables'!$C$16,"Low",IF(D467&lt;'3_Summary_Tables'!$C$17,"Medium","High"))</f>
        <v>Medium</v>
      </c>
      <c r="F467" s="12">
        <f>INDEX('2_Clean_Data'!$C$2:$C$1360,MATCH($A467,'2_Clean_Data'!$A$2:$A$1360,0))</f>
        <v>0.22</v>
      </c>
      <c r="G467" s="10">
        <f>INDEX('2_Clean_Data'!$H$2:$H$1360,MATCH($A467,'2_Clean_Data'!$A$2:$A$1360,0))</f>
        <v>28</v>
      </c>
      <c r="H467" s="9" t="str">
        <f t="shared" si="29"/>
        <v>Low</v>
      </c>
      <c r="I467" s="9" t="str">
        <f t="shared" si="30"/>
        <v>OK</v>
      </c>
      <c r="J467" s="9" t="str">
        <f t="shared" si="31"/>
        <v>Solid</v>
      </c>
    </row>
    <row r="468" spans="1:10" x14ac:dyDescent="0.3">
      <c r="A468" s="10">
        <f>'2_Clean_Data'!A465</f>
        <v>464</v>
      </c>
      <c r="B468" s="10">
        <f>INDEX('2_Clean_Data'!$M$2:$M$1360,MATCH($A468,'2_Clean_Data'!$A$2:$A$1360,0))</f>
        <v>5</v>
      </c>
      <c r="C468" s="9" t="str">
        <f t="shared" si="28"/>
        <v>Average</v>
      </c>
      <c r="D468" s="11">
        <f>INDEX('2_Clean_Data'!$L$2:$L$1360,MATCH($A468,'2_Clean_Data'!$A$2:$A$1360,0))</f>
        <v>10.3</v>
      </c>
      <c r="E468" s="9" t="str">
        <f>IF(D468&lt;'3_Summary_Tables'!$C$16,"Low",IF(D468&lt;'3_Summary_Tables'!$C$17,"Medium","High"))</f>
        <v>Medium</v>
      </c>
      <c r="F468" s="12">
        <f>INDEX('2_Clean_Data'!$C$2:$C$1360,MATCH($A468,'2_Clean_Data'!$A$2:$A$1360,0))</f>
        <v>0.38</v>
      </c>
      <c r="G468" s="10">
        <f>INDEX('2_Clean_Data'!$H$2:$H$1360,MATCH($A468,'2_Clean_Data'!$A$2:$A$1360,0))</f>
        <v>42</v>
      </c>
      <c r="H468" s="9" t="str">
        <f t="shared" si="29"/>
        <v>Low</v>
      </c>
      <c r="I468" s="9" t="str">
        <f t="shared" si="30"/>
        <v>OK</v>
      </c>
      <c r="J468" s="9" t="str">
        <f t="shared" si="31"/>
        <v>Standard</v>
      </c>
    </row>
    <row r="469" spans="1:10" x14ac:dyDescent="0.3">
      <c r="A469" s="10">
        <f>'2_Clean_Data'!A466</f>
        <v>465</v>
      </c>
      <c r="B469" s="10">
        <f>INDEX('2_Clean_Data'!$M$2:$M$1360,MATCH($A469,'2_Clean_Data'!$A$2:$A$1360,0))</f>
        <v>6</v>
      </c>
      <c r="C469" s="9" t="str">
        <f t="shared" si="28"/>
        <v>Above Average</v>
      </c>
      <c r="D469" s="11">
        <f>INDEX('2_Clean_Data'!$L$2:$L$1360,MATCH($A469,'2_Clean_Data'!$A$2:$A$1360,0))</f>
        <v>12.8</v>
      </c>
      <c r="E469" s="9" t="str">
        <f>IF(D469&lt;'3_Summary_Tables'!$C$16,"Low",IF(D469&lt;'3_Summary_Tables'!$C$17,"Medium","High"))</f>
        <v>High</v>
      </c>
      <c r="F469" s="12">
        <f>INDEX('2_Clean_Data'!$C$2:$C$1360,MATCH($A469,'2_Clean_Data'!$A$2:$A$1360,0))</f>
        <v>0.27</v>
      </c>
      <c r="G469" s="10">
        <f>INDEX('2_Clean_Data'!$H$2:$H$1360,MATCH($A469,'2_Clean_Data'!$A$2:$A$1360,0))</f>
        <v>33</v>
      </c>
      <c r="H469" s="9" t="str">
        <f t="shared" si="29"/>
        <v>Low</v>
      </c>
      <c r="I469" s="9" t="str">
        <f t="shared" si="30"/>
        <v>OK</v>
      </c>
      <c r="J469" s="9" t="str">
        <f t="shared" si="31"/>
        <v>Solid</v>
      </c>
    </row>
    <row r="470" spans="1:10" x14ac:dyDescent="0.3">
      <c r="A470" s="10">
        <f>'2_Clean_Data'!A467</f>
        <v>466</v>
      </c>
      <c r="B470" s="10">
        <f>INDEX('2_Clean_Data'!$M$2:$M$1360,MATCH($A470,'2_Clean_Data'!$A$2:$A$1360,0))</f>
        <v>6</v>
      </c>
      <c r="C470" s="9" t="str">
        <f t="shared" si="28"/>
        <v>Above Average</v>
      </c>
      <c r="D470" s="11">
        <f>INDEX('2_Clean_Data'!$L$2:$L$1360,MATCH($A470,'2_Clean_Data'!$A$2:$A$1360,0))</f>
        <v>10</v>
      </c>
      <c r="E470" s="9" t="str">
        <f>IF(D470&lt;'3_Summary_Tables'!$C$16,"Low",IF(D470&lt;'3_Summary_Tables'!$C$17,"Medium","High"))</f>
        <v>Medium</v>
      </c>
      <c r="F470" s="12">
        <f>INDEX('2_Clean_Data'!$C$2:$C$1360,MATCH($A470,'2_Clean_Data'!$A$2:$A$1360,0))</f>
        <v>0.48</v>
      </c>
      <c r="G470" s="10">
        <f>INDEX('2_Clean_Data'!$H$2:$H$1360,MATCH($A470,'2_Clean_Data'!$A$2:$A$1360,0))</f>
        <v>32</v>
      </c>
      <c r="H470" s="9" t="str">
        <f t="shared" si="29"/>
        <v>Low</v>
      </c>
      <c r="I470" s="9" t="str">
        <f t="shared" si="30"/>
        <v>OK</v>
      </c>
      <c r="J470" s="9" t="str">
        <f t="shared" si="31"/>
        <v>Solid</v>
      </c>
    </row>
    <row r="471" spans="1:10" x14ac:dyDescent="0.3">
      <c r="A471" s="10">
        <f>'2_Clean_Data'!A468</f>
        <v>467</v>
      </c>
      <c r="B471" s="10">
        <f>INDEX('2_Clean_Data'!$M$2:$M$1360,MATCH($A471,'2_Clean_Data'!$A$2:$A$1360,0))</f>
        <v>6</v>
      </c>
      <c r="C471" s="9" t="str">
        <f t="shared" si="28"/>
        <v>Above Average</v>
      </c>
      <c r="D471" s="11">
        <f>INDEX('2_Clean_Data'!$L$2:$L$1360,MATCH($A471,'2_Clean_Data'!$A$2:$A$1360,0))</f>
        <v>10.7</v>
      </c>
      <c r="E471" s="9" t="str">
        <f>IF(D471&lt;'3_Summary_Tables'!$C$16,"Low",IF(D471&lt;'3_Summary_Tables'!$C$17,"Medium","High"))</f>
        <v>Medium</v>
      </c>
      <c r="F471" s="12">
        <f>INDEX('2_Clean_Data'!$C$2:$C$1360,MATCH($A471,'2_Clean_Data'!$A$2:$A$1360,0))</f>
        <v>0.82499999999999996</v>
      </c>
      <c r="G471" s="10">
        <f>INDEX('2_Clean_Data'!$H$2:$H$1360,MATCH($A471,'2_Clean_Data'!$A$2:$A$1360,0))</f>
        <v>13</v>
      </c>
      <c r="H471" s="9" t="str">
        <f t="shared" si="29"/>
        <v>Low</v>
      </c>
      <c r="I471" s="9" t="str">
        <f t="shared" si="30"/>
        <v>Above limit</v>
      </c>
      <c r="J471" s="9" t="str">
        <f t="shared" si="31"/>
        <v>Standard</v>
      </c>
    </row>
    <row r="472" spans="1:10" x14ac:dyDescent="0.3">
      <c r="A472" s="10">
        <f>'2_Clean_Data'!A469</f>
        <v>468</v>
      </c>
      <c r="B472" s="10">
        <f>INDEX('2_Clean_Data'!$M$2:$M$1360,MATCH($A472,'2_Clean_Data'!$A$2:$A$1360,0))</f>
        <v>7</v>
      </c>
      <c r="C472" s="9" t="str">
        <f t="shared" si="28"/>
        <v>Good</v>
      </c>
      <c r="D472" s="11">
        <f>INDEX('2_Clean_Data'!$L$2:$L$1360,MATCH($A472,'2_Clean_Data'!$A$2:$A$1360,0))</f>
        <v>12</v>
      </c>
      <c r="E472" s="9" t="str">
        <f>IF(D472&lt;'3_Summary_Tables'!$C$16,"Low",IF(D472&lt;'3_Summary_Tables'!$C$17,"Medium","High"))</f>
        <v>High</v>
      </c>
      <c r="F472" s="12">
        <f>INDEX('2_Clean_Data'!$C$2:$C$1360,MATCH($A472,'2_Clean_Data'!$A$2:$A$1360,0))</f>
        <v>0.35</v>
      </c>
      <c r="G472" s="10">
        <f>INDEX('2_Clean_Data'!$H$2:$H$1360,MATCH($A472,'2_Clean_Data'!$A$2:$A$1360,0))</f>
        <v>35</v>
      </c>
      <c r="H472" s="9" t="str">
        <f t="shared" si="29"/>
        <v>Low</v>
      </c>
      <c r="I472" s="9" t="str">
        <f t="shared" si="30"/>
        <v>OK</v>
      </c>
      <c r="J472" s="9" t="str">
        <f t="shared" si="31"/>
        <v>Premium</v>
      </c>
    </row>
    <row r="473" spans="1:10" x14ac:dyDescent="0.3">
      <c r="A473" s="10">
        <f>'2_Clean_Data'!A470</f>
        <v>469</v>
      </c>
      <c r="B473" s="10">
        <f>INDEX('2_Clean_Data'!$M$2:$M$1360,MATCH($A473,'2_Clean_Data'!$A$2:$A$1360,0))</f>
        <v>5</v>
      </c>
      <c r="C473" s="9" t="str">
        <f t="shared" si="28"/>
        <v>Average</v>
      </c>
      <c r="D473" s="11">
        <f>INDEX('2_Clean_Data'!$L$2:$L$1360,MATCH($A473,'2_Clean_Data'!$A$2:$A$1360,0))</f>
        <v>11.2</v>
      </c>
      <c r="E473" s="9" t="str">
        <f>IF(D473&lt;'3_Summary_Tables'!$C$16,"Low",IF(D473&lt;'3_Summary_Tables'!$C$17,"Medium","High"))</f>
        <v>Medium</v>
      </c>
      <c r="F473" s="12">
        <f>INDEX('2_Clean_Data'!$C$2:$C$1360,MATCH($A473,'2_Clean_Data'!$A$2:$A$1360,0))</f>
        <v>0.5</v>
      </c>
      <c r="G473" s="10">
        <f>INDEX('2_Clean_Data'!$H$2:$H$1360,MATCH($A473,'2_Clean_Data'!$A$2:$A$1360,0))</f>
        <v>17</v>
      </c>
      <c r="H473" s="9" t="str">
        <f t="shared" si="29"/>
        <v>Low</v>
      </c>
      <c r="I473" s="9" t="str">
        <f t="shared" si="30"/>
        <v>OK</v>
      </c>
      <c r="J473" s="9" t="str">
        <f t="shared" si="31"/>
        <v>Standard</v>
      </c>
    </row>
    <row r="474" spans="1:10" x14ac:dyDescent="0.3">
      <c r="A474" s="10">
        <f>'2_Clean_Data'!A471</f>
        <v>470</v>
      </c>
      <c r="B474" s="10">
        <f>INDEX('2_Clean_Data'!$M$2:$M$1360,MATCH($A474,'2_Clean_Data'!$A$2:$A$1360,0))</f>
        <v>5</v>
      </c>
      <c r="C474" s="9" t="str">
        <f t="shared" si="28"/>
        <v>Average</v>
      </c>
      <c r="D474" s="11">
        <f>INDEX('2_Clean_Data'!$L$2:$L$1360,MATCH($A474,'2_Clean_Data'!$A$2:$A$1360,0))</f>
        <v>9.6</v>
      </c>
      <c r="E474" s="9" t="str">
        <f>IF(D474&lt;'3_Summary_Tables'!$C$16,"Low",IF(D474&lt;'3_Summary_Tables'!$C$17,"Medium","High"))</f>
        <v>Low</v>
      </c>
      <c r="F474" s="12">
        <f>INDEX('2_Clean_Data'!$C$2:$C$1360,MATCH($A474,'2_Clean_Data'!$A$2:$A$1360,0))</f>
        <v>0.59</v>
      </c>
      <c r="G474" s="10">
        <f>INDEX('2_Clean_Data'!$H$2:$H$1360,MATCH($A474,'2_Clean_Data'!$A$2:$A$1360,0))</f>
        <v>47</v>
      </c>
      <c r="H474" s="9" t="str">
        <f t="shared" si="29"/>
        <v>Low</v>
      </c>
      <c r="I474" s="9" t="str">
        <f t="shared" si="30"/>
        <v>OK</v>
      </c>
      <c r="J474" s="9" t="str">
        <f t="shared" si="31"/>
        <v>Standard</v>
      </c>
    </row>
    <row r="475" spans="1:10" x14ac:dyDescent="0.3">
      <c r="A475" s="10">
        <f>'2_Clean_Data'!A472</f>
        <v>471</v>
      </c>
      <c r="B475" s="10">
        <f>INDEX('2_Clean_Data'!$M$2:$M$1360,MATCH($A475,'2_Clean_Data'!$A$2:$A$1360,0))</f>
        <v>6</v>
      </c>
      <c r="C475" s="9" t="str">
        <f t="shared" si="28"/>
        <v>Above Average</v>
      </c>
      <c r="D475" s="11">
        <f>INDEX('2_Clean_Data'!$L$2:$L$1360,MATCH($A475,'2_Clean_Data'!$A$2:$A$1360,0))</f>
        <v>11</v>
      </c>
      <c r="E475" s="9" t="str">
        <f>IF(D475&lt;'3_Summary_Tables'!$C$16,"Low",IF(D475&lt;'3_Summary_Tables'!$C$17,"Medium","High"))</f>
        <v>Medium</v>
      </c>
      <c r="F475" s="12">
        <f>INDEX('2_Clean_Data'!$C$2:$C$1360,MATCH($A475,'2_Clean_Data'!$A$2:$A$1360,0))</f>
        <v>0.46</v>
      </c>
      <c r="G475" s="10">
        <f>INDEX('2_Clean_Data'!$H$2:$H$1360,MATCH($A475,'2_Clean_Data'!$A$2:$A$1360,0))</f>
        <v>17</v>
      </c>
      <c r="H475" s="9" t="str">
        <f t="shared" si="29"/>
        <v>Low</v>
      </c>
      <c r="I475" s="9" t="str">
        <f t="shared" si="30"/>
        <v>OK</v>
      </c>
      <c r="J475" s="9" t="str">
        <f t="shared" si="31"/>
        <v>Solid</v>
      </c>
    </row>
    <row r="476" spans="1:10" x14ac:dyDescent="0.3">
      <c r="A476" s="10">
        <f>'2_Clean_Data'!A473</f>
        <v>472</v>
      </c>
      <c r="B476" s="10">
        <f>INDEX('2_Clean_Data'!$M$2:$M$1360,MATCH($A476,'2_Clean_Data'!$A$2:$A$1360,0))</f>
        <v>5</v>
      </c>
      <c r="C476" s="9" t="str">
        <f t="shared" si="28"/>
        <v>Average</v>
      </c>
      <c r="D476" s="11">
        <f>INDEX('2_Clean_Data'!$L$2:$L$1360,MATCH($A476,'2_Clean_Data'!$A$2:$A$1360,0))</f>
        <v>9.9</v>
      </c>
      <c r="E476" s="9" t="str">
        <f>IF(D476&lt;'3_Summary_Tables'!$C$16,"Low",IF(D476&lt;'3_Summary_Tables'!$C$17,"Medium","High"))</f>
        <v>Low</v>
      </c>
      <c r="F476" s="12">
        <f>INDEX('2_Clean_Data'!$C$2:$C$1360,MATCH($A476,'2_Clean_Data'!$A$2:$A$1360,0))</f>
        <v>0.71499999999999997</v>
      </c>
      <c r="G476" s="10">
        <f>INDEX('2_Clean_Data'!$H$2:$H$1360,MATCH($A476,'2_Clean_Data'!$A$2:$A$1360,0))</f>
        <v>20</v>
      </c>
      <c r="H476" s="9" t="str">
        <f t="shared" si="29"/>
        <v>Low</v>
      </c>
      <c r="I476" s="9" t="str">
        <f t="shared" si="30"/>
        <v>Above limit</v>
      </c>
      <c r="J476" s="9" t="str">
        <f t="shared" si="31"/>
        <v>Standard</v>
      </c>
    </row>
    <row r="477" spans="1:10" x14ac:dyDescent="0.3">
      <c r="A477" s="10">
        <f>'2_Clean_Data'!A474</f>
        <v>473</v>
      </c>
      <c r="B477" s="10">
        <f>INDEX('2_Clean_Data'!$M$2:$M$1360,MATCH($A477,'2_Clean_Data'!$A$2:$A$1360,0))</f>
        <v>6</v>
      </c>
      <c r="C477" s="9" t="str">
        <f t="shared" si="28"/>
        <v>Above Average</v>
      </c>
      <c r="D477" s="11">
        <f>INDEX('2_Clean_Data'!$L$2:$L$1360,MATCH($A477,'2_Clean_Data'!$A$2:$A$1360,0))</f>
        <v>11</v>
      </c>
      <c r="E477" s="9" t="str">
        <f>IF(D477&lt;'3_Summary_Tables'!$C$16,"Low",IF(D477&lt;'3_Summary_Tables'!$C$17,"Medium","High"))</f>
        <v>Medium</v>
      </c>
      <c r="F477" s="12">
        <f>INDEX('2_Clean_Data'!$C$2:$C$1360,MATCH($A477,'2_Clean_Data'!$A$2:$A$1360,0))</f>
        <v>0.66</v>
      </c>
      <c r="G477" s="10">
        <f>INDEX('2_Clean_Data'!$H$2:$H$1360,MATCH($A477,'2_Clean_Data'!$A$2:$A$1360,0))</f>
        <v>53</v>
      </c>
      <c r="H477" s="9" t="str">
        <f t="shared" si="29"/>
        <v>Moderate</v>
      </c>
      <c r="I477" s="9" t="str">
        <f t="shared" si="30"/>
        <v>OK</v>
      </c>
      <c r="J477" s="9" t="str">
        <f t="shared" si="31"/>
        <v>Solid</v>
      </c>
    </row>
    <row r="478" spans="1:10" x14ac:dyDescent="0.3">
      <c r="A478" s="10">
        <f>'2_Clean_Data'!A475</f>
        <v>474</v>
      </c>
      <c r="B478" s="10">
        <f>INDEX('2_Clean_Data'!$M$2:$M$1360,MATCH($A478,'2_Clean_Data'!$A$2:$A$1360,0))</f>
        <v>6</v>
      </c>
      <c r="C478" s="9" t="str">
        <f t="shared" si="28"/>
        <v>Above Average</v>
      </c>
      <c r="D478" s="11">
        <f>INDEX('2_Clean_Data'!$L$2:$L$1360,MATCH($A478,'2_Clean_Data'!$A$2:$A$1360,0))</f>
        <v>8.4</v>
      </c>
      <c r="E478" s="9" t="str">
        <f>IF(D478&lt;'3_Summary_Tables'!$C$16,"Low",IF(D478&lt;'3_Summary_Tables'!$C$17,"Medium","High"))</f>
        <v>Low</v>
      </c>
      <c r="F478" s="12">
        <f>INDEX('2_Clean_Data'!$C$2:$C$1360,MATCH($A478,'2_Clean_Data'!$A$2:$A$1360,0))</f>
        <v>0.31</v>
      </c>
      <c r="G478" s="10">
        <f>INDEX('2_Clean_Data'!$H$2:$H$1360,MATCH($A478,'2_Clean_Data'!$A$2:$A$1360,0))</f>
        <v>15</v>
      </c>
      <c r="H478" s="9" t="str">
        <f t="shared" si="29"/>
        <v>Low</v>
      </c>
      <c r="I478" s="9" t="str">
        <f t="shared" si="30"/>
        <v>OK</v>
      </c>
      <c r="J478" s="9" t="str">
        <f t="shared" si="31"/>
        <v>Solid</v>
      </c>
    </row>
    <row r="479" spans="1:10" x14ac:dyDescent="0.3">
      <c r="A479" s="10">
        <f>'2_Clean_Data'!A476</f>
        <v>475</v>
      </c>
      <c r="B479" s="10">
        <f>INDEX('2_Clean_Data'!$M$2:$M$1360,MATCH($A479,'2_Clean_Data'!$A$2:$A$1360,0))</f>
        <v>5</v>
      </c>
      <c r="C479" s="9" t="str">
        <f t="shared" si="28"/>
        <v>Average</v>
      </c>
      <c r="D479" s="11">
        <f>INDEX('2_Clean_Data'!$L$2:$L$1360,MATCH($A479,'2_Clean_Data'!$A$2:$A$1360,0))</f>
        <v>9.1</v>
      </c>
      <c r="E479" s="9" t="str">
        <f>IF(D479&lt;'3_Summary_Tables'!$C$16,"Low",IF(D479&lt;'3_Summary_Tables'!$C$17,"Medium","High"))</f>
        <v>Low</v>
      </c>
      <c r="F479" s="12">
        <f>INDEX('2_Clean_Data'!$C$2:$C$1360,MATCH($A479,'2_Clean_Data'!$A$2:$A$1360,0))</f>
        <v>0.47</v>
      </c>
      <c r="G479" s="10">
        <f>INDEX('2_Clean_Data'!$H$2:$H$1360,MATCH($A479,'2_Clean_Data'!$A$2:$A$1360,0))</f>
        <v>106</v>
      </c>
      <c r="H479" s="9" t="str">
        <f t="shared" si="29"/>
        <v>High</v>
      </c>
      <c r="I479" s="9" t="str">
        <f t="shared" si="30"/>
        <v>OK</v>
      </c>
      <c r="J479" s="9" t="str">
        <f t="shared" si="31"/>
        <v>Standard</v>
      </c>
    </row>
    <row r="480" spans="1:10" x14ac:dyDescent="0.3">
      <c r="A480" s="10">
        <f>'2_Clean_Data'!A477</f>
        <v>476</v>
      </c>
      <c r="B480" s="10">
        <f>INDEX('2_Clean_Data'!$M$2:$M$1360,MATCH($A480,'2_Clean_Data'!$A$2:$A$1360,0))</f>
        <v>6</v>
      </c>
      <c r="C480" s="9" t="str">
        <f t="shared" si="28"/>
        <v>Above Average</v>
      </c>
      <c r="D480" s="11">
        <f>INDEX('2_Clean_Data'!$L$2:$L$1360,MATCH($A480,'2_Clean_Data'!$A$2:$A$1360,0))</f>
        <v>9.5</v>
      </c>
      <c r="E480" s="9" t="str">
        <f>IF(D480&lt;'3_Summary_Tables'!$C$16,"Low",IF(D480&lt;'3_Summary_Tables'!$C$17,"Medium","High"))</f>
        <v>Low</v>
      </c>
      <c r="F480" s="12">
        <f>INDEX('2_Clean_Data'!$C$2:$C$1360,MATCH($A480,'2_Clean_Data'!$A$2:$A$1360,0))</f>
        <v>0.55000000000000004</v>
      </c>
      <c r="G480" s="10">
        <f>INDEX('2_Clean_Data'!$H$2:$H$1360,MATCH($A480,'2_Clean_Data'!$A$2:$A$1360,0))</f>
        <v>28</v>
      </c>
      <c r="H480" s="9" t="str">
        <f t="shared" si="29"/>
        <v>Low</v>
      </c>
      <c r="I480" s="9" t="str">
        <f t="shared" si="30"/>
        <v>OK</v>
      </c>
      <c r="J480" s="9" t="str">
        <f t="shared" si="31"/>
        <v>Solid</v>
      </c>
    </row>
    <row r="481" spans="1:10" x14ac:dyDescent="0.3">
      <c r="A481" s="10">
        <f>'2_Clean_Data'!A478</f>
        <v>477</v>
      </c>
      <c r="B481" s="10">
        <f>INDEX('2_Clean_Data'!$M$2:$M$1360,MATCH($A481,'2_Clean_Data'!$A$2:$A$1360,0))</f>
        <v>6</v>
      </c>
      <c r="C481" s="9" t="str">
        <f t="shared" si="28"/>
        <v>Above Average</v>
      </c>
      <c r="D481" s="11">
        <f>INDEX('2_Clean_Data'!$L$2:$L$1360,MATCH($A481,'2_Clean_Data'!$A$2:$A$1360,0))</f>
        <v>10.7</v>
      </c>
      <c r="E481" s="9" t="str">
        <f>IF(D481&lt;'3_Summary_Tables'!$C$16,"Low",IF(D481&lt;'3_Summary_Tables'!$C$17,"Medium","High"))</f>
        <v>Medium</v>
      </c>
      <c r="F481" s="12">
        <f>INDEX('2_Clean_Data'!$C$2:$C$1360,MATCH($A481,'2_Clean_Data'!$A$2:$A$1360,0))</f>
        <v>0.31</v>
      </c>
      <c r="G481" s="10">
        <f>INDEX('2_Clean_Data'!$H$2:$H$1360,MATCH($A481,'2_Clean_Data'!$A$2:$A$1360,0))</f>
        <v>21</v>
      </c>
      <c r="H481" s="9" t="str">
        <f t="shared" si="29"/>
        <v>Low</v>
      </c>
      <c r="I481" s="9" t="str">
        <f t="shared" si="30"/>
        <v>OK</v>
      </c>
      <c r="J481" s="9" t="str">
        <f t="shared" si="31"/>
        <v>Solid</v>
      </c>
    </row>
    <row r="482" spans="1:10" x14ac:dyDescent="0.3">
      <c r="A482" s="10">
        <f>'2_Clean_Data'!A479</f>
        <v>478</v>
      </c>
      <c r="B482" s="10">
        <f>INDEX('2_Clean_Data'!$M$2:$M$1360,MATCH($A482,'2_Clean_Data'!$A$2:$A$1360,0))</f>
        <v>6</v>
      </c>
      <c r="C482" s="9" t="str">
        <f t="shared" si="28"/>
        <v>Above Average</v>
      </c>
      <c r="D482" s="11">
        <f>INDEX('2_Clean_Data'!$L$2:$L$1360,MATCH($A482,'2_Clean_Data'!$A$2:$A$1360,0))</f>
        <v>10.4</v>
      </c>
      <c r="E482" s="9" t="str">
        <f>IF(D482&lt;'3_Summary_Tables'!$C$16,"Low",IF(D482&lt;'3_Summary_Tables'!$C$17,"Medium","High"))</f>
        <v>Medium</v>
      </c>
      <c r="F482" s="12">
        <f>INDEX('2_Clean_Data'!$C$2:$C$1360,MATCH($A482,'2_Clean_Data'!$A$2:$A$1360,0))</f>
        <v>0.35</v>
      </c>
      <c r="G482" s="10">
        <f>INDEX('2_Clean_Data'!$H$2:$H$1360,MATCH($A482,'2_Clean_Data'!$A$2:$A$1360,0))</f>
        <v>69</v>
      </c>
      <c r="H482" s="9" t="str">
        <f t="shared" si="29"/>
        <v>Moderate</v>
      </c>
      <c r="I482" s="9" t="str">
        <f t="shared" si="30"/>
        <v>OK</v>
      </c>
      <c r="J482" s="9" t="str">
        <f t="shared" si="31"/>
        <v>Solid</v>
      </c>
    </row>
    <row r="483" spans="1:10" x14ac:dyDescent="0.3">
      <c r="A483" s="10">
        <f>'2_Clean_Data'!A480</f>
        <v>479</v>
      </c>
      <c r="B483" s="10">
        <f>INDEX('2_Clean_Data'!$M$2:$M$1360,MATCH($A483,'2_Clean_Data'!$A$2:$A$1360,0))</f>
        <v>6</v>
      </c>
      <c r="C483" s="9" t="str">
        <f t="shared" si="28"/>
        <v>Above Average</v>
      </c>
      <c r="D483" s="11">
        <f>INDEX('2_Clean_Data'!$L$2:$L$1360,MATCH($A483,'2_Clean_Data'!$A$2:$A$1360,0))</f>
        <v>9.4</v>
      </c>
      <c r="E483" s="9" t="str">
        <f>IF(D483&lt;'3_Summary_Tables'!$C$16,"Low",IF(D483&lt;'3_Summary_Tables'!$C$17,"Medium","High"))</f>
        <v>Low</v>
      </c>
      <c r="F483" s="12">
        <f>INDEX('2_Clean_Data'!$C$2:$C$1360,MATCH($A483,'2_Clean_Data'!$A$2:$A$1360,0))</f>
        <v>0.53</v>
      </c>
      <c r="G483" s="10">
        <f>INDEX('2_Clean_Data'!$H$2:$H$1360,MATCH($A483,'2_Clean_Data'!$A$2:$A$1360,0))</f>
        <v>25</v>
      </c>
      <c r="H483" s="9" t="str">
        <f t="shared" si="29"/>
        <v>Low</v>
      </c>
      <c r="I483" s="9" t="str">
        <f t="shared" si="30"/>
        <v>OK</v>
      </c>
      <c r="J483" s="9" t="str">
        <f t="shared" si="31"/>
        <v>Solid</v>
      </c>
    </row>
    <row r="484" spans="1:10" x14ac:dyDescent="0.3">
      <c r="A484" s="10">
        <f>'2_Clean_Data'!A481</f>
        <v>480</v>
      </c>
      <c r="B484" s="10">
        <f>INDEX('2_Clean_Data'!$M$2:$M$1360,MATCH($A484,'2_Clean_Data'!$A$2:$A$1360,0))</f>
        <v>6</v>
      </c>
      <c r="C484" s="9" t="str">
        <f t="shared" si="28"/>
        <v>Above Average</v>
      </c>
      <c r="D484" s="11">
        <f>INDEX('2_Clean_Data'!$L$2:$L$1360,MATCH($A484,'2_Clean_Data'!$A$2:$A$1360,0))</f>
        <v>9.5</v>
      </c>
      <c r="E484" s="9" t="str">
        <f>IF(D484&lt;'3_Summary_Tables'!$C$16,"Low",IF(D484&lt;'3_Summary_Tables'!$C$17,"Medium","High"))</f>
        <v>Low</v>
      </c>
      <c r="F484" s="12">
        <f>INDEX('2_Clean_Data'!$C$2:$C$1360,MATCH($A484,'2_Clean_Data'!$A$2:$A$1360,0))</f>
        <v>0.51</v>
      </c>
      <c r="G484" s="10">
        <f>INDEX('2_Clean_Data'!$H$2:$H$1360,MATCH($A484,'2_Clean_Data'!$A$2:$A$1360,0))</f>
        <v>25</v>
      </c>
      <c r="H484" s="9" t="str">
        <f t="shared" si="29"/>
        <v>Low</v>
      </c>
      <c r="I484" s="9" t="str">
        <f t="shared" si="30"/>
        <v>OK</v>
      </c>
      <c r="J484" s="9" t="str">
        <f t="shared" si="31"/>
        <v>Solid</v>
      </c>
    </row>
    <row r="485" spans="1:10" x14ac:dyDescent="0.3">
      <c r="A485" s="10">
        <f>'2_Clean_Data'!A482</f>
        <v>481</v>
      </c>
      <c r="B485" s="10">
        <f>INDEX('2_Clean_Data'!$M$2:$M$1360,MATCH($A485,'2_Clean_Data'!$A$2:$A$1360,0))</f>
        <v>6</v>
      </c>
      <c r="C485" s="9" t="str">
        <f t="shared" si="28"/>
        <v>Above Average</v>
      </c>
      <c r="D485" s="11">
        <f>INDEX('2_Clean_Data'!$L$2:$L$1360,MATCH($A485,'2_Clean_Data'!$A$2:$A$1360,0))</f>
        <v>10</v>
      </c>
      <c r="E485" s="9" t="str">
        <f>IF(D485&lt;'3_Summary_Tables'!$C$16,"Low",IF(D485&lt;'3_Summary_Tables'!$C$17,"Medium","High"))</f>
        <v>Medium</v>
      </c>
      <c r="F485" s="12">
        <f>INDEX('2_Clean_Data'!$C$2:$C$1360,MATCH($A485,'2_Clean_Data'!$A$2:$A$1360,0))</f>
        <v>0.43</v>
      </c>
      <c r="G485" s="10">
        <f>INDEX('2_Clean_Data'!$H$2:$H$1360,MATCH($A485,'2_Clean_Data'!$A$2:$A$1360,0))</f>
        <v>45</v>
      </c>
      <c r="H485" s="9" t="str">
        <f t="shared" si="29"/>
        <v>Low</v>
      </c>
      <c r="I485" s="9" t="str">
        <f t="shared" si="30"/>
        <v>OK</v>
      </c>
      <c r="J485" s="9" t="str">
        <f t="shared" si="31"/>
        <v>Solid</v>
      </c>
    </row>
    <row r="486" spans="1:10" x14ac:dyDescent="0.3">
      <c r="A486" s="10">
        <f>'2_Clean_Data'!A483</f>
        <v>482</v>
      </c>
      <c r="B486" s="10">
        <f>INDEX('2_Clean_Data'!$M$2:$M$1360,MATCH($A486,'2_Clean_Data'!$A$2:$A$1360,0))</f>
        <v>6</v>
      </c>
      <c r="C486" s="9" t="str">
        <f t="shared" si="28"/>
        <v>Above Average</v>
      </c>
      <c r="D486" s="11">
        <f>INDEX('2_Clean_Data'!$L$2:$L$1360,MATCH($A486,'2_Clean_Data'!$A$2:$A$1360,0))</f>
        <v>10</v>
      </c>
      <c r="E486" s="9" t="str">
        <f>IF(D486&lt;'3_Summary_Tables'!$C$16,"Low",IF(D486&lt;'3_Summary_Tables'!$C$17,"Medium","High"))</f>
        <v>Medium</v>
      </c>
      <c r="F486" s="12">
        <f>INDEX('2_Clean_Data'!$C$2:$C$1360,MATCH($A486,'2_Clean_Data'!$A$2:$A$1360,0))</f>
        <v>0.46</v>
      </c>
      <c r="G486" s="10">
        <f>INDEX('2_Clean_Data'!$H$2:$H$1360,MATCH($A486,'2_Clean_Data'!$A$2:$A$1360,0))</f>
        <v>44</v>
      </c>
      <c r="H486" s="9" t="str">
        <f t="shared" si="29"/>
        <v>Low</v>
      </c>
      <c r="I486" s="9" t="str">
        <f t="shared" si="30"/>
        <v>OK</v>
      </c>
      <c r="J486" s="9" t="str">
        <f t="shared" si="31"/>
        <v>Solid</v>
      </c>
    </row>
    <row r="487" spans="1:10" x14ac:dyDescent="0.3">
      <c r="A487" s="10">
        <f>'2_Clean_Data'!A484</f>
        <v>483</v>
      </c>
      <c r="B487" s="10">
        <f>INDEX('2_Clean_Data'!$M$2:$M$1360,MATCH($A487,'2_Clean_Data'!$A$2:$A$1360,0))</f>
        <v>5</v>
      </c>
      <c r="C487" s="9" t="str">
        <f t="shared" si="28"/>
        <v>Average</v>
      </c>
      <c r="D487" s="11">
        <f>INDEX('2_Clean_Data'!$L$2:$L$1360,MATCH($A487,'2_Clean_Data'!$A$2:$A$1360,0))</f>
        <v>11.5</v>
      </c>
      <c r="E487" s="9" t="str">
        <f>IF(D487&lt;'3_Summary_Tables'!$C$16,"Low",IF(D487&lt;'3_Summary_Tables'!$C$17,"Medium","High"))</f>
        <v>High</v>
      </c>
      <c r="F487" s="12">
        <f>INDEX('2_Clean_Data'!$C$2:$C$1360,MATCH($A487,'2_Clean_Data'!$A$2:$A$1360,0))</f>
        <v>1.04</v>
      </c>
      <c r="G487" s="10">
        <f>INDEX('2_Clean_Data'!$H$2:$H$1360,MATCH($A487,'2_Clean_Data'!$A$2:$A$1360,0))</f>
        <v>96</v>
      </c>
      <c r="H487" s="9" t="str">
        <f t="shared" si="29"/>
        <v>Moderate</v>
      </c>
      <c r="I487" s="9" t="str">
        <f t="shared" si="30"/>
        <v>Above limit</v>
      </c>
      <c r="J487" s="9" t="str">
        <f t="shared" si="31"/>
        <v>Standard</v>
      </c>
    </row>
    <row r="488" spans="1:10" x14ac:dyDescent="0.3">
      <c r="A488" s="10">
        <f>'2_Clean_Data'!A485</f>
        <v>484</v>
      </c>
      <c r="B488" s="10">
        <f>INDEX('2_Clean_Data'!$M$2:$M$1360,MATCH($A488,'2_Clean_Data'!$A$2:$A$1360,0))</f>
        <v>5</v>
      </c>
      <c r="C488" s="9" t="str">
        <f t="shared" si="28"/>
        <v>Average</v>
      </c>
      <c r="D488" s="11">
        <f>INDEX('2_Clean_Data'!$L$2:$L$1360,MATCH($A488,'2_Clean_Data'!$A$2:$A$1360,0))</f>
        <v>11.1</v>
      </c>
      <c r="E488" s="9" t="str">
        <f>IF(D488&lt;'3_Summary_Tables'!$C$16,"Low",IF(D488&lt;'3_Summary_Tables'!$C$17,"Medium","High"))</f>
        <v>Medium</v>
      </c>
      <c r="F488" s="12">
        <f>INDEX('2_Clean_Data'!$C$2:$C$1360,MATCH($A488,'2_Clean_Data'!$A$2:$A$1360,0))</f>
        <v>0.64500000000000002</v>
      </c>
      <c r="G488" s="10">
        <f>INDEX('2_Clean_Data'!$H$2:$H$1360,MATCH($A488,'2_Clean_Data'!$A$2:$A$1360,0))</f>
        <v>23</v>
      </c>
      <c r="H488" s="9" t="str">
        <f t="shared" si="29"/>
        <v>Low</v>
      </c>
      <c r="I488" s="9" t="str">
        <f t="shared" si="30"/>
        <v>OK</v>
      </c>
      <c r="J488" s="9" t="str">
        <f t="shared" si="31"/>
        <v>Standard</v>
      </c>
    </row>
    <row r="489" spans="1:10" x14ac:dyDescent="0.3">
      <c r="A489" s="10">
        <f>'2_Clean_Data'!A486</f>
        <v>485</v>
      </c>
      <c r="B489" s="10">
        <f>INDEX('2_Clean_Data'!$M$2:$M$1360,MATCH($A489,'2_Clean_Data'!$A$2:$A$1360,0))</f>
        <v>6</v>
      </c>
      <c r="C489" s="9" t="str">
        <f t="shared" si="28"/>
        <v>Above Average</v>
      </c>
      <c r="D489" s="11">
        <f>INDEX('2_Clean_Data'!$L$2:$L$1360,MATCH($A489,'2_Clean_Data'!$A$2:$A$1360,0))</f>
        <v>11.7</v>
      </c>
      <c r="E489" s="9" t="str">
        <f>IF(D489&lt;'3_Summary_Tables'!$C$16,"Low",IF(D489&lt;'3_Summary_Tables'!$C$17,"Medium","High"))</f>
        <v>High</v>
      </c>
      <c r="F489" s="12">
        <f>INDEX('2_Clean_Data'!$C$2:$C$1360,MATCH($A489,'2_Clean_Data'!$A$2:$A$1360,0))</f>
        <v>0.53</v>
      </c>
      <c r="G489" s="10">
        <f>INDEX('2_Clean_Data'!$H$2:$H$1360,MATCH($A489,'2_Clean_Data'!$A$2:$A$1360,0))</f>
        <v>17</v>
      </c>
      <c r="H489" s="9" t="str">
        <f t="shared" si="29"/>
        <v>Low</v>
      </c>
      <c r="I489" s="9" t="str">
        <f t="shared" si="30"/>
        <v>OK</v>
      </c>
      <c r="J489" s="9" t="str">
        <f t="shared" si="31"/>
        <v>Solid</v>
      </c>
    </row>
    <row r="490" spans="1:10" x14ac:dyDescent="0.3">
      <c r="A490" s="10">
        <f>'2_Clean_Data'!A487</f>
        <v>486</v>
      </c>
      <c r="B490" s="10">
        <f>INDEX('2_Clean_Data'!$M$2:$M$1360,MATCH($A490,'2_Clean_Data'!$A$2:$A$1360,0))</f>
        <v>5</v>
      </c>
      <c r="C490" s="9" t="str">
        <f t="shared" si="28"/>
        <v>Average</v>
      </c>
      <c r="D490" s="11">
        <f>INDEX('2_Clean_Data'!$L$2:$L$1360,MATCH($A490,'2_Clean_Data'!$A$2:$A$1360,0))</f>
        <v>11.1</v>
      </c>
      <c r="E490" s="9" t="str">
        <f>IF(D490&lt;'3_Summary_Tables'!$C$16,"Low",IF(D490&lt;'3_Summary_Tables'!$C$17,"Medium","High"))</f>
        <v>Medium</v>
      </c>
      <c r="F490" s="12">
        <f>INDEX('2_Clean_Data'!$C$2:$C$1360,MATCH($A490,'2_Clean_Data'!$A$2:$A$1360,0))</f>
        <v>0.64500000000000002</v>
      </c>
      <c r="G490" s="10">
        <f>INDEX('2_Clean_Data'!$H$2:$H$1360,MATCH($A490,'2_Clean_Data'!$A$2:$A$1360,0))</f>
        <v>23</v>
      </c>
      <c r="H490" s="9" t="str">
        <f t="shared" si="29"/>
        <v>Low</v>
      </c>
      <c r="I490" s="9" t="str">
        <f t="shared" si="30"/>
        <v>OK</v>
      </c>
      <c r="J490" s="9" t="str">
        <f t="shared" si="31"/>
        <v>Standard</v>
      </c>
    </row>
    <row r="491" spans="1:10" x14ac:dyDescent="0.3">
      <c r="A491" s="10">
        <f>'2_Clean_Data'!A488</f>
        <v>487</v>
      </c>
      <c r="B491" s="10">
        <f>INDEX('2_Clean_Data'!$M$2:$M$1360,MATCH($A491,'2_Clean_Data'!$A$2:$A$1360,0))</f>
        <v>6</v>
      </c>
      <c r="C491" s="9" t="str">
        <f t="shared" si="28"/>
        <v>Above Average</v>
      </c>
      <c r="D491" s="11">
        <f>INDEX('2_Clean_Data'!$L$2:$L$1360,MATCH($A491,'2_Clean_Data'!$A$2:$A$1360,0))</f>
        <v>12.7</v>
      </c>
      <c r="E491" s="9" t="str">
        <f>IF(D491&lt;'3_Summary_Tables'!$C$16,"Low",IF(D491&lt;'3_Summary_Tables'!$C$17,"Medium","High"))</f>
        <v>High</v>
      </c>
      <c r="F491" s="12">
        <f>INDEX('2_Clean_Data'!$C$2:$C$1360,MATCH($A491,'2_Clean_Data'!$A$2:$A$1360,0))</f>
        <v>0.47</v>
      </c>
      <c r="G491" s="10">
        <f>INDEX('2_Clean_Data'!$H$2:$H$1360,MATCH($A491,'2_Clean_Data'!$A$2:$A$1360,0))</f>
        <v>47</v>
      </c>
      <c r="H491" s="9" t="str">
        <f t="shared" si="29"/>
        <v>Low</v>
      </c>
      <c r="I491" s="9" t="str">
        <f t="shared" si="30"/>
        <v>OK</v>
      </c>
      <c r="J491" s="9" t="str">
        <f t="shared" si="31"/>
        <v>Solid</v>
      </c>
    </row>
    <row r="492" spans="1:10" x14ac:dyDescent="0.3">
      <c r="A492" s="10">
        <f>'2_Clean_Data'!A489</f>
        <v>488</v>
      </c>
      <c r="B492" s="10">
        <f>INDEX('2_Clean_Data'!$M$2:$M$1360,MATCH($A492,'2_Clean_Data'!$A$2:$A$1360,0))</f>
        <v>5</v>
      </c>
      <c r="C492" s="9" t="str">
        <f t="shared" si="28"/>
        <v>Average</v>
      </c>
      <c r="D492" s="11">
        <f>INDEX('2_Clean_Data'!$L$2:$L$1360,MATCH($A492,'2_Clean_Data'!$A$2:$A$1360,0))</f>
        <v>11.4</v>
      </c>
      <c r="E492" s="9" t="str">
        <f>IF(D492&lt;'3_Summary_Tables'!$C$16,"Low",IF(D492&lt;'3_Summary_Tables'!$C$17,"Medium","High"))</f>
        <v>Medium</v>
      </c>
      <c r="F492" s="12">
        <f>INDEX('2_Clean_Data'!$C$2:$C$1360,MATCH($A492,'2_Clean_Data'!$A$2:$A$1360,0))</f>
        <v>0.6</v>
      </c>
      <c r="G492" s="10">
        <f>INDEX('2_Clean_Data'!$H$2:$H$1360,MATCH($A492,'2_Clean_Data'!$A$2:$A$1360,0))</f>
        <v>19</v>
      </c>
      <c r="H492" s="9" t="str">
        <f t="shared" si="29"/>
        <v>Low</v>
      </c>
      <c r="I492" s="9" t="str">
        <f t="shared" si="30"/>
        <v>OK</v>
      </c>
      <c r="J492" s="9" t="str">
        <f t="shared" si="31"/>
        <v>Standard</v>
      </c>
    </row>
    <row r="493" spans="1:10" x14ac:dyDescent="0.3">
      <c r="A493" s="10">
        <f>'2_Clean_Data'!A490</f>
        <v>489</v>
      </c>
      <c r="B493" s="10">
        <f>INDEX('2_Clean_Data'!$M$2:$M$1360,MATCH($A493,'2_Clean_Data'!$A$2:$A$1360,0))</f>
        <v>5</v>
      </c>
      <c r="C493" s="9" t="str">
        <f t="shared" si="28"/>
        <v>Average</v>
      </c>
      <c r="D493" s="11">
        <f>INDEX('2_Clean_Data'!$L$2:$L$1360,MATCH($A493,'2_Clean_Data'!$A$2:$A$1360,0))</f>
        <v>9.1999999999999993</v>
      </c>
      <c r="E493" s="9" t="str">
        <f>IF(D493&lt;'3_Summary_Tables'!$C$16,"Low",IF(D493&lt;'3_Summary_Tables'!$C$17,"Medium","High"))</f>
        <v>Low</v>
      </c>
      <c r="F493" s="12">
        <f>INDEX('2_Clean_Data'!$C$2:$C$1360,MATCH($A493,'2_Clean_Data'!$A$2:$A$1360,0))</f>
        <v>0.44</v>
      </c>
      <c r="G493" s="10">
        <f>INDEX('2_Clean_Data'!$H$2:$H$1360,MATCH($A493,'2_Clean_Data'!$A$2:$A$1360,0))</f>
        <v>121</v>
      </c>
      <c r="H493" s="9" t="str">
        <f t="shared" si="29"/>
        <v>High</v>
      </c>
      <c r="I493" s="9" t="str">
        <f t="shared" si="30"/>
        <v>OK</v>
      </c>
      <c r="J493" s="9" t="str">
        <f t="shared" si="31"/>
        <v>Standard</v>
      </c>
    </row>
    <row r="494" spans="1:10" x14ac:dyDescent="0.3">
      <c r="A494" s="10">
        <f>'2_Clean_Data'!A491</f>
        <v>490</v>
      </c>
      <c r="B494" s="10">
        <f>INDEX('2_Clean_Data'!$M$2:$M$1360,MATCH($A494,'2_Clean_Data'!$A$2:$A$1360,0))</f>
        <v>5</v>
      </c>
      <c r="C494" s="9" t="str">
        <f t="shared" si="28"/>
        <v>Average</v>
      </c>
      <c r="D494" s="11">
        <f>INDEX('2_Clean_Data'!$L$2:$L$1360,MATCH($A494,'2_Clean_Data'!$A$2:$A$1360,0))</f>
        <v>9.1999999999999993</v>
      </c>
      <c r="E494" s="9" t="str">
        <f>IF(D494&lt;'3_Summary_Tables'!$C$16,"Low",IF(D494&lt;'3_Summary_Tables'!$C$17,"Medium","High"))</f>
        <v>Low</v>
      </c>
      <c r="F494" s="12">
        <f>INDEX('2_Clean_Data'!$C$2:$C$1360,MATCH($A494,'2_Clean_Data'!$A$2:$A$1360,0))</f>
        <v>0.54</v>
      </c>
      <c r="G494" s="10">
        <f>INDEX('2_Clean_Data'!$H$2:$H$1360,MATCH($A494,'2_Clean_Data'!$A$2:$A$1360,0))</f>
        <v>110</v>
      </c>
      <c r="H494" s="9" t="str">
        <f t="shared" si="29"/>
        <v>High</v>
      </c>
      <c r="I494" s="9" t="str">
        <f t="shared" si="30"/>
        <v>OK</v>
      </c>
      <c r="J494" s="9" t="str">
        <f t="shared" si="31"/>
        <v>Standard</v>
      </c>
    </row>
    <row r="495" spans="1:10" x14ac:dyDescent="0.3">
      <c r="A495" s="10">
        <f>'2_Clean_Data'!A492</f>
        <v>491</v>
      </c>
      <c r="B495" s="10">
        <f>INDEX('2_Clean_Data'!$M$2:$M$1360,MATCH($A495,'2_Clean_Data'!$A$2:$A$1360,0))</f>
        <v>6</v>
      </c>
      <c r="C495" s="9" t="str">
        <f t="shared" si="28"/>
        <v>Above Average</v>
      </c>
      <c r="D495" s="11">
        <f>INDEX('2_Clean_Data'!$L$2:$L$1360,MATCH($A495,'2_Clean_Data'!$A$2:$A$1360,0))</f>
        <v>10.1</v>
      </c>
      <c r="E495" s="9" t="str">
        <f>IF(D495&lt;'3_Summary_Tables'!$C$16,"Low",IF(D495&lt;'3_Summary_Tables'!$C$17,"Medium","High"))</f>
        <v>Medium</v>
      </c>
      <c r="F495" s="12">
        <f>INDEX('2_Clean_Data'!$C$2:$C$1360,MATCH($A495,'2_Clean_Data'!$A$2:$A$1360,0))</f>
        <v>0.28999999999999998</v>
      </c>
      <c r="G495" s="10">
        <f>INDEX('2_Clean_Data'!$H$2:$H$1360,MATCH($A495,'2_Clean_Data'!$A$2:$A$1360,0))</f>
        <v>60</v>
      </c>
      <c r="H495" s="9" t="str">
        <f t="shared" si="29"/>
        <v>Moderate</v>
      </c>
      <c r="I495" s="9" t="str">
        <f t="shared" si="30"/>
        <v>OK</v>
      </c>
      <c r="J495" s="9" t="str">
        <f t="shared" si="31"/>
        <v>Solid</v>
      </c>
    </row>
    <row r="496" spans="1:10" x14ac:dyDescent="0.3">
      <c r="A496" s="10">
        <f>'2_Clean_Data'!A493</f>
        <v>492</v>
      </c>
      <c r="B496" s="10">
        <f>INDEX('2_Clean_Data'!$M$2:$M$1360,MATCH($A496,'2_Clean_Data'!$A$2:$A$1360,0))</f>
        <v>6</v>
      </c>
      <c r="C496" s="9" t="str">
        <f t="shared" si="28"/>
        <v>Above Average</v>
      </c>
      <c r="D496" s="11">
        <f>INDEX('2_Clean_Data'!$L$2:$L$1360,MATCH($A496,'2_Clean_Data'!$A$2:$A$1360,0))</f>
        <v>9</v>
      </c>
      <c r="E496" s="9" t="str">
        <f>IF(D496&lt;'3_Summary_Tables'!$C$16,"Low",IF(D496&lt;'3_Summary_Tables'!$C$17,"Medium","High"))</f>
        <v>Low</v>
      </c>
      <c r="F496" s="12">
        <f>INDEX('2_Clean_Data'!$C$2:$C$1360,MATCH($A496,'2_Clean_Data'!$A$2:$A$1360,0))</f>
        <v>0.7</v>
      </c>
      <c r="G496" s="10">
        <f>INDEX('2_Clean_Data'!$H$2:$H$1360,MATCH($A496,'2_Clean_Data'!$A$2:$A$1360,0))</f>
        <v>15</v>
      </c>
      <c r="H496" s="9" t="str">
        <f t="shared" si="29"/>
        <v>Low</v>
      </c>
      <c r="I496" s="9" t="str">
        <f t="shared" si="30"/>
        <v>OK</v>
      </c>
      <c r="J496" s="9" t="str">
        <f t="shared" si="31"/>
        <v>Solid</v>
      </c>
    </row>
    <row r="497" spans="1:10" x14ac:dyDescent="0.3">
      <c r="A497" s="10">
        <f>'2_Clean_Data'!A494</f>
        <v>493</v>
      </c>
      <c r="B497" s="10">
        <f>INDEX('2_Clean_Data'!$M$2:$M$1360,MATCH($A497,'2_Clean_Data'!$A$2:$A$1360,0))</f>
        <v>6</v>
      </c>
      <c r="C497" s="9" t="str">
        <f t="shared" si="28"/>
        <v>Above Average</v>
      </c>
      <c r="D497" s="11">
        <f>INDEX('2_Clean_Data'!$L$2:$L$1360,MATCH($A497,'2_Clean_Data'!$A$2:$A$1360,0))</f>
        <v>10.7</v>
      </c>
      <c r="E497" s="9" t="str">
        <f>IF(D497&lt;'3_Summary_Tables'!$C$16,"Low",IF(D497&lt;'3_Summary_Tables'!$C$17,"Medium","High"))</f>
        <v>Medium</v>
      </c>
      <c r="F497" s="12">
        <f>INDEX('2_Clean_Data'!$C$2:$C$1360,MATCH($A497,'2_Clean_Data'!$A$2:$A$1360,0))</f>
        <v>0.5</v>
      </c>
      <c r="G497" s="10">
        <f>INDEX('2_Clean_Data'!$H$2:$H$1360,MATCH($A497,'2_Clean_Data'!$A$2:$A$1360,0))</f>
        <v>20</v>
      </c>
      <c r="H497" s="9" t="str">
        <f t="shared" si="29"/>
        <v>Low</v>
      </c>
      <c r="I497" s="9" t="str">
        <f t="shared" si="30"/>
        <v>OK</v>
      </c>
      <c r="J497" s="9" t="str">
        <f t="shared" si="31"/>
        <v>Solid</v>
      </c>
    </row>
    <row r="498" spans="1:10" x14ac:dyDescent="0.3">
      <c r="A498" s="10">
        <f>'2_Clean_Data'!A495</f>
        <v>494</v>
      </c>
      <c r="B498" s="10">
        <f>INDEX('2_Clean_Data'!$M$2:$M$1360,MATCH($A498,'2_Clean_Data'!$A$2:$A$1360,0))</f>
        <v>6</v>
      </c>
      <c r="C498" s="9" t="str">
        <f t="shared" si="28"/>
        <v>Above Average</v>
      </c>
      <c r="D498" s="11">
        <f>INDEX('2_Clean_Data'!$L$2:$L$1360,MATCH($A498,'2_Clean_Data'!$A$2:$A$1360,0))</f>
        <v>11.7</v>
      </c>
      <c r="E498" s="9" t="str">
        <f>IF(D498&lt;'3_Summary_Tables'!$C$16,"Low",IF(D498&lt;'3_Summary_Tables'!$C$17,"Medium","High"))</f>
        <v>High</v>
      </c>
      <c r="F498" s="12">
        <f>INDEX('2_Clean_Data'!$C$2:$C$1360,MATCH($A498,'2_Clean_Data'!$A$2:$A$1360,0))</f>
        <v>0.36</v>
      </c>
      <c r="G498" s="10">
        <f>INDEX('2_Clean_Data'!$H$2:$H$1360,MATCH($A498,'2_Clean_Data'!$A$2:$A$1360,0))</f>
        <v>42</v>
      </c>
      <c r="H498" s="9" t="str">
        <f t="shared" si="29"/>
        <v>Low</v>
      </c>
      <c r="I498" s="9" t="str">
        <f t="shared" si="30"/>
        <v>OK</v>
      </c>
      <c r="J498" s="9" t="str">
        <f t="shared" si="31"/>
        <v>Solid</v>
      </c>
    </row>
    <row r="499" spans="1:10" x14ac:dyDescent="0.3">
      <c r="A499" s="10">
        <f>'2_Clean_Data'!A496</f>
        <v>495</v>
      </c>
      <c r="B499" s="10">
        <f>INDEX('2_Clean_Data'!$M$2:$M$1360,MATCH($A499,'2_Clean_Data'!$A$2:$A$1360,0))</f>
        <v>6</v>
      </c>
      <c r="C499" s="9" t="str">
        <f t="shared" si="28"/>
        <v>Above Average</v>
      </c>
      <c r="D499" s="11">
        <f>INDEX('2_Clean_Data'!$L$2:$L$1360,MATCH($A499,'2_Clean_Data'!$A$2:$A$1360,0))</f>
        <v>11</v>
      </c>
      <c r="E499" s="9" t="str">
        <f>IF(D499&lt;'3_Summary_Tables'!$C$16,"Low",IF(D499&lt;'3_Summary_Tables'!$C$17,"Medium","High"))</f>
        <v>Medium</v>
      </c>
      <c r="F499" s="12">
        <f>INDEX('2_Clean_Data'!$C$2:$C$1360,MATCH($A499,'2_Clean_Data'!$A$2:$A$1360,0))</f>
        <v>0.35</v>
      </c>
      <c r="G499" s="10">
        <f>INDEX('2_Clean_Data'!$H$2:$H$1360,MATCH($A499,'2_Clean_Data'!$A$2:$A$1360,0))</f>
        <v>37</v>
      </c>
      <c r="H499" s="9" t="str">
        <f t="shared" si="29"/>
        <v>Low</v>
      </c>
      <c r="I499" s="9" t="str">
        <f t="shared" si="30"/>
        <v>OK</v>
      </c>
      <c r="J499" s="9" t="str">
        <f t="shared" si="31"/>
        <v>Solid</v>
      </c>
    </row>
    <row r="500" spans="1:10" x14ac:dyDescent="0.3">
      <c r="A500" s="10">
        <f>'2_Clean_Data'!A497</f>
        <v>496</v>
      </c>
      <c r="B500" s="10">
        <f>INDEX('2_Clean_Data'!$M$2:$M$1360,MATCH($A500,'2_Clean_Data'!$A$2:$A$1360,0))</f>
        <v>5</v>
      </c>
      <c r="C500" s="9" t="str">
        <f t="shared" si="28"/>
        <v>Average</v>
      </c>
      <c r="D500" s="11">
        <f>INDEX('2_Clean_Data'!$L$2:$L$1360,MATCH($A500,'2_Clean_Data'!$A$2:$A$1360,0))</f>
        <v>10.4</v>
      </c>
      <c r="E500" s="9" t="str">
        <f>IF(D500&lt;'3_Summary_Tables'!$C$16,"Low",IF(D500&lt;'3_Summary_Tables'!$C$17,"Medium","High"))</f>
        <v>Medium</v>
      </c>
      <c r="F500" s="12">
        <f>INDEX('2_Clean_Data'!$C$2:$C$1360,MATCH($A500,'2_Clean_Data'!$A$2:$A$1360,0))</f>
        <v>0.24</v>
      </c>
      <c r="G500" s="10">
        <f>INDEX('2_Clean_Data'!$H$2:$H$1360,MATCH($A500,'2_Clean_Data'!$A$2:$A$1360,0))</f>
        <v>28</v>
      </c>
      <c r="H500" s="9" t="str">
        <f t="shared" si="29"/>
        <v>Low</v>
      </c>
      <c r="I500" s="9" t="str">
        <f t="shared" si="30"/>
        <v>OK</v>
      </c>
      <c r="J500" s="9" t="str">
        <f t="shared" si="31"/>
        <v>Standard</v>
      </c>
    </row>
    <row r="501" spans="1:10" x14ac:dyDescent="0.3">
      <c r="A501" s="10">
        <f>'2_Clean_Data'!A498</f>
        <v>497</v>
      </c>
      <c r="B501" s="10">
        <f>INDEX('2_Clean_Data'!$M$2:$M$1360,MATCH($A501,'2_Clean_Data'!$A$2:$A$1360,0))</f>
        <v>4</v>
      </c>
      <c r="C501" s="9" t="str">
        <f t="shared" si="28"/>
        <v>Poor</v>
      </c>
      <c r="D501" s="11">
        <f>INDEX('2_Clean_Data'!$L$2:$L$1360,MATCH($A501,'2_Clean_Data'!$A$2:$A$1360,0))</f>
        <v>9.6</v>
      </c>
      <c r="E501" s="9" t="str">
        <f>IF(D501&lt;'3_Summary_Tables'!$C$16,"Low",IF(D501&lt;'3_Summary_Tables'!$C$17,"Medium","High"))</f>
        <v>Low</v>
      </c>
      <c r="F501" s="12">
        <f>INDEX('2_Clean_Data'!$C$2:$C$1360,MATCH($A501,'2_Clean_Data'!$A$2:$A$1360,0))</f>
        <v>0.59</v>
      </c>
      <c r="G501" s="10">
        <f>INDEX('2_Clean_Data'!$H$2:$H$1360,MATCH($A501,'2_Clean_Data'!$A$2:$A$1360,0))</f>
        <v>47</v>
      </c>
      <c r="H501" s="9" t="str">
        <f t="shared" si="29"/>
        <v>Low</v>
      </c>
      <c r="I501" s="9" t="str">
        <f t="shared" si="30"/>
        <v>OK</v>
      </c>
      <c r="J501" s="9" t="str">
        <f t="shared" si="31"/>
        <v>Poor</v>
      </c>
    </row>
    <row r="502" spans="1:10" x14ac:dyDescent="0.3">
      <c r="A502" s="10">
        <f>'2_Clean_Data'!A499</f>
        <v>498</v>
      </c>
      <c r="B502" s="10">
        <f>INDEX('2_Clean_Data'!$M$2:$M$1360,MATCH($A502,'2_Clean_Data'!$A$2:$A$1360,0))</f>
        <v>6</v>
      </c>
      <c r="C502" s="9" t="str">
        <f t="shared" si="28"/>
        <v>Above Average</v>
      </c>
      <c r="D502" s="11">
        <f>INDEX('2_Clean_Data'!$L$2:$L$1360,MATCH($A502,'2_Clean_Data'!$A$2:$A$1360,0))</f>
        <v>10</v>
      </c>
      <c r="E502" s="9" t="str">
        <f>IF(D502&lt;'3_Summary_Tables'!$C$16,"Low",IF(D502&lt;'3_Summary_Tables'!$C$17,"Medium","High"))</f>
        <v>Medium</v>
      </c>
      <c r="F502" s="12">
        <f>INDEX('2_Clean_Data'!$C$2:$C$1360,MATCH($A502,'2_Clean_Data'!$A$2:$A$1360,0))</f>
        <v>0.34</v>
      </c>
      <c r="G502" s="10">
        <f>INDEX('2_Clean_Data'!$H$2:$H$1360,MATCH($A502,'2_Clean_Data'!$A$2:$A$1360,0))</f>
        <v>78</v>
      </c>
      <c r="H502" s="9" t="str">
        <f t="shared" si="29"/>
        <v>Moderate</v>
      </c>
      <c r="I502" s="9" t="str">
        <f t="shared" si="30"/>
        <v>OK</v>
      </c>
      <c r="J502" s="9" t="str">
        <f t="shared" si="31"/>
        <v>Solid</v>
      </c>
    </row>
    <row r="503" spans="1:10" x14ac:dyDescent="0.3">
      <c r="A503" s="10">
        <f>'2_Clean_Data'!A500</f>
        <v>499</v>
      </c>
      <c r="B503" s="10">
        <f>INDEX('2_Clean_Data'!$M$2:$M$1360,MATCH($A503,'2_Clean_Data'!$A$2:$A$1360,0))</f>
        <v>6</v>
      </c>
      <c r="C503" s="9" t="str">
        <f t="shared" si="28"/>
        <v>Above Average</v>
      </c>
      <c r="D503" s="11">
        <f>INDEX('2_Clean_Data'!$L$2:$L$1360,MATCH($A503,'2_Clean_Data'!$A$2:$A$1360,0))</f>
        <v>10.199999999999999</v>
      </c>
      <c r="E503" s="9" t="str">
        <f>IF(D503&lt;'3_Summary_Tables'!$C$16,"Low",IF(D503&lt;'3_Summary_Tables'!$C$17,"Medium","High"))</f>
        <v>Medium</v>
      </c>
      <c r="F503" s="12">
        <f>INDEX('2_Clean_Data'!$C$2:$C$1360,MATCH($A503,'2_Clean_Data'!$A$2:$A$1360,0))</f>
        <v>0.27</v>
      </c>
      <c r="G503" s="10">
        <f>INDEX('2_Clean_Data'!$H$2:$H$1360,MATCH($A503,'2_Clean_Data'!$A$2:$A$1360,0))</f>
        <v>46</v>
      </c>
      <c r="H503" s="9" t="str">
        <f t="shared" si="29"/>
        <v>Low</v>
      </c>
      <c r="I503" s="9" t="str">
        <f t="shared" si="30"/>
        <v>OK</v>
      </c>
      <c r="J503" s="9" t="str">
        <f t="shared" si="31"/>
        <v>Solid</v>
      </c>
    </row>
    <row r="504" spans="1:10" x14ac:dyDescent="0.3">
      <c r="A504" s="10">
        <f>'2_Clean_Data'!A501</f>
        <v>500</v>
      </c>
      <c r="B504" s="10">
        <f>INDEX('2_Clean_Data'!$M$2:$M$1360,MATCH($A504,'2_Clean_Data'!$A$2:$A$1360,0))</f>
        <v>4</v>
      </c>
      <c r="C504" s="9" t="str">
        <f t="shared" si="28"/>
        <v>Poor</v>
      </c>
      <c r="D504" s="11">
        <f>INDEX('2_Clean_Data'!$L$2:$L$1360,MATCH($A504,'2_Clean_Data'!$A$2:$A$1360,0))</f>
        <v>10</v>
      </c>
      <c r="E504" s="9" t="str">
        <f>IF(D504&lt;'3_Summary_Tables'!$C$16,"Low",IF(D504&lt;'3_Summary_Tables'!$C$17,"Medium","High"))</f>
        <v>Medium</v>
      </c>
      <c r="F504" s="12">
        <f>INDEX('2_Clean_Data'!$C$2:$C$1360,MATCH($A504,'2_Clean_Data'!$A$2:$A$1360,0))</f>
        <v>0.5</v>
      </c>
      <c r="G504" s="10">
        <f>INDEX('2_Clean_Data'!$H$2:$H$1360,MATCH($A504,'2_Clean_Data'!$A$2:$A$1360,0))</f>
        <v>14</v>
      </c>
      <c r="H504" s="9" t="str">
        <f t="shared" si="29"/>
        <v>Low</v>
      </c>
      <c r="I504" s="9" t="str">
        <f t="shared" si="30"/>
        <v>OK</v>
      </c>
      <c r="J504" s="9" t="str">
        <f t="shared" si="31"/>
        <v>Poor</v>
      </c>
    </row>
    <row r="505" spans="1:10" x14ac:dyDescent="0.3">
      <c r="A505" s="10">
        <f>'2_Clean_Data'!A502</f>
        <v>501</v>
      </c>
      <c r="B505" s="10">
        <f>INDEX('2_Clean_Data'!$M$2:$M$1360,MATCH($A505,'2_Clean_Data'!$A$2:$A$1360,0))</f>
        <v>5</v>
      </c>
      <c r="C505" s="9" t="str">
        <f t="shared" si="28"/>
        <v>Average</v>
      </c>
      <c r="D505" s="11">
        <f>INDEX('2_Clean_Data'!$L$2:$L$1360,MATCH($A505,'2_Clean_Data'!$A$2:$A$1360,0))</f>
        <v>9.5</v>
      </c>
      <c r="E505" s="9" t="str">
        <f>IF(D505&lt;'3_Summary_Tables'!$C$16,"Low",IF(D505&lt;'3_Summary_Tables'!$C$17,"Medium","High"))</f>
        <v>Low</v>
      </c>
      <c r="F505" s="12">
        <f>INDEX('2_Clean_Data'!$C$2:$C$1360,MATCH($A505,'2_Clean_Data'!$A$2:$A$1360,0))</f>
        <v>0.44</v>
      </c>
      <c r="G505" s="10">
        <f>INDEX('2_Clean_Data'!$H$2:$H$1360,MATCH($A505,'2_Clean_Data'!$A$2:$A$1360,0))</f>
        <v>111</v>
      </c>
      <c r="H505" s="9" t="str">
        <f t="shared" si="29"/>
        <v>High</v>
      </c>
      <c r="I505" s="9" t="str">
        <f t="shared" si="30"/>
        <v>OK</v>
      </c>
      <c r="J505" s="9" t="str">
        <f t="shared" si="31"/>
        <v>Standard</v>
      </c>
    </row>
    <row r="506" spans="1:10" x14ac:dyDescent="0.3">
      <c r="A506" s="10">
        <f>'2_Clean_Data'!A503</f>
        <v>502</v>
      </c>
      <c r="B506" s="10">
        <f>INDEX('2_Clean_Data'!$M$2:$M$1360,MATCH($A506,'2_Clean_Data'!$A$2:$A$1360,0))</f>
        <v>5</v>
      </c>
      <c r="C506" s="9" t="str">
        <f t="shared" si="28"/>
        <v>Average</v>
      </c>
      <c r="D506" s="11">
        <f>INDEX('2_Clean_Data'!$L$2:$L$1360,MATCH($A506,'2_Clean_Data'!$A$2:$A$1360,0))</f>
        <v>9.8000000000000007</v>
      </c>
      <c r="E506" s="9" t="str">
        <f>IF(D506&lt;'3_Summary_Tables'!$C$16,"Low",IF(D506&lt;'3_Summary_Tables'!$C$17,"Medium","High"))</f>
        <v>Low</v>
      </c>
      <c r="F506" s="12">
        <f>INDEX('2_Clean_Data'!$C$2:$C$1360,MATCH($A506,'2_Clean_Data'!$A$2:$A$1360,0))</f>
        <v>0.47</v>
      </c>
      <c r="G506" s="10">
        <f>INDEX('2_Clean_Data'!$H$2:$H$1360,MATCH($A506,'2_Clean_Data'!$A$2:$A$1360,0))</f>
        <v>110</v>
      </c>
      <c r="H506" s="9" t="str">
        <f t="shared" si="29"/>
        <v>High</v>
      </c>
      <c r="I506" s="9" t="str">
        <f t="shared" si="30"/>
        <v>OK</v>
      </c>
      <c r="J506" s="9" t="str">
        <f t="shared" si="31"/>
        <v>Standard</v>
      </c>
    </row>
    <row r="507" spans="1:10" x14ac:dyDescent="0.3">
      <c r="A507" s="10">
        <f>'2_Clean_Data'!A504</f>
        <v>503</v>
      </c>
      <c r="B507" s="10">
        <f>INDEX('2_Clean_Data'!$M$2:$M$1360,MATCH($A507,'2_Clean_Data'!$A$2:$A$1360,0))</f>
        <v>6</v>
      </c>
      <c r="C507" s="9" t="str">
        <f t="shared" si="28"/>
        <v>Above Average</v>
      </c>
      <c r="D507" s="11">
        <f>INDEX('2_Clean_Data'!$L$2:$L$1360,MATCH($A507,'2_Clean_Data'!$A$2:$A$1360,0))</f>
        <v>9.8000000000000007</v>
      </c>
      <c r="E507" s="9" t="str">
        <f>IF(D507&lt;'3_Summary_Tables'!$C$16,"Low",IF(D507&lt;'3_Summary_Tables'!$C$17,"Medium","High"))</f>
        <v>Low</v>
      </c>
      <c r="F507" s="12">
        <f>INDEX('2_Clean_Data'!$C$2:$C$1360,MATCH($A507,'2_Clean_Data'!$A$2:$A$1360,0))</f>
        <v>0.31</v>
      </c>
      <c r="G507" s="10">
        <f>INDEX('2_Clean_Data'!$H$2:$H$1360,MATCH($A507,'2_Clean_Data'!$A$2:$A$1360,0))</f>
        <v>40</v>
      </c>
      <c r="H507" s="9" t="str">
        <f t="shared" si="29"/>
        <v>Low</v>
      </c>
      <c r="I507" s="9" t="str">
        <f t="shared" si="30"/>
        <v>OK</v>
      </c>
      <c r="J507" s="9" t="str">
        <f t="shared" si="31"/>
        <v>Solid</v>
      </c>
    </row>
    <row r="508" spans="1:10" x14ac:dyDescent="0.3">
      <c r="A508" s="10">
        <f>'2_Clean_Data'!A505</f>
        <v>504</v>
      </c>
      <c r="B508" s="10">
        <f>INDEX('2_Clean_Data'!$M$2:$M$1360,MATCH($A508,'2_Clean_Data'!$A$2:$A$1360,0))</f>
        <v>5</v>
      </c>
      <c r="C508" s="9" t="str">
        <f t="shared" si="28"/>
        <v>Average</v>
      </c>
      <c r="D508" s="11">
        <f>INDEX('2_Clean_Data'!$L$2:$L$1360,MATCH($A508,'2_Clean_Data'!$A$2:$A$1360,0))</f>
        <v>9.6</v>
      </c>
      <c r="E508" s="9" t="str">
        <f>IF(D508&lt;'3_Summary_Tables'!$C$16,"Low",IF(D508&lt;'3_Summary_Tables'!$C$17,"Medium","High"))</f>
        <v>Low</v>
      </c>
      <c r="F508" s="12">
        <f>INDEX('2_Clean_Data'!$C$2:$C$1360,MATCH($A508,'2_Clean_Data'!$A$2:$A$1360,0))</f>
        <v>0.5</v>
      </c>
      <c r="G508" s="10">
        <f>INDEX('2_Clean_Data'!$H$2:$H$1360,MATCH($A508,'2_Clean_Data'!$A$2:$A$1360,0))</f>
        <v>14</v>
      </c>
      <c r="H508" s="9" t="str">
        <f t="shared" si="29"/>
        <v>Low</v>
      </c>
      <c r="I508" s="9" t="str">
        <f t="shared" si="30"/>
        <v>OK</v>
      </c>
      <c r="J508" s="9" t="str">
        <f t="shared" si="31"/>
        <v>Standard</v>
      </c>
    </row>
    <row r="509" spans="1:10" x14ac:dyDescent="0.3">
      <c r="A509" s="10">
        <f>'2_Clean_Data'!A506</f>
        <v>505</v>
      </c>
      <c r="B509" s="10">
        <f>INDEX('2_Clean_Data'!$M$2:$M$1360,MATCH($A509,'2_Clean_Data'!$A$2:$A$1360,0))</f>
        <v>5</v>
      </c>
      <c r="C509" s="9" t="str">
        <f t="shared" si="28"/>
        <v>Average</v>
      </c>
      <c r="D509" s="11">
        <f>INDEX('2_Clean_Data'!$L$2:$L$1360,MATCH($A509,'2_Clean_Data'!$A$2:$A$1360,0))</f>
        <v>9.1999999999999993</v>
      </c>
      <c r="E509" s="9" t="str">
        <f>IF(D509&lt;'3_Summary_Tables'!$C$16,"Low",IF(D509&lt;'3_Summary_Tables'!$C$17,"Medium","High"))</f>
        <v>Low</v>
      </c>
      <c r="F509" s="12">
        <f>INDEX('2_Clean_Data'!$C$2:$C$1360,MATCH($A509,'2_Clean_Data'!$A$2:$A$1360,0))</f>
        <v>0.49</v>
      </c>
      <c r="G509" s="10">
        <f>INDEX('2_Clean_Data'!$H$2:$H$1360,MATCH($A509,'2_Clean_Data'!$A$2:$A$1360,0))</f>
        <v>15</v>
      </c>
      <c r="H509" s="9" t="str">
        <f t="shared" si="29"/>
        <v>Low</v>
      </c>
      <c r="I509" s="9" t="str">
        <f t="shared" si="30"/>
        <v>OK</v>
      </c>
      <c r="J509" s="9" t="str">
        <f t="shared" si="31"/>
        <v>Standard</v>
      </c>
    </row>
    <row r="510" spans="1:10" x14ac:dyDescent="0.3">
      <c r="A510" s="10">
        <f>'2_Clean_Data'!A507</f>
        <v>506</v>
      </c>
      <c r="B510" s="10">
        <f>INDEX('2_Clean_Data'!$M$2:$M$1360,MATCH($A510,'2_Clean_Data'!$A$2:$A$1360,0))</f>
        <v>7</v>
      </c>
      <c r="C510" s="9" t="str">
        <f t="shared" si="28"/>
        <v>Good</v>
      </c>
      <c r="D510" s="11">
        <f>INDEX('2_Clean_Data'!$L$2:$L$1360,MATCH($A510,'2_Clean_Data'!$A$2:$A$1360,0))</f>
        <v>9.9</v>
      </c>
      <c r="E510" s="9" t="str">
        <f>IF(D510&lt;'3_Summary_Tables'!$C$16,"Low",IF(D510&lt;'3_Summary_Tables'!$C$17,"Medium","High"))</f>
        <v>Low</v>
      </c>
      <c r="F510" s="12">
        <f>INDEX('2_Clean_Data'!$C$2:$C$1360,MATCH($A510,'2_Clean_Data'!$A$2:$A$1360,0))</f>
        <v>0.28000000000000003</v>
      </c>
      <c r="G510" s="10">
        <f>INDEX('2_Clean_Data'!$H$2:$H$1360,MATCH($A510,'2_Clean_Data'!$A$2:$A$1360,0))</f>
        <v>21</v>
      </c>
      <c r="H510" s="9" t="str">
        <f t="shared" si="29"/>
        <v>Low</v>
      </c>
      <c r="I510" s="9" t="str">
        <f t="shared" si="30"/>
        <v>OK</v>
      </c>
      <c r="J510" s="9" t="str">
        <f t="shared" si="31"/>
        <v>Solid</v>
      </c>
    </row>
    <row r="511" spans="1:10" x14ac:dyDescent="0.3">
      <c r="A511" s="10">
        <f>'2_Clean_Data'!A508</f>
        <v>507</v>
      </c>
      <c r="B511" s="10">
        <f>INDEX('2_Clean_Data'!$M$2:$M$1360,MATCH($A511,'2_Clean_Data'!$A$2:$A$1360,0))</f>
        <v>7</v>
      </c>
      <c r="C511" s="9" t="str">
        <f t="shared" si="28"/>
        <v>Good</v>
      </c>
      <c r="D511" s="11">
        <f>INDEX('2_Clean_Data'!$L$2:$L$1360,MATCH($A511,'2_Clean_Data'!$A$2:$A$1360,0))</f>
        <v>10.7</v>
      </c>
      <c r="E511" s="9" t="str">
        <f>IF(D511&lt;'3_Summary_Tables'!$C$16,"Low",IF(D511&lt;'3_Summary_Tables'!$C$17,"Medium","High"))</f>
        <v>Medium</v>
      </c>
      <c r="F511" s="12">
        <f>INDEX('2_Clean_Data'!$C$2:$C$1360,MATCH($A511,'2_Clean_Data'!$A$2:$A$1360,0))</f>
        <v>0.33</v>
      </c>
      <c r="G511" s="10">
        <f>INDEX('2_Clean_Data'!$H$2:$H$1360,MATCH($A511,'2_Clean_Data'!$A$2:$A$1360,0))</f>
        <v>80</v>
      </c>
      <c r="H511" s="9" t="str">
        <f t="shared" si="29"/>
        <v>Moderate</v>
      </c>
      <c r="I511" s="9" t="str">
        <f t="shared" si="30"/>
        <v>OK</v>
      </c>
      <c r="J511" s="9" t="str">
        <f t="shared" si="31"/>
        <v>Solid</v>
      </c>
    </row>
    <row r="512" spans="1:10" x14ac:dyDescent="0.3">
      <c r="A512" s="10">
        <f>'2_Clean_Data'!A509</f>
        <v>508</v>
      </c>
      <c r="B512" s="10">
        <f>INDEX('2_Clean_Data'!$M$2:$M$1360,MATCH($A512,'2_Clean_Data'!$A$2:$A$1360,0))</f>
        <v>6</v>
      </c>
      <c r="C512" s="9" t="str">
        <f t="shared" si="28"/>
        <v>Above Average</v>
      </c>
      <c r="D512" s="11">
        <f>INDEX('2_Clean_Data'!$L$2:$L$1360,MATCH($A512,'2_Clean_Data'!$A$2:$A$1360,0))</f>
        <v>9.6</v>
      </c>
      <c r="E512" s="9" t="str">
        <f>IF(D512&lt;'3_Summary_Tables'!$C$16,"Low",IF(D512&lt;'3_Summary_Tables'!$C$17,"Medium","High"))</f>
        <v>Low</v>
      </c>
      <c r="F512" s="12">
        <f>INDEX('2_Clean_Data'!$C$2:$C$1360,MATCH($A512,'2_Clean_Data'!$A$2:$A$1360,0))</f>
        <v>0.51</v>
      </c>
      <c r="G512" s="10">
        <f>INDEX('2_Clean_Data'!$H$2:$H$1360,MATCH($A512,'2_Clean_Data'!$A$2:$A$1360,0))</f>
        <v>38</v>
      </c>
      <c r="H512" s="9" t="str">
        <f t="shared" si="29"/>
        <v>Low</v>
      </c>
      <c r="I512" s="9" t="str">
        <f t="shared" si="30"/>
        <v>OK</v>
      </c>
      <c r="J512" s="9" t="str">
        <f t="shared" si="31"/>
        <v>Solid</v>
      </c>
    </row>
    <row r="513" spans="1:10" x14ac:dyDescent="0.3">
      <c r="A513" s="10">
        <f>'2_Clean_Data'!A510</f>
        <v>509</v>
      </c>
      <c r="B513" s="10">
        <f>INDEX('2_Clean_Data'!$M$2:$M$1360,MATCH($A513,'2_Clean_Data'!$A$2:$A$1360,0))</f>
        <v>7</v>
      </c>
      <c r="C513" s="9" t="str">
        <f t="shared" si="28"/>
        <v>Good</v>
      </c>
      <c r="D513" s="11">
        <f>INDEX('2_Clean_Data'!$L$2:$L$1360,MATCH($A513,'2_Clean_Data'!$A$2:$A$1360,0))</f>
        <v>10.6</v>
      </c>
      <c r="E513" s="9" t="str">
        <f>IF(D513&lt;'3_Summary_Tables'!$C$16,"Low",IF(D513&lt;'3_Summary_Tables'!$C$17,"Medium","High"))</f>
        <v>Medium</v>
      </c>
      <c r="F513" s="12">
        <f>INDEX('2_Clean_Data'!$C$2:$C$1360,MATCH($A513,'2_Clean_Data'!$A$2:$A$1360,0))</f>
        <v>0.31</v>
      </c>
      <c r="G513" s="10">
        <f>INDEX('2_Clean_Data'!$H$2:$H$1360,MATCH($A513,'2_Clean_Data'!$A$2:$A$1360,0))</f>
        <v>47</v>
      </c>
      <c r="H513" s="9" t="str">
        <f t="shared" si="29"/>
        <v>Low</v>
      </c>
      <c r="I513" s="9" t="str">
        <f t="shared" si="30"/>
        <v>OK</v>
      </c>
      <c r="J513" s="9" t="str">
        <f t="shared" si="31"/>
        <v>Solid</v>
      </c>
    </row>
    <row r="514" spans="1:10" x14ac:dyDescent="0.3">
      <c r="A514" s="10">
        <f>'2_Clean_Data'!A511</f>
        <v>510</v>
      </c>
      <c r="B514" s="10">
        <f>INDEX('2_Clean_Data'!$M$2:$M$1360,MATCH($A514,'2_Clean_Data'!$A$2:$A$1360,0))</f>
        <v>5</v>
      </c>
      <c r="C514" s="9" t="str">
        <f t="shared" si="28"/>
        <v>Average</v>
      </c>
      <c r="D514" s="11">
        <f>INDEX('2_Clean_Data'!$L$2:$L$1360,MATCH($A514,'2_Clean_Data'!$A$2:$A$1360,0))</f>
        <v>9.3000000000000007</v>
      </c>
      <c r="E514" s="9" t="str">
        <f>IF(D514&lt;'3_Summary_Tables'!$C$16,"Low",IF(D514&lt;'3_Summary_Tables'!$C$17,"Medium","High"))</f>
        <v>Low</v>
      </c>
      <c r="F514" s="12">
        <f>INDEX('2_Clean_Data'!$C$2:$C$1360,MATCH($A514,'2_Clean_Data'!$A$2:$A$1360,0))</f>
        <v>0.73</v>
      </c>
      <c r="G514" s="10">
        <f>INDEX('2_Clean_Data'!$H$2:$H$1360,MATCH($A514,'2_Clean_Data'!$A$2:$A$1360,0))</f>
        <v>102</v>
      </c>
      <c r="H514" s="9" t="str">
        <f t="shared" si="29"/>
        <v>High</v>
      </c>
      <c r="I514" s="9" t="str">
        <f t="shared" si="30"/>
        <v>Above limit</v>
      </c>
      <c r="J514" s="9" t="str">
        <f t="shared" si="31"/>
        <v>Standard</v>
      </c>
    </row>
    <row r="515" spans="1:10" x14ac:dyDescent="0.3">
      <c r="A515" s="10">
        <f>'2_Clean_Data'!A512</f>
        <v>511</v>
      </c>
      <c r="B515" s="10">
        <f>INDEX('2_Clean_Data'!$M$2:$M$1360,MATCH($A515,'2_Clean_Data'!$A$2:$A$1360,0))</f>
        <v>8</v>
      </c>
      <c r="C515" s="9" t="str">
        <f t="shared" si="28"/>
        <v>Excellent</v>
      </c>
      <c r="D515" s="11">
        <f>INDEX('2_Clean_Data'!$L$2:$L$1360,MATCH($A515,'2_Clean_Data'!$A$2:$A$1360,0))</f>
        <v>14</v>
      </c>
      <c r="E515" s="9" t="str">
        <f>IF(D515&lt;'3_Summary_Tables'!$C$16,"Low",IF(D515&lt;'3_Summary_Tables'!$C$17,"Medium","High"))</f>
        <v>High</v>
      </c>
      <c r="F515" s="12">
        <f>INDEX('2_Clean_Data'!$C$2:$C$1360,MATCH($A515,'2_Clean_Data'!$A$2:$A$1360,0))</f>
        <v>0.42</v>
      </c>
      <c r="G515" s="10">
        <f>INDEX('2_Clean_Data'!$H$2:$H$1360,MATCH($A515,'2_Clean_Data'!$A$2:$A$1360,0))</f>
        <v>50</v>
      </c>
      <c r="H515" s="9" t="str">
        <f t="shared" si="29"/>
        <v>Low</v>
      </c>
      <c r="I515" s="9" t="str">
        <f t="shared" si="30"/>
        <v>OK</v>
      </c>
      <c r="J515" s="9" t="str">
        <f t="shared" si="31"/>
        <v>Premium</v>
      </c>
    </row>
    <row r="516" spans="1:10" x14ac:dyDescent="0.3">
      <c r="A516" s="10">
        <f>'2_Clean_Data'!A513</f>
        <v>512</v>
      </c>
      <c r="B516" s="10">
        <f>INDEX('2_Clean_Data'!$M$2:$M$1360,MATCH($A516,'2_Clean_Data'!$A$2:$A$1360,0))</f>
        <v>7</v>
      </c>
      <c r="C516" s="9" t="str">
        <f t="shared" si="28"/>
        <v>Good</v>
      </c>
      <c r="D516" s="11">
        <f>INDEX('2_Clean_Data'!$L$2:$L$1360,MATCH($A516,'2_Clean_Data'!$A$2:$A$1360,0))</f>
        <v>10.5</v>
      </c>
      <c r="E516" s="9" t="str">
        <f>IF(D516&lt;'3_Summary_Tables'!$C$16,"Low",IF(D516&lt;'3_Summary_Tables'!$C$17,"Medium","High"))</f>
        <v>Medium</v>
      </c>
      <c r="F516" s="12">
        <f>INDEX('2_Clean_Data'!$C$2:$C$1360,MATCH($A516,'2_Clean_Data'!$A$2:$A$1360,0))</f>
        <v>0.28999999999999998</v>
      </c>
      <c r="G516" s="10">
        <f>INDEX('2_Clean_Data'!$H$2:$H$1360,MATCH($A516,'2_Clean_Data'!$A$2:$A$1360,0))</f>
        <v>13</v>
      </c>
      <c r="H516" s="9" t="str">
        <f t="shared" si="29"/>
        <v>Low</v>
      </c>
      <c r="I516" s="9" t="str">
        <f t="shared" si="30"/>
        <v>OK</v>
      </c>
      <c r="J516" s="9" t="str">
        <f t="shared" si="31"/>
        <v>Solid</v>
      </c>
    </row>
    <row r="517" spans="1:10" x14ac:dyDescent="0.3">
      <c r="A517" s="10">
        <f>'2_Clean_Data'!A514</f>
        <v>513</v>
      </c>
      <c r="B517" s="10">
        <f>INDEX('2_Clean_Data'!$M$2:$M$1360,MATCH($A517,'2_Clean_Data'!$A$2:$A$1360,0))</f>
        <v>5</v>
      </c>
      <c r="C517" s="9" t="str">
        <f t="shared" ref="C517:C580" si="32">VLOOKUP(B517,$L$12:$N$17,2,FALSE())</f>
        <v>Average</v>
      </c>
      <c r="D517" s="11">
        <f>INDEX('2_Clean_Data'!$L$2:$L$1360,MATCH($A517,'2_Clean_Data'!$A$2:$A$1360,0))</f>
        <v>9.6999999999999993</v>
      </c>
      <c r="E517" s="9" t="str">
        <f>IF(D517&lt;'3_Summary_Tables'!$C$16,"Low",IF(D517&lt;'3_Summary_Tables'!$C$17,"Medium","High"))</f>
        <v>Low</v>
      </c>
      <c r="F517" s="12">
        <f>INDEX('2_Clean_Data'!$C$2:$C$1360,MATCH($A517,'2_Clean_Data'!$A$2:$A$1360,0))</f>
        <v>0.45</v>
      </c>
      <c r="G517" s="10">
        <f>INDEX('2_Clean_Data'!$H$2:$H$1360,MATCH($A517,'2_Clean_Data'!$A$2:$A$1360,0))</f>
        <v>75</v>
      </c>
      <c r="H517" s="9" t="str">
        <f t="shared" ref="H517:H580" si="33">IF(G517&gt;$M$8,"High",IF(G517&gt;$M$7,"Moderate","Low"))</f>
        <v>Moderate</v>
      </c>
      <c r="I517" s="9" t="str">
        <f t="shared" ref="I517:I580" si="34">IF(F517&gt;$M$6,"Above limit","OK")</f>
        <v>OK</v>
      </c>
      <c r="J517" s="9" t="str">
        <f t="shared" ref="J517:J580" si="35">IF(AND(B517&gt;=7,E517="High"),"Premium",IF(AND(B517&gt;=6,I517="OK"),"Solid",IF(B517&lt;=4,"Poor","Standard")))</f>
        <v>Standard</v>
      </c>
    </row>
    <row r="518" spans="1:10" x14ac:dyDescent="0.3">
      <c r="A518" s="10">
        <f>'2_Clean_Data'!A515</f>
        <v>514</v>
      </c>
      <c r="B518" s="10">
        <f>INDEX('2_Clean_Data'!$M$2:$M$1360,MATCH($A518,'2_Clean_Data'!$A$2:$A$1360,0))</f>
        <v>6</v>
      </c>
      <c r="C518" s="9" t="str">
        <f t="shared" si="32"/>
        <v>Above Average</v>
      </c>
      <c r="D518" s="11">
        <f>INDEX('2_Clean_Data'!$L$2:$L$1360,MATCH($A518,'2_Clean_Data'!$A$2:$A$1360,0))</f>
        <v>11.5</v>
      </c>
      <c r="E518" s="9" t="str">
        <f>IF(D518&lt;'3_Summary_Tables'!$C$16,"Low",IF(D518&lt;'3_Summary_Tables'!$C$17,"Medium","High"))</f>
        <v>High</v>
      </c>
      <c r="F518" s="12">
        <f>INDEX('2_Clean_Data'!$C$2:$C$1360,MATCH($A518,'2_Clean_Data'!$A$2:$A$1360,0))</f>
        <v>0.39</v>
      </c>
      <c r="G518" s="10">
        <f>INDEX('2_Clean_Data'!$H$2:$H$1360,MATCH($A518,'2_Clean_Data'!$A$2:$A$1360,0))</f>
        <v>149</v>
      </c>
      <c r="H518" s="9" t="str">
        <f t="shared" si="33"/>
        <v>High</v>
      </c>
      <c r="I518" s="9" t="str">
        <f t="shared" si="34"/>
        <v>OK</v>
      </c>
      <c r="J518" s="9" t="str">
        <f t="shared" si="35"/>
        <v>Solid</v>
      </c>
    </row>
    <row r="519" spans="1:10" x14ac:dyDescent="0.3">
      <c r="A519" s="10">
        <f>'2_Clean_Data'!A516</f>
        <v>515</v>
      </c>
      <c r="B519" s="10">
        <f>INDEX('2_Clean_Data'!$M$2:$M$1360,MATCH($A519,'2_Clean_Data'!$A$2:$A$1360,0))</f>
        <v>5</v>
      </c>
      <c r="C519" s="9" t="str">
        <f t="shared" si="32"/>
        <v>Average</v>
      </c>
      <c r="D519" s="11">
        <f>INDEX('2_Clean_Data'!$L$2:$L$1360,MATCH($A519,'2_Clean_Data'!$A$2:$A$1360,0))</f>
        <v>9</v>
      </c>
      <c r="E519" s="9" t="str">
        <f>IF(D519&lt;'3_Summary_Tables'!$C$16,"Low",IF(D519&lt;'3_Summary_Tables'!$C$17,"Medium","High"))</f>
        <v>Low</v>
      </c>
      <c r="F519" s="12">
        <f>INDEX('2_Clean_Data'!$C$2:$C$1360,MATCH($A519,'2_Clean_Data'!$A$2:$A$1360,0))</f>
        <v>0.49</v>
      </c>
      <c r="G519" s="10">
        <f>INDEX('2_Clean_Data'!$H$2:$H$1360,MATCH($A519,'2_Clean_Data'!$A$2:$A$1360,0))</f>
        <v>43</v>
      </c>
      <c r="H519" s="9" t="str">
        <f t="shared" si="33"/>
        <v>Low</v>
      </c>
      <c r="I519" s="9" t="str">
        <f t="shared" si="34"/>
        <v>OK</v>
      </c>
      <c r="J519" s="9" t="str">
        <f t="shared" si="35"/>
        <v>Standard</v>
      </c>
    </row>
    <row r="520" spans="1:10" x14ac:dyDescent="0.3">
      <c r="A520" s="10">
        <f>'2_Clean_Data'!A517</f>
        <v>516</v>
      </c>
      <c r="B520" s="10">
        <f>INDEX('2_Clean_Data'!$M$2:$M$1360,MATCH($A520,'2_Clean_Data'!$A$2:$A$1360,0))</f>
        <v>5</v>
      </c>
      <c r="C520" s="9" t="str">
        <f t="shared" si="32"/>
        <v>Average</v>
      </c>
      <c r="D520" s="11">
        <f>INDEX('2_Clean_Data'!$L$2:$L$1360,MATCH($A520,'2_Clean_Data'!$A$2:$A$1360,0))</f>
        <v>9.5</v>
      </c>
      <c r="E520" s="9" t="str">
        <f>IF(D520&lt;'3_Summary_Tables'!$C$16,"Low",IF(D520&lt;'3_Summary_Tables'!$C$17,"Medium","High"))</f>
        <v>Low</v>
      </c>
      <c r="F520" s="12">
        <f>INDEX('2_Clean_Data'!$C$2:$C$1360,MATCH($A520,'2_Clean_Data'!$A$2:$A$1360,0))</f>
        <v>0.72</v>
      </c>
      <c r="G520" s="10">
        <f>INDEX('2_Clean_Data'!$H$2:$H$1360,MATCH($A520,'2_Clean_Data'!$A$2:$A$1360,0))</f>
        <v>38</v>
      </c>
      <c r="H520" s="9" t="str">
        <f t="shared" si="33"/>
        <v>Low</v>
      </c>
      <c r="I520" s="9" t="str">
        <f t="shared" si="34"/>
        <v>Above limit</v>
      </c>
      <c r="J520" s="9" t="str">
        <f t="shared" si="35"/>
        <v>Standard</v>
      </c>
    </row>
    <row r="521" spans="1:10" x14ac:dyDescent="0.3">
      <c r="A521" s="10">
        <f>'2_Clean_Data'!A518</f>
        <v>517</v>
      </c>
      <c r="B521" s="10">
        <f>INDEX('2_Clean_Data'!$M$2:$M$1360,MATCH($A521,'2_Clean_Data'!$A$2:$A$1360,0))</f>
        <v>5</v>
      </c>
      <c r="C521" s="9" t="str">
        <f t="shared" si="32"/>
        <v>Average</v>
      </c>
      <c r="D521" s="11">
        <f>INDEX('2_Clean_Data'!$L$2:$L$1360,MATCH($A521,'2_Clean_Data'!$A$2:$A$1360,0))</f>
        <v>9.3000000000000007</v>
      </c>
      <c r="E521" s="9" t="str">
        <f>IF(D521&lt;'3_Summary_Tables'!$C$16,"Low",IF(D521&lt;'3_Summary_Tables'!$C$17,"Medium","High"))</f>
        <v>Low</v>
      </c>
      <c r="F521" s="12">
        <f>INDEX('2_Clean_Data'!$C$2:$C$1360,MATCH($A521,'2_Clean_Data'!$A$2:$A$1360,0))</f>
        <v>0.59499999999999997</v>
      </c>
      <c r="G521" s="10">
        <f>INDEX('2_Clean_Data'!$H$2:$H$1360,MATCH($A521,'2_Clean_Data'!$A$2:$A$1360,0))</f>
        <v>109</v>
      </c>
      <c r="H521" s="9" t="str">
        <f t="shared" si="33"/>
        <v>High</v>
      </c>
      <c r="I521" s="9" t="str">
        <f t="shared" si="34"/>
        <v>OK</v>
      </c>
      <c r="J521" s="9" t="str">
        <f t="shared" si="35"/>
        <v>Standard</v>
      </c>
    </row>
    <row r="522" spans="1:10" x14ac:dyDescent="0.3">
      <c r="A522" s="10">
        <f>'2_Clean_Data'!A519</f>
        <v>518</v>
      </c>
      <c r="B522" s="10">
        <f>INDEX('2_Clean_Data'!$M$2:$M$1360,MATCH($A522,'2_Clean_Data'!$A$2:$A$1360,0))</f>
        <v>6</v>
      </c>
      <c r="C522" s="9" t="str">
        <f t="shared" si="32"/>
        <v>Above Average</v>
      </c>
      <c r="D522" s="11">
        <f>INDEX('2_Clean_Data'!$L$2:$L$1360,MATCH($A522,'2_Clean_Data'!$A$2:$A$1360,0))</f>
        <v>9.3000000000000007</v>
      </c>
      <c r="E522" s="9" t="str">
        <f>IF(D522&lt;'3_Summary_Tables'!$C$16,"Low",IF(D522&lt;'3_Summary_Tables'!$C$17,"Medium","High"))</f>
        <v>Low</v>
      </c>
      <c r="F522" s="12">
        <f>INDEX('2_Clean_Data'!$C$2:$C$1360,MATCH($A522,'2_Clean_Data'!$A$2:$A$1360,0))</f>
        <v>0.4</v>
      </c>
      <c r="G522" s="10">
        <f>INDEX('2_Clean_Data'!$H$2:$H$1360,MATCH($A522,'2_Clean_Data'!$A$2:$A$1360,0))</f>
        <v>24</v>
      </c>
      <c r="H522" s="9" t="str">
        <f t="shared" si="33"/>
        <v>Low</v>
      </c>
      <c r="I522" s="9" t="str">
        <f t="shared" si="34"/>
        <v>OK</v>
      </c>
      <c r="J522" s="9" t="str">
        <f t="shared" si="35"/>
        <v>Solid</v>
      </c>
    </row>
    <row r="523" spans="1:10" x14ac:dyDescent="0.3">
      <c r="A523" s="10">
        <f>'2_Clean_Data'!A520</f>
        <v>519</v>
      </c>
      <c r="B523" s="10">
        <f>INDEX('2_Clean_Data'!$M$2:$M$1360,MATCH($A523,'2_Clean_Data'!$A$2:$A$1360,0))</f>
        <v>6</v>
      </c>
      <c r="C523" s="9" t="str">
        <f t="shared" si="32"/>
        <v>Above Average</v>
      </c>
      <c r="D523" s="11">
        <f>INDEX('2_Clean_Data'!$L$2:$L$1360,MATCH($A523,'2_Clean_Data'!$A$2:$A$1360,0))</f>
        <v>10</v>
      </c>
      <c r="E523" s="9" t="str">
        <f>IF(D523&lt;'3_Summary_Tables'!$C$16,"Low",IF(D523&lt;'3_Summary_Tables'!$C$17,"Medium","High"))</f>
        <v>Medium</v>
      </c>
      <c r="F523" s="12">
        <f>INDEX('2_Clean_Data'!$C$2:$C$1360,MATCH($A523,'2_Clean_Data'!$A$2:$A$1360,0))</f>
        <v>0.57999999999999996</v>
      </c>
      <c r="G523" s="10">
        <f>INDEX('2_Clean_Data'!$H$2:$H$1360,MATCH($A523,'2_Clean_Data'!$A$2:$A$1360,0))</f>
        <v>18</v>
      </c>
      <c r="H523" s="9" t="str">
        <f t="shared" si="33"/>
        <v>Low</v>
      </c>
      <c r="I523" s="9" t="str">
        <f t="shared" si="34"/>
        <v>OK</v>
      </c>
      <c r="J523" s="9" t="str">
        <f t="shared" si="35"/>
        <v>Solid</v>
      </c>
    </row>
    <row r="524" spans="1:10" x14ac:dyDescent="0.3">
      <c r="A524" s="10">
        <f>'2_Clean_Data'!A521</f>
        <v>520</v>
      </c>
      <c r="B524" s="10">
        <f>INDEX('2_Clean_Data'!$M$2:$M$1360,MATCH($A524,'2_Clean_Data'!$A$2:$A$1360,0))</f>
        <v>6</v>
      </c>
      <c r="C524" s="9" t="str">
        <f t="shared" si="32"/>
        <v>Above Average</v>
      </c>
      <c r="D524" s="11">
        <f>INDEX('2_Clean_Data'!$L$2:$L$1360,MATCH($A524,'2_Clean_Data'!$A$2:$A$1360,0))</f>
        <v>9.8000000000000007</v>
      </c>
      <c r="E524" s="9" t="str">
        <f>IF(D524&lt;'3_Summary_Tables'!$C$16,"Low",IF(D524&lt;'3_Summary_Tables'!$C$17,"Medium","High"))</f>
        <v>Low</v>
      </c>
      <c r="F524" s="12">
        <f>INDEX('2_Clean_Data'!$C$2:$C$1360,MATCH($A524,'2_Clean_Data'!$A$2:$A$1360,0))</f>
        <v>0.58499999999999996</v>
      </c>
      <c r="G524" s="10">
        <f>INDEX('2_Clean_Data'!$H$2:$H$1360,MATCH($A524,'2_Clean_Data'!$A$2:$A$1360,0))</f>
        <v>30</v>
      </c>
      <c r="H524" s="9" t="str">
        <f t="shared" si="33"/>
        <v>Low</v>
      </c>
      <c r="I524" s="9" t="str">
        <f t="shared" si="34"/>
        <v>OK</v>
      </c>
      <c r="J524" s="9" t="str">
        <f t="shared" si="35"/>
        <v>Solid</v>
      </c>
    </row>
    <row r="525" spans="1:10" x14ac:dyDescent="0.3">
      <c r="A525" s="10">
        <f>'2_Clean_Data'!A522</f>
        <v>521</v>
      </c>
      <c r="B525" s="10">
        <f>INDEX('2_Clean_Data'!$M$2:$M$1360,MATCH($A525,'2_Clean_Data'!$A$2:$A$1360,0))</f>
        <v>6</v>
      </c>
      <c r="C525" s="9" t="str">
        <f t="shared" si="32"/>
        <v>Above Average</v>
      </c>
      <c r="D525" s="11">
        <f>INDEX('2_Clean_Data'!$L$2:$L$1360,MATCH($A525,'2_Clean_Data'!$A$2:$A$1360,0))</f>
        <v>9.3000000000000007</v>
      </c>
      <c r="E525" s="9" t="str">
        <f>IF(D525&lt;'3_Summary_Tables'!$C$16,"Low",IF(D525&lt;'3_Summary_Tables'!$C$17,"Medium","High"))</f>
        <v>Low</v>
      </c>
      <c r="F525" s="12">
        <f>INDEX('2_Clean_Data'!$C$2:$C$1360,MATCH($A525,'2_Clean_Data'!$A$2:$A$1360,0))</f>
        <v>0.59</v>
      </c>
      <c r="G525" s="10">
        <f>INDEX('2_Clean_Data'!$H$2:$H$1360,MATCH($A525,'2_Clean_Data'!$A$2:$A$1360,0))</f>
        <v>22</v>
      </c>
      <c r="H525" s="9" t="str">
        <f t="shared" si="33"/>
        <v>Low</v>
      </c>
      <c r="I525" s="9" t="str">
        <f t="shared" si="34"/>
        <v>OK</v>
      </c>
      <c r="J525" s="9" t="str">
        <f t="shared" si="35"/>
        <v>Solid</v>
      </c>
    </row>
    <row r="526" spans="1:10" x14ac:dyDescent="0.3">
      <c r="A526" s="10">
        <f>'2_Clean_Data'!A523</f>
        <v>522</v>
      </c>
      <c r="B526" s="10">
        <f>INDEX('2_Clean_Data'!$M$2:$M$1360,MATCH($A526,'2_Clean_Data'!$A$2:$A$1360,0))</f>
        <v>4</v>
      </c>
      <c r="C526" s="9" t="str">
        <f t="shared" si="32"/>
        <v>Poor</v>
      </c>
      <c r="D526" s="11">
        <f>INDEX('2_Clean_Data'!$L$2:$L$1360,MATCH($A526,'2_Clean_Data'!$A$2:$A$1360,0))</f>
        <v>10</v>
      </c>
      <c r="E526" s="9" t="str">
        <f>IF(D526&lt;'3_Summary_Tables'!$C$16,"Low",IF(D526&lt;'3_Summary_Tables'!$C$17,"Medium","High"))</f>
        <v>Medium</v>
      </c>
      <c r="F526" s="12">
        <f>INDEX('2_Clean_Data'!$C$2:$C$1360,MATCH($A526,'2_Clean_Data'!$A$2:$A$1360,0))</f>
        <v>0.91500000000000004</v>
      </c>
      <c r="G526" s="10">
        <f>INDEX('2_Clean_Data'!$H$2:$H$1360,MATCH($A526,'2_Clean_Data'!$A$2:$A$1360,0))</f>
        <v>23</v>
      </c>
      <c r="H526" s="9" t="str">
        <f t="shared" si="33"/>
        <v>Low</v>
      </c>
      <c r="I526" s="9" t="str">
        <f t="shared" si="34"/>
        <v>Above limit</v>
      </c>
      <c r="J526" s="9" t="str">
        <f t="shared" si="35"/>
        <v>Poor</v>
      </c>
    </row>
    <row r="527" spans="1:10" x14ac:dyDescent="0.3">
      <c r="A527" s="10">
        <f>'2_Clean_Data'!A524</f>
        <v>523</v>
      </c>
      <c r="B527" s="10">
        <f>INDEX('2_Clean_Data'!$M$2:$M$1360,MATCH($A527,'2_Clean_Data'!$A$2:$A$1360,0))</f>
        <v>6</v>
      </c>
      <c r="C527" s="9" t="str">
        <f t="shared" si="32"/>
        <v>Above Average</v>
      </c>
      <c r="D527" s="11">
        <f>INDEX('2_Clean_Data'!$L$2:$L$1360,MATCH($A527,'2_Clean_Data'!$A$2:$A$1360,0))</f>
        <v>9</v>
      </c>
      <c r="E527" s="9" t="str">
        <f>IF(D527&lt;'3_Summary_Tables'!$C$16,"Low",IF(D527&lt;'3_Summary_Tables'!$C$17,"Medium","High"))</f>
        <v>Low</v>
      </c>
      <c r="F527" s="12">
        <f>INDEX('2_Clean_Data'!$C$2:$C$1360,MATCH($A527,'2_Clean_Data'!$A$2:$A$1360,0))</f>
        <v>0.46</v>
      </c>
      <c r="G527" s="10">
        <f>INDEX('2_Clean_Data'!$H$2:$H$1360,MATCH($A527,'2_Clean_Data'!$A$2:$A$1360,0))</f>
        <v>35</v>
      </c>
      <c r="H527" s="9" t="str">
        <f t="shared" si="33"/>
        <v>Low</v>
      </c>
      <c r="I527" s="9" t="str">
        <f t="shared" si="34"/>
        <v>OK</v>
      </c>
      <c r="J527" s="9" t="str">
        <f t="shared" si="35"/>
        <v>Solid</v>
      </c>
    </row>
    <row r="528" spans="1:10" x14ac:dyDescent="0.3">
      <c r="A528" s="10">
        <f>'2_Clean_Data'!A525</f>
        <v>524</v>
      </c>
      <c r="B528" s="10">
        <f>INDEX('2_Clean_Data'!$M$2:$M$1360,MATCH($A528,'2_Clean_Data'!$A$2:$A$1360,0))</f>
        <v>5</v>
      </c>
      <c r="C528" s="9" t="str">
        <f t="shared" si="32"/>
        <v>Average</v>
      </c>
      <c r="D528" s="11">
        <f>INDEX('2_Clean_Data'!$L$2:$L$1360,MATCH($A528,'2_Clean_Data'!$A$2:$A$1360,0))</f>
        <v>9.3000000000000007</v>
      </c>
      <c r="E528" s="9" t="str">
        <f>IF(D528&lt;'3_Summary_Tables'!$C$16,"Low",IF(D528&lt;'3_Summary_Tables'!$C$17,"Medium","High"))</f>
        <v>Low</v>
      </c>
      <c r="F528" s="12">
        <f>INDEX('2_Clean_Data'!$C$2:$C$1360,MATCH($A528,'2_Clean_Data'!$A$2:$A$1360,0))</f>
        <v>0.83499999999999996</v>
      </c>
      <c r="G528" s="10">
        <f>INDEX('2_Clean_Data'!$H$2:$H$1360,MATCH($A528,'2_Clean_Data'!$A$2:$A$1360,0))</f>
        <v>14</v>
      </c>
      <c r="H528" s="9" t="str">
        <f t="shared" si="33"/>
        <v>Low</v>
      </c>
      <c r="I528" s="9" t="str">
        <f t="shared" si="34"/>
        <v>Above limit</v>
      </c>
      <c r="J528" s="9" t="str">
        <f t="shared" si="35"/>
        <v>Standard</v>
      </c>
    </row>
    <row r="529" spans="1:10" x14ac:dyDescent="0.3">
      <c r="A529" s="10">
        <f>'2_Clean_Data'!A526</f>
        <v>525</v>
      </c>
      <c r="B529" s="10">
        <f>INDEX('2_Clean_Data'!$M$2:$M$1360,MATCH($A529,'2_Clean_Data'!$A$2:$A$1360,0))</f>
        <v>6</v>
      </c>
      <c r="C529" s="9" t="str">
        <f t="shared" si="32"/>
        <v>Above Average</v>
      </c>
      <c r="D529" s="11">
        <f>INDEX('2_Clean_Data'!$L$2:$L$1360,MATCH($A529,'2_Clean_Data'!$A$2:$A$1360,0))</f>
        <v>9.1</v>
      </c>
      <c r="E529" s="9" t="str">
        <f>IF(D529&lt;'3_Summary_Tables'!$C$16,"Low",IF(D529&lt;'3_Summary_Tables'!$C$17,"Medium","High"))</f>
        <v>Low</v>
      </c>
      <c r="F529" s="12">
        <f>INDEX('2_Clean_Data'!$C$2:$C$1360,MATCH($A529,'2_Clean_Data'!$A$2:$A$1360,0))</f>
        <v>0.57999999999999996</v>
      </c>
      <c r="G529" s="10">
        <f>INDEX('2_Clean_Data'!$H$2:$H$1360,MATCH($A529,'2_Clean_Data'!$A$2:$A$1360,0))</f>
        <v>63</v>
      </c>
      <c r="H529" s="9" t="str">
        <f t="shared" si="33"/>
        <v>Moderate</v>
      </c>
      <c r="I529" s="9" t="str">
        <f t="shared" si="34"/>
        <v>OK</v>
      </c>
      <c r="J529" s="9" t="str">
        <f t="shared" si="35"/>
        <v>Solid</v>
      </c>
    </row>
    <row r="530" spans="1:10" x14ac:dyDescent="0.3">
      <c r="A530" s="10">
        <f>'2_Clean_Data'!A527</f>
        <v>526</v>
      </c>
      <c r="B530" s="10">
        <f>INDEX('2_Clean_Data'!$M$2:$M$1360,MATCH($A530,'2_Clean_Data'!$A$2:$A$1360,0))</f>
        <v>6</v>
      </c>
      <c r="C530" s="9" t="str">
        <f t="shared" si="32"/>
        <v>Above Average</v>
      </c>
      <c r="D530" s="11">
        <f>INDEX('2_Clean_Data'!$L$2:$L$1360,MATCH($A530,'2_Clean_Data'!$A$2:$A$1360,0))</f>
        <v>9.1999999999999993</v>
      </c>
      <c r="E530" s="9" t="str">
        <f>IF(D530&lt;'3_Summary_Tables'!$C$16,"Low",IF(D530&lt;'3_Summary_Tables'!$C$17,"Medium","High"))</f>
        <v>Low</v>
      </c>
      <c r="F530" s="12">
        <f>INDEX('2_Clean_Data'!$C$2:$C$1360,MATCH($A530,'2_Clean_Data'!$A$2:$A$1360,0))</f>
        <v>0.6</v>
      </c>
      <c r="G530" s="10">
        <f>INDEX('2_Clean_Data'!$H$2:$H$1360,MATCH($A530,'2_Clean_Data'!$A$2:$A$1360,0))</f>
        <v>24</v>
      </c>
      <c r="H530" s="9" t="str">
        <f t="shared" si="33"/>
        <v>Low</v>
      </c>
      <c r="I530" s="9" t="str">
        <f t="shared" si="34"/>
        <v>OK</v>
      </c>
      <c r="J530" s="9" t="str">
        <f t="shared" si="35"/>
        <v>Solid</v>
      </c>
    </row>
    <row r="531" spans="1:10" x14ac:dyDescent="0.3">
      <c r="A531" s="10">
        <f>'2_Clean_Data'!A528</f>
        <v>527</v>
      </c>
      <c r="B531" s="10">
        <f>INDEX('2_Clean_Data'!$M$2:$M$1360,MATCH($A531,'2_Clean_Data'!$A$2:$A$1360,0))</f>
        <v>7</v>
      </c>
      <c r="C531" s="9" t="str">
        <f t="shared" si="32"/>
        <v>Good</v>
      </c>
      <c r="D531" s="11">
        <f>INDEX('2_Clean_Data'!$L$2:$L$1360,MATCH($A531,'2_Clean_Data'!$A$2:$A$1360,0))</f>
        <v>12.2</v>
      </c>
      <c r="E531" s="9" t="str">
        <f>IF(D531&lt;'3_Summary_Tables'!$C$16,"Low",IF(D531&lt;'3_Summary_Tables'!$C$17,"Medium","High"))</f>
        <v>High</v>
      </c>
      <c r="F531" s="12">
        <f>INDEX('2_Clean_Data'!$C$2:$C$1360,MATCH($A531,'2_Clean_Data'!$A$2:$A$1360,0))</f>
        <v>0.41</v>
      </c>
      <c r="G531" s="10">
        <f>INDEX('2_Clean_Data'!$H$2:$H$1360,MATCH($A531,'2_Clean_Data'!$A$2:$A$1360,0))</f>
        <v>20</v>
      </c>
      <c r="H531" s="9" t="str">
        <f t="shared" si="33"/>
        <v>Low</v>
      </c>
      <c r="I531" s="9" t="str">
        <f t="shared" si="34"/>
        <v>OK</v>
      </c>
      <c r="J531" s="9" t="str">
        <f t="shared" si="35"/>
        <v>Premium</v>
      </c>
    </row>
    <row r="532" spans="1:10" x14ac:dyDescent="0.3">
      <c r="A532" s="10">
        <f>'2_Clean_Data'!A529</f>
        <v>528</v>
      </c>
      <c r="B532" s="10">
        <f>INDEX('2_Clean_Data'!$M$2:$M$1360,MATCH($A532,'2_Clean_Data'!$A$2:$A$1360,0))</f>
        <v>6</v>
      </c>
      <c r="C532" s="9" t="str">
        <f t="shared" si="32"/>
        <v>Above Average</v>
      </c>
      <c r="D532" s="11">
        <f>INDEX('2_Clean_Data'!$L$2:$L$1360,MATCH($A532,'2_Clean_Data'!$A$2:$A$1360,0))</f>
        <v>10.5</v>
      </c>
      <c r="E532" s="9" t="str">
        <f>IF(D532&lt;'3_Summary_Tables'!$C$16,"Low",IF(D532&lt;'3_Summary_Tables'!$C$17,"Medium","High"))</f>
        <v>Medium</v>
      </c>
      <c r="F532" s="12">
        <f>INDEX('2_Clean_Data'!$C$2:$C$1360,MATCH($A532,'2_Clean_Data'!$A$2:$A$1360,0))</f>
        <v>0.48</v>
      </c>
      <c r="G532" s="10">
        <f>INDEX('2_Clean_Data'!$H$2:$H$1360,MATCH($A532,'2_Clean_Data'!$A$2:$A$1360,0))</f>
        <v>52</v>
      </c>
      <c r="H532" s="9" t="str">
        <f t="shared" si="33"/>
        <v>Moderate</v>
      </c>
      <c r="I532" s="9" t="str">
        <f t="shared" si="34"/>
        <v>OK</v>
      </c>
      <c r="J532" s="9" t="str">
        <f t="shared" si="35"/>
        <v>Solid</v>
      </c>
    </row>
    <row r="533" spans="1:10" x14ac:dyDescent="0.3">
      <c r="A533" s="10">
        <f>'2_Clean_Data'!A530</f>
        <v>529</v>
      </c>
      <c r="B533" s="10">
        <f>INDEX('2_Clean_Data'!$M$2:$M$1360,MATCH($A533,'2_Clean_Data'!$A$2:$A$1360,0))</f>
        <v>6</v>
      </c>
      <c r="C533" s="9" t="str">
        <f t="shared" si="32"/>
        <v>Above Average</v>
      </c>
      <c r="D533" s="11">
        <f>INDEX('2_Clean_Data'!$L$2:$L$1360,MATCH($A533,'2_Clean_Data'!$A$2:$A$1360,0))</f>
        <v>10.4</v>
      </c>
      <c r="E533" s="9" t="str">
        <f>IF(D533&lt;'3_Summary_Tables'!$C$16,"Low",IF(D533&lt;'3_Summary_Tables'!$C$17,"Medium","High"))</f>
        <v>Medium</v>
      </c>
      <c r="F533" s="12">
        <f>INDEX('2_Clean_Data'!$C$2:$C$1360,MATCH($A533,'2_Clean_Data'!$A$2:$A$1360,0))</f>
        <v>0.65</v>
      </c>
      <c r="G533" s="10">
        <f>INDEX('2_Clean_Data'!$H$2:$H$1360,MATCH($A533,'2_Clean_Data'!$A$2:$A$1360,0))</f>
        <v>65</v>
      </c>
      <c r="H533" s="9" t="str">
        <f t="shared" si="33"/>
        <v>Moderate</v>
      </c>
      <c r="I533" s="9" t="str">
        <f t="shared" si="34"/>
        <v>OK</v>
      </c>
      <c r="J533" s="9" t="str">
        <f t="shared" si="35"/>
        <v>Solid</v>
      </c>
    </row>
    <row r="534" spans="1:10" x14ac:dyDescent="0.3">
      <c r="A534" s="10">
        <f>'2_Clean_Data'!A531</f>
        <v>530</v>
      </c>
      <c r="B534" s="10">
        <f>INDEX('2_Clean_Data'!$M$2:$M$1360,MATCH($A534,'2_Clean_Data'!$A$2:$A$1360,0))</f>
        <v>6</v>
      </c>
      <c r="C534" s="9" t="str">
        <f t="shared" si="32"/>
        <v>Above Average</v>
      </c>
      <c r="D534" s="11">
        <f>INDEX('2_Clean_Data'!$L$2:$L$1360,MATCH($A534,'2_Clean_Data'!$A$2:$A$1360,0))</f>
        <v>12.7</v>
      </c>
      <c r="E534" s="9" t="str">
        <f>IF(D534&lt;'3_Summary_Tables'!$C$16,"Low",IF(D534&lt;'3_Summary_Tables'!$C$17,"Medium","High"))</f>
        <v>High</v>
      </c>
      <c r="F534" s="12">
        <f>INDEX('2_Clean_Data'!$C$2:$C$1360,MATCH($A534,'2_Clean_Data'!$A$2:$A$1360,0))</f>
        <v>0.36</v>
      </c>
      <c r="G534" s="10">
        <f>INDEX('2_Clean_Data'!$H$2:$H$1360,MATCH($A534,'2_Clean_Data'!$A$2:$A$1360,0))</f>
        <v>39</v>
      </c>
      <c r="H534" s="9" t="str">
        <f t="shared" si="33"/>
        <v>Low</v>
      </c>
      <c r="I534" s="9" t="str">
        <f t="shared" si="34"/>
        <v>OK</v>
      </c>
      <c r="J534" s="9" t="str">
        <f t="shared" si="35"/>
        <v>Solid</v>
      </c>
    </row>
    <row r="535" spans="1:10" x14ac:dyDescent="0.3">
      <c r="A535" s="10">
        <f>'2_Clean_Data'!A532</f>
        <v>531</v>
      </c>
      <c r="B535" s="10">
        <f>INDEX('2_Clean_Data'!$M$2:$M$1360,MATCH($A535,'2_Clean_Data'!$A$2:$A$1360,0))</f>
        <v>5</v>
      </c>
      <c r="C535" s="9" t="str">
        <f t="shared" si="32"/>
        <v>Average</v>
      </c>
      <c r="D535" s="11">
        <f>INDEX('2_Clean_Data'!$L$2:$L$1360,MATCH($A535,'2_Clean_Data'!$A$2:$A$1360,0))</f>
        <v>9.1999999999999993</v>
      </c>
      <c r="E535" s="9" t="str">
        <f>IF(D535&lt;'3_Summary_Tables'!$C$16,"Low",IF(D535&lt;'3_Summary_Tables'!$C$17,"Medium","High"))</f>
        <v>Low</v>
      </c>
      <c r="F535" s="12">
        <f>INDEX('2_Clean_Data'!$C$2:$C$1360,MATCH($A535,'2_Clean_Data'!$A$2:$A$1360,0))</f>
        <v>0.24</v>
      </c>
      <c r="G535" s="10">
        <f>INDEX('2_Clean_Data'!$H$2:$H$1360,MATCH($A535,'2_Clean_Data'!$A$2:$A$1360,0))</f>
        <v>57</v>
      </c>
      <c r="H535" s="9" t="str">
        <f t="shared" si="33"/>
        <v>Moderate</v>
      </c>
      <c r="I535" s="9" t="str">
        <f t="shared" si="34"/>
        <v>OK</v>
      </c>
      <c r="J535" s="9" t="str">
        <f t="shared" si="35"/>
        <v>Standard</v>
      </c>
    </row>
    <row r="536" spans="1:10" x14ac:dyDescent="0.3">
      <c r="A536" s="10">
        <f>'2_Clean_Data'!A533</f>
        <v>532</v>
      </c>
      <c r="B536" s="10">
        <f>INDEX('2_Clean_Data'!$M$2:$M$1360,MATCH($A536,'2_Clean_Data'!$A$2:$A$1360,0))</f>
        <v>5</v>
      </c>
      <c r="C536" s="9" t="str">
        <f t="shared" si="32"/>
        <v>Average</v>
      </c>
      <c r="D536" s="11">
        <f>INDEX('2_Clean_Data'!$L$2:$L$1360,MATCH($A536,'2_Clean_Data'!$A$2:$A$1360,0))</f>
        <v>9.4</v>
      </c>
      <c r="E536" s="9" t="str">
        <f>IF(D536&lt;'3_Summary_Tables'!$C$16,"Low",IF(D536&lt;'3_Summary_Tables'!$C$17,"Medium","High"))</f>
        <v>Low</v>
      </c>
      <c r="F536" s="12">
        <f>INDEX('2_Clean_Data'!$C$2:$C$1360,MATCH($A536,'2_Clean_Data'!$A$2:$A$1360,0))</f>
        <v>0.38</v>
      </c>
      <c r="G536" s="10">
        <f>INDEX('2_Clean_Data'!$H$2:$H$1360,MATCH($A536,'2_Clean_Data'!$A$2:$A$1360,0))</f>
        <v>16</v>
      </c>
      <c r="H536" s="9" t="str">
        <f t="shared" si="33"/>
        <v>Low</v>
      </c>
      <c r="I536" s="9" t="str">
        <f t="shared" si="34"/>
        <v>OK</v>
      </c>
      <c r="J536" s="9" t="str">
        <f t="shared" si="35"/>
        <v>Standard</v>
      </c>
    </row>
    <row r="537" spans="1:10" x14ac:dyDescent="0.3">
      <c r="A537" s="10">
        <f>'2_Clean_Data'!A534</f>
        <v>533</v>
      </c>
      <c r="B537" s="10">
        <f>INDEX('2_Clean_Data'!$M$2:$M$1360,MATCH($A537,'2_Clean_Data'!$A$2:$A$1360,0))</f>
        <v>6</v>
      </c>
      <c r="C537" s="9" t="str">
        <f t="shared" si="32"/>
        <v>Above Average</v>
      </c>
      <c r="D537" s="11">
        <f>INDEX('2_Clean_Data'!$L$2:$L$1360,MATCH($A537,'2_Clean_Data'!$A$2:$A$1360,0))</f>
        <v>10</v>
      </c>
      <c r="E537" s="9" t="str">
        <f>IF(D537&lt;'3_Summary_Tables'!$C$16,"Low",IF(D537&lt;'3_Summary_Tables'!$C$17,"Medium","High"))</f>
        <v>Medium</v>
      </c>
      <c r="F537" s="12">
        <f>INDEX('2_Clean_Data'!$C$2:$C$1360,MATCH($A537,'2_Clean_Data'!$A$2:$A$1360,0))</f>
        <v>0.64</v>
      </c>
      <c r="G537" s="10">
        <f>INDEX('2_Clean_Data'!$H$2:$H$1360,MATCH($A537,'2_Clean_Data'!$A$2:$A$1360,0))</f>
        <v>29</v>
      </c>
      <c r="H537" s="9" t="str">
        <f t="shared" si="33"/>
        <v>Low</v>
      </c>
      <c r="I537" s="9" t="str">
        <f t="shared" si="34"/>
        <v>OK</v>
      </c>
      <c r="J537" s="9" t="str">
        <f t="shared" si="35"/>
        <v>Solid</v>
      </c>
    </row>
    <row r="538" spans="1:10" x14ac:dyDescent="0.3">
      <c r="A538" s="10">
        <f>'2_Clean_Data'!A535</f>
        <v>534</v>
      </c>
      <c r="B538" s="10">
        <f>INDEX('2_Clean_Data'!$M$2:$M$1360,MATCH($A538,'2_Clean_Data'!$A$2:$A$1360,0))</f>
        <v>5</v>
      </c>
      <c r="C538" s="9" t="str">
        <f t="shared" si="32"/>
        <v>Average</v>
      </c>
      <c r="D538" s="11">
        <f>INDEX('2_Clean_Data'!$L$2:$L$1360,MATCH($A538,'2_Clean_Data'!$A$2:$A$1360,0))</f>
        <v>9.8000000000000007</v>
      </c>
      <c r="E538" s="9" t="str">
        <f>IF(D538&lt;'3_Summary_Tables'!$C$16,"Low",IF(D538&lt;'3_Summary_Tables'!$C$17,"Medium","High"))</f>
        <v>Low</v>
      </c>
      <c r="F538" s="12">
        <f>INDEX('2_Clean_Data'!$C$2:$C$1360,MATCH($A538,'2_Clean_Data'!$A$2:$A$1360,0))</f>
        <v>0.39</v>
      </c>
      <c r="G538" s="10">
        <f>INDEX('2_Clean_Data'!$H$2:$H$1360,MATCH($A538,'2_Clean_Data'!$A$2:$A$1360,0))</f>
        <v>29</v>
      </c>
      <c r="H538" s="9" t="str">
        <f t="shared" si="33"/>
        <v>Low</v>
      </c>
      <c r="I538" s="9" t="str">
        <f t="shared" si="34"/>
        <v>OK</v>
      </c>
      <c r="J538" s="9" t="str">
        <f t="shared" si="35"/>
        <v>Standard</v>
      </c>
    </row>
    <row r="539" spans="1:10" x14ac:dyDescent="0.3">
      <c r="A539" s="10">
        <f>'2_Clean_Data'!A536</f>
        <v>535</v>
      </c>
      <c r="B539" s="10">
        <f>INDEX('2_Clean_Data'!$M$2:$M$1360,MATCH($A539,'2_Clean_Data'!$A$2:$A$1360,0))</f>
        <v>6</v>
      </c>
      <c r="C539" s="9" t="str">
        <f t="shared" si="32"/>
        <v>Above Average</v>
      </c>
      <c r="D539" s="11">
        <f>INDEX('2_Clean_Data'!$L$2:$L$1360,MATCH($A539,'2_Clean_Data'!$A$2:$A$1360,0))</f>
        <v>10.199999999999999</v>
      </c>
      <c r="E539" s="9" t="str">
        <f>IF(D539&lt;'3_Summary_Tables'!$C$16,"Low",IF(D539&lt;'3_Summary_Tables'!$C$17,"Medium","High"))</f>
        <v>Medium</v>
      </c>
      <c r="F539" s="12">
        <f>INDEX('2_Clean_Data'!$C$2:$C$1360,MATCH($A539,'2_Clean_Data'!$A$2:$A$1360,0))</f>
        <v>0.755</v>
      </c>
      <c r="G539" s="10">
        <f>INDEX('2_Clean_Data'!$H$2:$H$1360,MATCH($A539,'2_Clean_Data'!$A$2:$A$1360,0))</f>
        <v>103</v>
      </c>
      <c r="H539" s="9" t="str">
        <f t="shared" si="33"/>
        <v>High</v>
      </c>
      <c r="I539" s="9" t="str">
        <f t="shared" si="34"/>
        <v>Above limit</v>
      </c>
      <c r="J539" s="9" t="str">
        <f t="shared" si="35"/>
        <v>Standard</v>
      </c>
    </row>
    <row r="540" spans="1:10" x14ac:dyDescent="0.3">
      <c r="A540" s="10">
        <f>'2_Clean_Data'!A537</f>
        <v>536</v>
      </c>
      <c r="B540" s="10">
        <f>INDEX('2_Clean_Data'!$M$2:$M$1360,MATCH($A540,'2_Clean_Data'!$A$2:$A$1360,0))</f>
        <v>5</v>
      </c>
      <c r="C540" s="9" t="str">
        <f t="shared" si="32"/>
        <v>Average</v>
      </c>
      <c r="D540" s="11">
        <f>INDEX('2_Clean_Data'!$L$2:$L$1360,MATCH($A540,'2_Clean_Data'!$A$2:$A$1360,0))</f>
        <v>9.6999999999999993</v>
      </c>
      <c r="E540" s="9" t="str">
        <f>IF(D540&lt;'3_Summary_Tables'!$C$16,"Low",IF(D540&lt;'3_Summary_Tables'!$C$17,"Medium","High"))</f>
        <v>Low</v>
      </c>
      <c r="F540" s="12">
        <f>INDEX('2_Clean_Data'!$C$2:$C$1360,MATCH($A540,'2_Clean_Data'!$A$2:$A$1360,0))</f>
        <v>0.6</v>
      </c>
      <c r="G540" s="10">
        <f>INDEX('2_Clean_Data'!$H$2:$H$1360,MATCH($A540,'2_Clean_Data'!$A$2:$A$1360,0))</f>
        <v>71</v>
      </c>
      <c r="H540" s="9" t="str">
        <f t="shared" si="33"/>
        <v>Moderate</v>
      </c>
      <c r="I540" s="9" t="str">
        <f t="shared" si="34"/>
        <v>OK</v>
      </c>
      <c r="J540" s="9" t="str">
        <f t="shared" si="35"/>
        <v>Standard</v>
      </c>
    </row>
    <row r="541" spans="1:10" x14ac:dyDescent="0.3">
      <c r="A541" s="10">
        <f>'2_Clean_Data'!A538</f>
        <v>537</v>
      </c>
      <c r="B541" s="10">
        <f>INDEX('2_Clean_Data'!$M$2:$M$1360,MATCH($A541,'2_Clean_Data'!$A$2:$A$1360,0))</f>
        <v>6</v>
      </c>
      <c r="C541" s="9" t="str">
        <f t="shared" si="32"/>
        <v>Above Average</v>
      </c>
      <c r="D541" s="11">
        <f>INDEX('2_Clean_Data'!$L$2:$L$1360,MATCH($A541,'2_Clean_Data'!$A$2:$A$1360,0))</f>
        <v>9.8000000000000007</v>
      </c>
      <c r="E541" s="9" t="str">
        <f>IF(D541&lt;'3_Summary_Tables'!$C$16,"Low",IF(D541&lt;'3_Summary_Tables'!$C$17,"Medium","High"))</f>
        <v>Low</v>
      </c>
      <c r="F541" s="12">
        <f>INDEX('2_Clean_Data'!$C$2:$C$1360,MATCH($A541,'2_Clean_Data'!$A$2:$A$1360,0))</f>
        <v>0.31</v>
      </c>
      <c r="G541" s="10">
        <f>INDEX('2_Clean_Data'!$H$2:$H$1360,MATCH($A541,'2_Clean_Data'!$A$2:$A$1360,0))</f>
        <v>28</v>
      </c>
      <c r="H541" s="9" t="str">
        <f t="shared" si="33"/>
        <v>Low</v>
      </c>
      <c r="I541" s="9" t="str">
        <f t="shared" si="34"/>
        <v>OK</v>
      </c>
      <c r="J541" s="9" t="str">
        <f t="shared" si="35"/>
        <v>Solid</v>
      </c>
    </row>
    <row r="542" spans="1:10" x14ac:dyDescent="0.3">
      <c r="A542" s="10">
        <f>'2_Clean_Data'!A539</f>
        <v>538</v>
      </c>
      <c r="B542" s="10">
        <f>INDEX('2_Clean_Data'!$M$2:$M$1360,MATCH($A542,'2_Clean_Data'!$A$2:$A$1360,0))</f>
        <v>5</v>
      </c>
      <c r="C542" s="9" t="str">
        <f t="shared" si="32"/>
        <v>Average</v>
      </c>
      <c r="D542" s="11">
        <f>INDEX('2_Clean_Data'!$L$2:$L$1360,MATCH($A542,'2_Clean_Data'!$A$2:$A$1360,0))</f>
        <v>10.199999999999999</v>
      </c>
      <c r="E542" s="9" t="str">
        <f>IF(D542&lt;'3_Summary_Tables'!$C$16,"Low",IF(D542&lt;'3_Summary_Tables'!$C$17,"Medium","High"))</f>
        <v>Medium</v>
      </c>
      <c r="F542" s="12">
        <f>INDEX('2_Clean_Data'!$C$2:$C$1360,MATCH($A542,'2_Clean_Data'!$A$2:$A$1360,0))</f>
        <v>0.46</v>
      </c>
      <c r="G542" s="10">
        <f>INDEX('2_Clean_Data'!$H$2:$H$1360,MATCH($A542,'2_Clean_Data'!$A$2:$A$1360,0))</f>
        <v>17</v>
      </c>
      <c r="H542" s="9" t="str">
        <f t="shared" si="33"/>
        <v>Low</v>
      </c>
      <c r="I542" s="9" t="str">
        <f t="shared" si="34"/>
        <v>OK</v>
      </c>
      <c r="J542" s="9" t="str">
        <f t="shared" si="35"/>
        <v>Standard</v>
      </c>
    </row>
    <row r="543" spans="1:10" x14ac:dyDescent="0.3">
      <c r="A543" s="10">
        <f>'2_Clean_Data'!A540</f>
        <v>539</v>
      </c>
      <c r="B543" s="10">
        <f>INDEX('2_Clean_Data'!$M$2:$M$1360,MATCH($A543,'2_Clean_Data'!$A$2:$A$1360,0))</f>
        <v>5</v>
      </c>
      <c r="C543" s="9" t="str">
        <f t="shared" si="32"/>
        <v>Average</v>
      </c>
      <c r="D543" s="11">
        <f>INDEX('2_Clean_Data'!$L$2:$L$1360,MATCH($A543,'2_Clean_Data'!$A$2:$A$1360,0))</f>
        <v>9.3000000000000007</v>
      </c>
      <c r="E543" s="9" t="str">
        <f>IF(D543&lt;'3_Summary_Tables'!$C$16,"Low",IF(D543&lt;'3_Summary_Tables'!$C$17,"Medium","High"))</f>
        <v>Low</v>
      </c>
      <c r="F543" s="12">
        <f>INDEX('2_Clean_Data'!$C$2:$C$1360,MATCH($A543,'2_Clean_Data'!$A$2:$A$1360,0))</f>
        <v>0.37</v>
      </c>
      <c r="G543" s="10">
        <f>INDEX('2_Clean_Data'!$H$2:$H$1360,MATCH($A543,'2_Clean_Data'!$A$2:$A$1360,0))</f>
        <v>16</v>
      </c>
      <c r="H543" s="9" t="str">
        <f t="shared" si="33"/>
        <v>Low</v>
      </c>
      <c r="I543" s="9" t="str">
        <f t="shared" si="34"/>
        <v>OK</v>
      </c>
      <c r="J543" s="9" t="str">
        <f t="shared" si="35"/>
        <v>Standard</v>
      </c>
    </row>
    <row r="544" spans="1:10" x14ac:dyDescent="0.3">
      <c r="A544" s="10">
        <f>'2_Clean_Data'!A541</f>
        <v>540</v>
      </c>
      <c r="B544" s="10">
        <f>INDEX('2_Clean_Data'!$M$2:$M$1360,MATCH($A544,'2_Clean_Data'!$A$2:$A$1360,0))</f>
        <v>5</v>
      </c>
      <c r="C544" s="9" t="str">
        <f t="shared" si="32"/>
        <v>Average</v>
      </c>
      <c r="D544" s="11">
        <f>INDEX('2_Clean_Data'!$L$2:$L$1360,MATCH($A544,'2_Clean_Data'!$A$2:$A$1360,0))</f>
        <v>9.4</v>
      </c>
      <c r="E544" s="9" t="str">
        <f>IF(D544&lt;'3_Summary_Tables'!$C$16,"Low",IF(D544&lt;'3_Summary_Tables'!$C$17,"Medium","High"))</f>
        <v>Low</v>
      </c>
      <c r="F544" s="12">
        <f>INDEX('2_Clean_Data'!$C$2:$C$1360,MATCH($A544,'2_Clean_Data'!$A$2:$A$1360,0))</f>
        <v>0.54</v>
      </c>
      <c r="G544" s="10">
        <f>INDEX('2_Clean_Data'!$H$2:$H$1360,MATCH($A544,'2_Clean_Data'!$A$2:$A$1360,0))</f>
        <v>112</v>
      </c>
      <c r="H544" s="9" t="str">
        <f t="shared" si="33"/>
        <v>High</v>
      </c>
      <c r="I544" s="9" t="str">
        <f t="shared" si="34"/>
        <v>OK</v>
      </c>
      <c r="J544" s="9" t="str">
        <f t="shared" si="35"/>
        <v>Standard</v>
      </c>
    </row>
    <row r="545" spans="1:10" x14ac:dyDescent="0.3">
      <c r="A545" s="10">
        <f>'2_Clean_Data'!A542</f>
        <v>541</v>
      </c>
      <c r="B545" s="10">
        <f>INDEX('2_Clean_Data'!$M$2:$M$1360,MATCH($A545,'2_Clean_Data'!$A$2:$A$1360,0))</f>
        <v>5</v>
      </c>
      <c r="C545" s="9" t="str">
        <f t="shared" si="32"/>
        <v>Average</v>
      </c>
      <c r="D545" s="11">
        <f>INDEX('2_Clean_Data'!$L$2:$L$1360,MATCH($A545,'2_Clean_Data'!$A$2:$A$1360,0))</f>
        <v>9.4</v>
      </c>
      <c r="E545" s="9" t="str">
        <f>IF(D545&lt;'3_Summary_Tables'!$C$16,"Low",IF(D545&lt;'3_Summary_Tables'!$C$17,"Medium","High"))</f>
        <v>Low</v>
      </c>
      <c r="F545" s="12">
        <f>INDEX('2_Clean_Data'!$C$2:$C$1360,MATCH($A545,'2_Clean_Data'!$A$2:$A$1360,0))</f>
        <v>0.56000000000000005</v>
      </c>
      <c r="G545" s="10">
        <f>INDEX('2_Clean_Data'!$H$2:$H$1360,MATCH($A545,'2_Clean_Data'!$A$2:$A$1360,0))</f>
        <v>104</v>
      </c>
      <c r="H545" s="9" t="str">
        <f t="shared" si="33"/>
        <v>High</v>
      </c>
      <c r="I545" s="9" t="str">
        <f t="shared" si="34"/>
        <v>OK</v>
      </c>
      <c r="J545" s="9" t="str">
        <f t="shared" si="35"/>
        <v>Standard</v>
      </c>
    </row>
    <row r="546" spans="1:10" x14ac:dyDescent="0.3">
      <c r="A546" s="10">
        <f>'2_Clean_Data'!A543</f>
        <v>542</v>
      </c>
      <c r="B546" s="10">
        <f>INDEX('2_Clean_Data'!$M$2:$M$1360,MATCH($A546,'2_Clean_Data'!$A$2:$A$1360,0))</f>
        <v>5</v>
      </c>
      <c r="C546" s="9" t="str">
        <f t="shared" si="32"/>
        <v>Average</v>
      </c>
      <c r="D546" s="11">
        <f>INDEX('2_Clean_Data'!$L$2:$L$1360,MATCH($A546,'2_Clean_Data'!$A$2:$A$1360,0))</f>
        <v>9.5</v>
      </c>
      <c r="E546" s="9" t="str">
        <f>IF(D546&lt;'3_Summary_Tables'!$C$16,"Low",IF(D546&lt;'3_Summary_Tables'!$C$17,"Medium","High"))</f>
        <v>Low</v>
      </c>
      <c r="F546" s="12">
        <f>INDEX('2_Clean_Data'!$C$2:$C$1360,MATCH($A546,'2_Clean_Data'!$A$2:$A$1360,0))</f>
        <v>0.57999999999999996</v>
      </c>
      <c r="G546" s="10">
        <f>INDEX('2_Clean_Data'!$H$2:$H$1360,MATCH($A546,'2_Clean_Data'!$A$2:$A$1360,0))</f>
        <v>32</v>
      </c>
      <c r="H546" s="9" t="str">
        <f t="shared" si="33"/>
        <v>Low</v>
      </c>
      <c r="I546" s="9" t="str">
        <f t="shared" si="34"/>
        <v>OK</v>
      </c>
      <c r="J546" s="9" t="str">
        <f t="shared" si="35"/>
        <v>Standard</v>
      </c>
    </row>
    <row r="547" spans="1:10" x14ac:dyDescent="0.3">
      <c r="A547" s="10">
        <f>'2_Clean_Data'!A544</f>
        <v>543</v>
      </c>
      <c r="B547" s="10">
        <f>INDEX('2_Clean_Data'!$M$2:$M$1360,MATCH($A547,'2_Clean_Data'!$A$2:$A$1360,0))</f>
        <v>6</v>
      </c>
      <c r="C547" s="9" t="str">
        <f t="shared" si="32"/>
        <v>Above Average</v>
      </c>
      <c r="D547" s="11">
        <f>INDEX('2_Clean_Data'!$L$2:$L$1360,MATCH($A547,'2_Clean_Data'!$A$2:$A$1360,0))</f>
        <v>12.1</v>
      </c>
      <c r="E547" s="9" t="str">
        <f>IF(D547&lt;'3_Summary_Tables'!$C$16,"Low",IF(D547&lt;'3_Summary_Tables'!$C$17,"Medium","High"))</f>
        <v>High</v>
      </c>
      <c r="F547" s="12">
        <f>INDEX('2_Clean_Data'!$C$2:$C$1360,MATCH($A547,'2_Clean_Data'!$A$2:$A$1360,0))</f>
        <v>0.51</v>
      </c>
      <c r="G547" s="10">
        <f>INDEX('2_Clean_Data'!$H$2:$H$1360,MATCH($A547,'2_Clean_Data'!$A$2:$A$1360,0))</f>
        <v>45</v>
      </c>
      <c r="H547" s="9" t="str">
        <f t="shared" si="33"/>
        <v>Low</v>
      </c>
      <c r="I547" s="9" t="str">
        <f t="shared" si="34"/>
        <v>OK</v>
      </c>
      <c r="J547" s="9" t="str">
        <f t="shared" si="35"/>
        <v>Solid</v>
      </c>
    </row>
    <row r="548" spans="1:10" x14ac:dyDescent="0.3">
      <c r="A548" s="10">
        <f>'2_Clean_Data'!A545</f>
        <v>544</v>
      </c>
      <c r="B548" s="10">
        <f>INDEX('2_Clean_Data'!$M$2:$M$1360,MATCH($A548,'2_Clean_Data'!$A$2:$A$1360,0))</f>
        <v>5</v>
      </c>
      <c r="C548" s="9" t="str">
        <f t="shared" si="32"/>
        <v>Average</v>
      </c>
      <c r="D548" s="11">
        <f>INDEX('2_Clean_Data'!$L$2:$L$1360,MATCH($A548,'2_Clean_Data'!$A$2:$A$1360,0))</f>
        <v>10.199999999999999</v>
      </c>
      <c r="E548" s="9" t="str">
        <f>IF(D548&lt;'3_Summary_Tables'!$C$16,"Low",IF(D548&lt;'3_Summary_Tables'!$C$17,"Medium","High"))</f>
        <v>Medium</v>
      </c>
      <c r="F548" s="12">
        <f>INDEX('2_Clean_Data'!$C$2:$C$1360,MATCH($A548,'2_Clean_Data'!$A$2:$A$1360,0))</f>
        <v>0.69</v>
      </c>
      <c r="G548" s="10">
        <f>INDEX('2_Clean_Data'!$H$2:$H$1360,MATCH($A548,'2_Clean_Data'!$A$2:$A$1360,0))</f>
        <v>58</v>
      </c>
      <c r="H548" s="9" t="str">
        <f t="shared" si="33"/>
        <v>Moderate</v>
      </c>
      <c r="I548" s="9" t="str">
        <f t="shared" si="34"/>
        <v>OK</v>
      </c>
      <c r="J548" s="9" t="str">
        <f t="shared" si="35"/>
        <v>Standard</v>
      </c>
    </row>
    <row r="549" spans="1:10" x14ac:dyDescent="0.3">
      <c r="A549" s="10">
        <f>'2_Clean_Data'!A546</f>
        <v>545</v>
      </c>
      <c r="B549" s="10">
        <f>INDEX('2_Clean_Data'!$M$2:$M$1360,MATCH($A549,'2_Clean_Data'!$A$2:$A$1360,0))</f>
        <v>5</v>
      </c>
      <c r="C549" s="9" t="str">
        <f t="shared" si="32"/>
        <v>Average</v>
      </c>
      <c r="D549" s="11">
        <f>INDEX('2_Clean_Data'!$L$2:$L$1360,MATCH($A549,'2_Clean_Data'!$A$2:$A$1360,0))</f>
        <v>9.1</v>
      </c>
      <c r="E549" s="9" t="str">
        <f>IF(D549&lt;'3_Summary_Tables'!$C$16,"Low",IF(D549&lt;'3_Summary_Tables'!$C$17,"Medium","High"))</f>
        <v>Low</v>
      </c>
      <c r="F549" s="12">
        <f>INDEX('2_Clean_Data'!$C$2:$C$1360,MATCH($A549,'2_Clean_Data'!$A$2:$A$1360,0))</f>
        <v>0.6</v>
      </c>
      <c r="G549" s="10">
        <f>INDEX('2_Clean_Data'!$H$2:$H$1360,MATCH($A549,'2_Clean_Data'!$A$2:$A$1360,0))</f>
        <v>15</v>
      </c>
      <c r="H549" s="9" t="str">
        <f t="shared" si="33"/>
        <v>Low</v>
      </c>
      <c r="I549" s="9" t="str">
        <f t="shared" si="34"/>
        <v>OK</v>
      </c>
      <c r="J549" s="9" t="str">
        <f t="shared" si="35"/>
        <v>Standard</v>
      </c>
    </row>
    <row r="550" spans="1:10" x14ac:dyDescent="0.3">
      <c r="A550" s="10">
        <f>'2_Clean_Data'!A547</f>
        <v>546</v>
      </c>
      <c r="B550" s="10">
        <f>INDEX('2_Clean_Data'!$M$2:$M$1360,MATCH($A550,'2_Clean_Data'!$A$2:$A$1360,0))</f>
        <v>6</v>
      </c>
      <c r="C550" s="9" t="str">
        <f t="shared" si="32"/>
        <v>Above Average</v>
      </c>
      <c r="D550" s="11">
        <f>INDEX('2_Clean_Data'!$L$2:$L$1360,MATCH($A550,'2_Clean_Data'!$A$2:$A$1360,0))</f>
        <v>9.3000000000000007</v>
      </c>
      <c r="E550" s="9" t="str">
        <f>IF(D550&lt;'3_Summary_Tables'!$C$16,"Low",IF(D550&lt;'3_Summary_Tables'!$C$17,"Medium","High"))</f>
        <v>Low</v>
      </c>
      <c r="F550" s="12">
        <f>INDEX('2_Clean_Data'!$C$2:$C$1360,MATCH($A550,'2_Clean_Data'!$A$2:$A$1360,0))</f>
        <v>0.54</v>
      </c>
      <c r="G550" s="10">
        <f>INDEX('2_Clean_Data'!$H$2:$H$1360,MATCH($A550,'2_Clean_Data'!$A$2:$A$1360,0))</f>
        <v>31</v>
      </c>
      <c r="H550" s="9" t="str">
        <f t="shared" si="33"/>
        <v>Low</v>
      </c>
      <c r="I550" s="9" t="str">
        <f t="shared" si="34"/>
        <v>OK</v>
      </c>
      <c r="J550" s="9" t="str">
        <f t="shared" si="35"/>
        <v>Solid</v>
      </c>
    </row>
    <row r="551" spans="1:10" x14ac:dyDescent="0.3">
      <c r="A551" s="10">
        <f>'2_Clean_Data'!A548</f>
        <v>547</v>
      </c>
      <c r="B551" s="10">
        <f>INDEX('2_Clean_Data'!$M$2:$M$1360,MATCH($A551,'2_Clean_Data'!$A$2:$A$1360,0))</f>
        <v>5</v>
      </c>
      <c r="C551" s="9" t="str">
        <f t="shared" si="32"/>
        <v>Average</v>
      </c>
      <c r="D551" s="11">
        <f>INDEX('2_Clean_Data'!$L$2:$L$1360,MATCH($A551,'2_Clean_Data'!$A$2:$A$1360,0))</f>
        <v>9.3000000000000007</v>
      </c>
      <c r="E551" s="9" t="str">
        <f>IF(D551&lt;'3_Summary_Tables'!$C$16,"Low",IF(D551&lt;'3_Summary_Tables'!$C$17,"Medium","High"))</f>
        <v>Low</v>
      </c>
      <c r="F551" s="12">
        <f>INDEX('2_Clean_Data'!$C$2:$C$1360,MATCH($A551,'2_Clean_Data'!$A$2:$A$1360,0))</f>
        <v>0.68500000000000005</v>
      </c>
      <c r="G551" s="10">
        <f>INDEX('2_Clean_Data'!$H$2:$H$1360,MATCH($A551,'2_Clean_Data'!$A$2:$A$1360,0))</f>
        <v>84</v>
      </c>
      <c r="H551" s="9" t="str">
        <f t="shared" si="33"/>
        <v>Moderate</v>
      </c>
      <c r="I551" s="9" t="str">
        <f t="shared" si="34"/>
        <v>OK</v>
      </c>
      <c r="J551" s="9" t="str">
        <f t="shared" si="35"/>
        <v>Standard</v>
      </c>
    </row>
    <row r="552" spans="1:10" x14ac:dyDescent="0.3">
      <c r="A552" s="10">
        <f>'2_Clean_Data'!A549</f>
        <v>548</v>
      </c>
      <c r="B552" s="10">
        <f>INDEX('2_Clean_Data'!$M$2:$M$1360,MATCH($A552,'2_Clean_Data'!$A$2:$A$1360,0))</f>
        <v>5</v>
      </c>
      <c r="C552" s="9" t="str">
        <f t="shared" si="32"/>
        <v>Average</v>
      </c>
      <c r="D552" s="11">
        <f>INDEX('2_Clean_Data'!$L$2:$L$1360,MATCH($A552,'2_Clean_Data'!$A$2:$A$1360,0))</f>
        <v>9.5</v>
      </c>
      <c r="E552" s="9" t="str">
        <f>IF(D552&lt;'3_Summary_Tables'!$C$16,"Low",IF(D552&lt;'3_Summary_Tables'!$C$17,"Medium","High"))</f>
        <v>Low</v>
      </c>
      <c r="F552" s="12">
        <f>INDEX('2_Clean_Data'!$C$2:$C$1360,MATCH($A552,'2_Clean_Data'!$A$2:$A$1360,0))</f>
        <v>0.28000000000000003</v>
      </c>
      <c r="G552" s="10">
        <f>INDEX('2_Clean_Data'!$H$2:$H$1360,MATCH($A552,'2_Clean_Data'!$A$2:$A$1360,0))</f>
        <v>19</v>
      </c>
      <c r="H552" s="9" t="str">
        <f t="shared" si="33"/>
        <v>Low</v>
      </c>
      <c r="I552" s="9" t="str">
        <f t="shared" si="34"/>
        <v>OK</v>
      </c>
      <c r="J552" s="9" t="str">
        <f t="shared" si="35"/>
        <v>Standard</v>
      </c>
    </row>
    <row r="553" spans="1:10" x14ac:dyDescent="0.3">
      <c r="A553" s="10">
        <f>'2_Clean_Data'!A550</f>
        <v>549</v>
      </c>
      <c r="B553" s="10">
        <f>INDEX('2_Clean_Data'!$M$2:$M$1360,MATCH($A553,'2_Clean_Data'!$A$2:$A$1360,0))</f>
        <v>6</v>
      </c>
      <c r="C553" s="9" t="str">
        <f t="shared" si="32"/>
        <v>Above Average</v>
      </c>
      <c r="D553" s="11">
        <f>INDEX('2_Clean_Data'!$L$2:$L$1360,MATCH($A553,'2_Clean_Data'!$A$2:$A$1360,0))</f>
        <v>10.5</v>
      </c>
      <c r="E553" s="9" t="str">
        <f>IF(D553&lt;'3_Summary_Tables'!$C$16,"Low",IF(D553&lt;'3_Summary_Tables'!$C$17,"Medium","High"))</f>
        <v>Medium</v>
      </c>
      <c r="F553" s="12">
        <f>INDEX('2_Clean_Data'!$C$2:$C$1360,MATCH($A553,'2_Clean_Data'!$A$2:$A$1360,0))</f>
        <v>0.41</v>
      </c>
      <c r="G553" s="10">
        <f>INDEX('2_Clean_Data'!$H$2:$H$1360,MATCH($A553,'2_Clean_Data'!$A$2:$A$1360,0))</f>
        <v>43</v>
      </c>
      <c r="H553" s="9" t="str">
        <f t="shared" si="33"/>
        <v>Low</v>
      </c>
      <c r="I553" s="9" t="str">
        <f t="shared" si="34"/>
        <v>OK</v>
      </c>
      <c r="J553" s="9" t="str">
        <f t="shared" si="35"/>
        <v>Solid</v>
      </c>
    </row>
    <row r="554" spans="1:10" x14ac:dyDescent="0.3">
      <c r="A554" s="10">
        <f>'2_Clean_Data'!A551</f>
        <v>550</v>
      </c>
      <c r="B554" s="10">
        <f>INDEX('2_Clean_Data'!$M$2:$M$1360,MATCH($A554,'2_Clean_Data'!$A$2:$A$1360,0))</f>
        <v>4</v>
      </c>
      <c r="C554" s="9" t="str">
        <f t="shared" si="32"/>
        <v>Poor</v>
      </c>
      <c r="D554" s="11">
        <f>INDEX('2_Clean_Data'!$L$2:$L$1360,MATCH($A554,'2_Clean_Data'!$A$2:$A$1360,0))</f>
        <v>11.3</v>
      </c>
      <c r="E554" s="9" t="str">
        <f>IF(D554&lt;'3_Summary_Tables'!$C$16,"Low",IF(D554&lt;'3_Summary_Tables'!$C$17,"Medium","High"))</f>
        <v>Medium</v>
      </c>
      <c r="F554" s="12">
        <f>INDEX('2_Clean_Data'!$C$2:$C$1360,MATCH($A554,'2_Clean_Data'!$A$2:$A$1360,0))</f>
        <v>0.93500000000000005</v>
      </c>
      <c r="G554" s="10">
        <f>INDEX('2_Clean_Data'!$H$2:$H$1360,MATCH($A554,'2_Clean_Data'!$A$2:$A$1360,0))</f>
        <v>86</v>
      </c>
      <c r="H554" s="9" t="str">
        <f t="shared" si="33"/>
        <v>Moderate</v>
      </c>
      <c r="I554" s="9" t="str">
        <f t="shared" si="34"/>
        <v>Above limit</v>
      </c>
      <c r="J554" s="9" t="str">
        <f t="shared" si="35"/>
        <v>Poor</v>
      </c>
    </row>
    <row r="555" spans="1:10" x14ac:dyDescent="0.3">
      <c r="A555" s="10">
        <f>'2_Clean_Data'!A552</f>
        <v>551</v>
      </c>
      <c r="B555" s="10">
        <f>INDEX('2_Clean_Data'!$M$2:$M$1360,MATCH($A555,'2_Clean_Data'!$A$2:$A$1360,0))</f>
        <v>5</v>
      </c>
      <c r="C555" s="9" t="str">
        <f t="shared" si="32"/>
        <v>Average</v>
      </c>
      <c r="D555" s="11">
        <f>INDEX('2_Clean_Data'!$L$2:$L$1360,MATCH($A555,'2_Clean_Data'!$A$2:$A$1360,0))</f>
        <v>9.5</v>
      </c>
      <c r="E555" s="9" t="str">
        <f>IF(D555&lt;'3_Summary_Tables'!$C$16,"Low",IF(D555&lt;'3_Summary_Tables'!$C$17,"Medium","High"))</f>
        <v>Low</v>
      </c>
      <c r="F555" s="12">
        <f>INDEX('2_Clean_Data'!$C$2:$C$1360,MATCH($A555,'2_Clean_Data'!$A$2:$A$1360,0))</f>
        <v>0.35</v>
      </c>
      <c r="G555" s="10">
        <f>INDEX('2_Clean_Data'!$H$2:$H$1360,MATCH($A555,'2_Clean_Data'!$A$2:$A$1360,0))</f>
        <v>102</v>
      </c>
      <c r="H555" s="9" t="str">
        <f t="shared" si="33"/>
        <v>High</v>
      </c>
      <c r="I555" s="9" t="str">
        <f t="shared" si="34"/>
        <v>OK</v>
      </c>
      <c r="J555" s="9" t="str">
        <f t="shared" si="35"/>
        <v>Standard</v>
      </c>
    </row>
    <row r="556" spans="1:10" x14ac:dyDescent="0.3">
      <c r="A556" s="10">
        <f>'2_Clean_Data'!A553</f>
        <v>552</v>
      </c>
      <c r="B556" s="10">
        <f>INDEX('2_Clean_Data'!$M$2:$M$1360,MATCH($A556,'2_Clean_Data'!$A$2:$A$1360,0))</f>
        <v>5</v>
      </c>
      <c r="C556" s="9" t="str">
        <f t="shared" si="32"/>
        <v>Average</v>
      </c>
      <c r="D556" s="11">
        <f>INDEX('2_Clean_Data'!$L$2:$L$1360,MATCH($A556,'2_Clean_Data'!$A$2:$A$1360,0))</f>
        <v>9.6999999999999993</v>
      </c>
      <c r="E556" s="9" t="str">
        <f>IF(D556&lt;'3_Summary_Tables'!$C$16,"Low",IF(D556&lt;'3_Summary_Tables'!$C$17,"Medium","High"))</f>
        <v>Low</v>
      </c>
      <c r="F556" s="12">
        <f>INDEX('2_Clean_Data'!$C$2:$C$1360,MATCH($A556,'2_Clean_Data'!$A$2:$A$1360,0))</f>
        <v>0.84</v>
      </c>
      <c r="G556" s="10">
        <f>INDEX('2_Clean_Data'!$H$2:$H$1360,MATCH($A556,'2_Clean_Data'!$A$2:$A$1360,0))</f>
        <v>33</v>
      </c>
      <c r="H556" s="9" t="str">
        <f t="shared" si="33"/>
        <v>Low</v>
      </c>
      <c r="I556" s="9" t="str">
        <f t="shared" si="34"/>
        <v>Above limit</v>
      </c>
      <c r="J556" s="9" t="str">
        <f t="shared" si="35"/>
        <v>Standard</v>
      </c>
    </row>
    <row r="557" spans="1:10" x14ac:dyDescent="0.3">
      <c r="A557" s="10">
        <f>'2_Clean_Data'!A554</f>
        <v>553</v>
      </c>
      <c r="B557" s="10">
        <f>INDEX('2_Clean_Data'!$M$2:$M$1360,MATCH($A557,'2_Clean_Data'!$A$2:$A$1360,0))</f>
        <v>5</v>
      </c>
      <c r="C557" s="9" t="str">
        <f t="shared" si="32"/>
        <v>Average</v>
      </c>
      <c r="D557" s="11">
        <f>INDEX('2_Clean_Data'!$L$2:$L$1360,MATCH($A557,'2_Clean_Data'!$A$2:$A$1360,0))</f>
        <v>9.4</v>
      </c>
      <c r="E557" s="9" t="str">
        <f>IF(D557&lt;'3_Summary_Tables'!$C$16,"Low",IF(D557&lt;'3_Summary_Tables'!$C$17,"Medium","High"))</f>
        <v>Low</v>
      </c>
      <c r="F557" s="12">
        <f>INDEX('2_Clean_Data'!$C$2:$C$1360,MATCH($A557,'2_Clean_Data'!$A$2:$A$1360,0))</f>
        <v>0.88</v>
      </c>
      <c r="G557" s="10">
        <f>INDEX('2_Clean_Data'!$H$2:$H$1360,MATCH($A557,'2_Clean_Data'!$A$2:$A$1360,0))</f>
        <v>147</v>
      </c>
      <c r="H557" s="9" t="str">
        <f t="shared" si="33"/>
        <v>High</v>
      </c>
      <c r="I557" s="9" t="str">
        <f t="shared" si="34"/>
        <v>Above limit</v>
      </c>
      <c r="J557" s="9" t="str">
        <f t="shared" si="35"/>
        <v>Standard</v>
      </c>
    </row>
    <row r="558" spans="1:10" x14ac:dyDescent="0.3">
      <c r="A558" s="10">
        <f>'2_Clean_Data'!A555</f>
        <v>554</v>
      </c>
      <c r="B558" s="10">
        <f>INDEX('2_Clean_Data'!$M$2:$M$1360,MATCH($A558,'2_Clean_Data'!$A$2:$A$1360,0))</f>
        <v>5</v>
      </c>
      <c r="C558" s="9" t="str">
        <f t="shared" si="32"/>
        <v>Average</v>
      </c>
      <c r="D558" s="11">
        <f>INDEX('2_Clean_Data'!$L$2:$L$1360,MATCH($A558,'2_Clean_Data'!$A$2:$A$1360,0))</f>
        <v>9.4</v>
      </c>
      <c r="E558" s="9" t="str">
        <f>IF(D558&lt;'3_Summary_Tables'!$C$16,"Low",IF(D558&lt;'3_Summary_Tables'!$C$17,"Medium","High"))</f>
        <v>Low</v>
      </c>
      <c r="F558" s="12">
        <f>INDEX('2_Clean_Data'!$C$2:$C$1360,MATCH($A558,'2_Clean_Data'!$A$2:$A$1360,0))</f>
        <v>0.88500000000000001</v>
      </c>
      <c r="G558" s="10">
        <f>INDEX('2_Clean_Data'!$H$2:$H$1360,MATCH($A558,'2_Clean_Data'!$A$2:$A$1360,0))</f>
        <v>145</v>
      </c>
      <c r="H558" s="9" t="str">
        <f t="shared" si="33"/>
        <v>High</v>
      </c>
      <c r="I558" s="9" t="str">
        <f t="shared" si="34"/>
        <v>Above limit</v>
      </c>
      <c r="J558" s="9" t="str">
        <f t="shared" si="35"/>
        <v>Standard</v>
      </c>
    </row>
    <row r="559" spans="1:10" x14ac:dyDescent="0.3">
      <c r="A559" s="10">
        <f>'2_Clean_Data'!A556</f>
        <v>555</v>
      </c>
      <c r="B559" s="10">
        <f>INDEX('2_Clean_Data'!$M$2:$M$1360,MATCH($A559,'2_Clean_Data'!$A$2:$A$1360,0))</f>
        <v>7</v>
      </c>
      <c r="C559" s="9" t="str">
        <f t="shared" si="32"/>
        <v>Good</v>
      </c>
      <c r="D559" s="11">
        <f>INDEX('2_Clean_Data'!$L$2:$L$1360,MATCH($A559,'2_Clean_Data'!$A$2:$A$1360,0))</f>
        <v>10.199999999999999</v>
      </c>
      <c r="E559" s="9" t="str">
        <f>IF(D559&lt;'3_Summary_Tables'!$C$16,"Low",IF(D559&lt;'3_Summary_Tables'!$C$17,"Medium","High"))</f>
        <v>Medium</v>
      </c>
      <c r="F559" s="12">
        <f>INDEX('2_Clean_Data'!$C$2:$C$1360,MATCH($A559,'2_Clean_Data'!$A$2:$A$1360,0))</f>
        <v>0.91500000000000004</v>
      </c>
      <c r="G559" s="10">
        <f>INDEX('2_Clean_Data'!$H$2:$H$1360,MATCH($A559,'2_Clean_Data'!$A$2:$A$1360,0))</f>
        <v>23</v>
      </c>
      <c r="H559" s="9" t="str">
        <f t="shared" si="33"/>
        <v>Low</v>
      </c>
      <c r="I559" s="9" t="str">
        <f t="shared" si="34"/>
        <v>Above limit</v>
      </c>
      <c r="J559" s="9" t="str">
        <f t="shared" si="35"/>
        <v>Standard</v>
      </c>
    </row>
    <row r="560" spans="1:10" x14ac:dyDescent="0.3">
      <c r="A560" s="10">
        <f>'2_Clean_Data'!A557</f>
        <v>556</v>
      </c>
      <c r="B560" s="10">
        <f>INDEX('2_Clean_Data'!$M$2:$M$1360,MATCH($A560,'2_Clean_Data'!$A$2:$A$1360,0))</f>
        <v>6</v>
      </c>
      <c r="C560" s="9" t="str">
        <f t="shared" si="32"/>
        <v>Above Average</v>
      </c>
      <c r="D560" s="11">
        <f>INDEX('2_Clean_Data'!$L$2:$L$1360,MATCH($A560,'2_Clean_Data'!$A$2:$A$1360,0))</f>
        <v>10.3</v>
      </c>
      <c r="E560" s="9" t="str">
        <f>IF(D560&lt;'3_Summary_Tables'!$C$16,"Low",IF(D560&lt;'3_Summary_Tables'!$C$17,"Medium","High"))</f>
        <v>Medium</v>
      </c>
      <c r="F560" s="12">
        <f>INDEX('2_Clean_Data'!$C$2:$C$1360,MATCH($A560,'2_Clean_Data'!$A$2:$A$1360,0))</f>
        <v>0.28999999999999998</v>
      </c>
      <c r="G560" s="10">
        <f>INDEX('2_Clean_Data'!$H$2:$H$1360,MATCH($A560,'2_Clean_Data'!$A$2:$A$1360,0))</f>
        <v>57</v>
      </c>
      <c r="H560" s="9" t="str">
        <f t="shared" si="33"/>
        <v>Moderate</v>
      </c>
      <c r="I560" s="9" t="str">
        <f t="shared" si="34"/>
        <v>OK</v>
      </c>
      <c r="J560" s="9" t="str">
        <f t="shared" si="35"/>
        <v>Solid</v>
      </c>
    </row>
    <row r="561" spans="1:10" x14ac:dyDescent="0.3">
      <c r="A561" s="10">
        <f>'2_Clean_Data'!A558</f>
        <v>557</v>
      </c>
      <c r="B561" s="10">
        <f>INDEX('2_Clean_Data'!$M$2:$M$1360,MATCH($A561,'2_Clean_Data'!$A$2:$A$1360,0))</f>
        <v>5</v>
      </c>
      <c r="C561" s="9" t="str">
        <f t="shared" si="32"/>
        <v>Average</v>
      </c>
      <c r="D561" s="11">
        <f>INDEX('2_Clean_Data'!$L$2:$L$1360,MATCH($A561,'2_Clean_Data'!$A$2:$A$1360,0))</f>
        <v>9.4</v>
      </c>
      <c r="E561" s="9" t="str">
        <f>IF(D561&lt;'3_Summary_Tables'!$C$16,"Low",IF(D561&lt;'3_Summary_Tables'!$C$17,"Medium","High"))</f>
        <v>Low</v>
      </c>
      <c r="F561" s="12">
        <f>INDEX('2_Clean_Data'!$C$2:$C$1360,MATCH($A561,'2_Clean_Data'!$A$2:$A$1360,0))</f>
        <v>0.54</v>
      </c>
      <c r="G561" s="10">
        <f>INDEX('2_Clean_Data'!$H$2:$H$1360,MATCH($A561,'2_Clean_Data'!$A$2:$A$1360,0))</f>
        <v>40</v>
      </c>
      <c r="H561" s="9" t="str">
        <f t="shared" si="33"/>
        <v>Low</v>
      </c>
      <c r="I561" s="9" t="str">
        <f t="shared" si="34"/>
        <v>OK</v>
      </c>
      <c r="J561" s="9" t="str">
        <f t="shared" si="35"/>
        <v>Standard</v>
      </c>
    </row>
    <row r="562" spans="1:10" x14ac:dyDescent="0.3">
      <c r="A562" s="10">
        <f>'2_Clean_Data'!A559</f>
        <v>558</v>
      </c>
      <c r="B562" s="10">
        <f>INDEX('2_Clean_Data'!$M$2:$M$1360,MATCH($A562,'2_Clean_Data'!$A$2:$A$1360,0))</f>
        <v>5</v>
      </c>
      <c r="C562" s="9" t="str">
        <f t="shared" si="32"/>
        <v>Average</v>
      </c>
      <c r="D562" s="11">
        <f>INDEX('2_Clean_Data'!$L$2:$L$1360,MATCH($A562,'2_Clean_Data'!$A$2:$A$1360,0))</f>
        <v>9.5</v>
      </c>
      <c r="E562" s="9" t="str">
        <f>IF(D562&lt;'3_Summary_Tables'!$C$16,"Low",IF(D562&lt;'3_Summary_Tables'!$C$17,"Medium","High"))</f>
        <v>Low</v>
      </c>
      <c r="F562" s="12">
        <f>INDEX('2_Clean_Data'!$C$2:$C$1360,MATCH($A562,'2_Clean_Data'!$A$2:$A$1360,0))</f>
        <v>0.59</v>
      </c>
      <c r="G562" s="10">
        <f>INDEX('2_Clean_Data'!$H$2:$H$1360,MATCH($A562,'2_Clean_Data'!$A$2:$A$1360,0))</f>
        <v>68</v>
      </c>
      <c r="H562" s="9" t="str">
        <f t="shared" si="33"/>
        <v>Moderate</v>
      </c>
      <c r="I562" s="9" t="str">
        <f t="shared" si="34"/>
        <v>OK</v>
      </c>
      <c r="J562" s="9" t="str">
        <f t="shared" si="35"/>
        <v>Standard</v>
      </c>
    </row>
    <row r="563" spans="1:10" x14ac:dyDescent="0.3">
      <c r="A563" s="10">
        <f>'2_Clean_Data'!A560</f>
        <v>559</v>
      </c>
      <c r="B563" s="10">
        <f>INDEX('2_Clean_Data'!$M$2:$M$1360,MATCH($A563,'2_Clean_Data'!$A$2:$A$1360,0))</f>
        <v>7</v>
      </c>
      <c r="C563" s="9" t="str">
        <f t="shared" si="32"/>
        <v>Good</v>
      </c>
      <c r="D563" s="11">
        <f>INDEX('2_Clean_Data'!$L$2:$L$1360,MATCH($A563,'2_Clean_Data'!$A$2:$A$1360,0))</f>
        <v>10.1</v>
      </c>
      <c r="E563" s="9" t="str">
        <f>IF(D563&lt;'3_Summary_Tables'!$C$16,"Low",IF(D563&lt;'3_Summary_Tables'!$C$17,"Medium","High"))</f>
        <v>Medium</v>
      </c>
      <c r="F563" s="12">
        <f>INDEX('2_Clean_Data'!$C$2:$C$1360,MATCH($A563,'2_Clean_Data'!$A$2:$A$1360,0))</f>
        <v>0.64</v>
      </c>
      <c r="G563" s="10">
        <f>INDEX('2_Clean_Data'!$H$2:$H$1360,MATCH($A563,'2_Clean_Data'!$A$2:$A$1360,0))</f>
        <v>11</v>
      </c>
      <c r="H563" s="9" t="str">
        <f t="shared" si="33"/>
        <v>Low</v>
      </c>
      <c r="I563" s="9" t="str">
        <f t="shared" si="34"/>
        <v>OK</v>
      </c>
      <c r="J563" s="9" t="str">
        <f t="shared" si="35"/>
        <v>Solid</v>
      </c>
    </row>
    <row r="564" spans="1:10" x14ac:dyDescent="0.3">
      <c r="A564" s="10">
        <f>'2_Clean_Data'!A561</f>
        <v>560</v>
      </c>
      <c r="B564" s="10">
        <f>INDEX('2_Clean_Data'!$M$2:$M$1360,MATCH($A564,'2_Clean_Data'!$A$2:$A$1360,0))</f>
        <v>5</v>
      </c>
      <c r="C564" s="9" t="str">
        <f t="shared" si="32"/>
        <v>Average</v>
      </c>
      <c r="D564" s="11">
        <f>INDEX('2_Clean_Data'!$L$2:$L$1360,MATCH($A564,'2_Clean_Data'!$A$2:$A$1360,0))</f>
        <v>10.1</v>
      </c>
      <c r="E564" s="9" t="str">
        <f>IF(D564&lt;'3_Summary_Tables'!$C$16,"Low",IF(D564&lt;'3_Summary_Tables'!$C$17,"Medium","High"))</f>
        <v>Medium</v>
      </c>
      <c r="F564" s="12">
        <f>INDEX('2_Clean_Data'!$C$2:$C$1360,MATCH($A564,'2_Clean_Data'!$A$2:$A$1360,0))</f>
        <v>0.67</v>
      </c>
      <c r="G564" s="10">
        <f>INDEX('2_Clean_Data'!$H$2:$H$1360,MATCH($A564,'2_Clean_Data'!$A$2:$A$1360,0))</f>
        <v>20</v>
      </c>
      <c r="H564" s="9" t="str">
        <f t="shared" si="33"/>
        <v>Low</v>
      </c>
      <c r="I564" s="9" t="str">
        <f t="shared" si="34"/>
        <v>OK</v>
      </c>
      <c r="J564" s="9" t="str">
        <f t="shared" si="35"/>
        <v>Standard</v>
      </c>
    </row>
    <row r="565" spans="1:10" x14ac:dyDescent="0.3">
      <c r="A565" s="10">
        <f>'2_Clean_Data'!A562</f>
        <v>561</v>
      </c>
      <c r="B565" s="10">
        <f>INDEX('2_Clean_Data'!$M$2:$M$1360,MATCH($A565,'2_Clean_Data'!$A$2:$A$1360,0))</f>
        <v>4</v>
      </c>
      <c r="C565" s="9" t="str">
        <f t="shared" si="32"/>
        <v>Poor</v>
      </c>
      <c r="D565" s="11">
        <f>INDEX('2_Clean_Data'!$L$2:$L$1360,MATCH($A565,'2_Clean_Data'!$A$2:$A$1360,0))</f>
        <v>11</v>
      </c>
      <c r="E565" s="9" t="str">
        <f>IF(D565&lt;'3_Summary_Tables'!$C$16,"Low",IF(D565&lt;'3_Summary_Tables'!$C$17,"Medium","High"))</f>
        <v>Medium</v>
      </c>
      <c r="F565" s="12">
        <f>INDEX('2_Clean_Data'!$C$2:$C$1360,MATCH($A565,'2_Clean_Data'!$A$2:$A$1360,0))</f>
        <v>0.84499999999999997</v>
      </c>
      <c r="G565" s="10">
        <f>INDEX('2_Clean_Data'!$H$2:$H$1360,MATCH($A565,'2_Clean_Data'!$A$2:$A$1360,0))</f>
        <v>14</v>
      </c>
      <c r="H565" s="9" t="str">
        <f t="shared" si="33"/>
        <v>Low</v>
      </c>
      <c r="I565" s="9" t="str">
        <f t="shared" si="34"/>
        <v>Above limit</v>
      </c>
      <c r="J565" s="9" t="str">
        <f t="shared" si="35"/>
        <v>Poor</v>
      </c>
    </row>
    <row r="566" spans="1:10" x14ac:dyDescent="0.3">
      <c r="A566" s="10">
        <f>'2_Clean_Data'!A563</f>
        <v>562</v>
      </c>
      <c r="B566" s="10">
        <f>INDEX('2_Clean_Data'!$M$2:$M$1360,MATCH($A566,'2_Clean_Data'!$A$2:$A$1360,0))</f>
        <v>7</v>
      </c>
      <c r="C566" s="9" t="str">
        <f t="shared" si="32"/>
        <v>Good</v>
      </c>
      <c r="D566" s="11">
        <f>INDEX('2_Clean_Data'!$L$2:$L$1360,MATCH($A566,'2_Clean_Data'!$A$2:$A$1360,0))</f>
        <v>11.2</v>
      </c>
      <c r="E566" s="9" t="str">
        <f>IF(D566&lt;'3_Summary_Tables'!$C$16,"Low",IF(D566&lt;'3_Summary_Tables'!$C$17,"Medium","High"))</f>
        <v>Medium</v>
      </c>
      <c r="F566" s="12">
        <f>INDEX('2_Clean_Data'!$C$2:$C$1360,MATCH($A566,'2_Clean_Data'!$A$2:$A$1360,0))</f>
        <v>0.48</v>
      </c>
      <c r="G566" s="10">
        <f>INDEX('2_Clean_Data'!$H$2:$H$1360,MATCH($A566,'2_Clean_Data'!$A$2:$A$1360,0))</f>
        <v>28</v>
      </c>
      <c r="H566" s="9" t="str">
        <f t="shared" si="33"/>
        <v>Low</v>
      </c>
      <c r="I566" s="9" t="str">
        <f t="shared" si="34"/>
        <v>OK</v>
      </c>
      <c r="J566" s="9" t="str">
        <f t="shared" si="35"/>
        <v>Solid</v>
      </c>
    </row>
    <row r="567" spans="1:10" x14ac:dyDescent="0.3">
      <c r="A567" s="10">
        <f>'2_Clean_Data'!A564</f>
        <v>563</v>
      </c>
      <c r="B567" s="10">
        <f>INDEX('2_Clean_Data'!$M$2:$M$1360,MATCH($A567,'2_Clean_Data'!$A$2:$A$1360,0))</f>
        <v>6</v>
      </c>
      <c r="C567" s="9" t="str">
        <f t="shared" si="32"/>
        <v>Above Average</v>
      </c>
      <c r="D567" s="11">
        <f>INDEX('2_Clean_Data'!$L$2:$L$1360,MATCH($A567,'2_Clean_Data'!$A$2:$A$1360,0))</f>
        <v>11.3</v>
      </c>
      <c r="E567" s="9" t="str">
        <f>IF(D567&lt;'3_Summary_Tables'!$C$16,"Low",IF(D567&lt;'3_Summary_Tables'!$C$17,"Medium","High"))</f>
        <v>Medium</v>
      </c>
      <c r="F567" s="12">
        <f>INDEX('2_Clean_Data'!$C$2:$C$1360,MATCH($A567,'2_Clean_Data'!$A$2:$A$1360,0))</f>
        <v>0.42</v>
      </c>
      <c r="G567" s="10">
        <f>INDEX('2_Clean_Data'!$H$2:$H$1360,MATCH($A567,'2_Clean_Data'!$A$2:$A$1360,0))</f>
        <v>148</v>
      </c>
      <c r="H567" s="9" t="str">
        <f t="shared" si="33"/>
        <v>High</v>
      </c>
      <c r="I567" s="9" t="str">
        <f t="shared" si="34"/>
        <v>OK</v>
      </c>
      <c r="J567" s="9" t="str">
        <f t="shared" si="35"/>
        <v>Solid</v>
      </c>
    </row>
    <row r="568" spans="1:10" x14ac:dyDescent="0.3">
      <c r="A568" s="10">
        <f>'2_Clean_Data'!A565</f>
        <v>564</v>
      </c>
      <c r="B568" s="10">
        <f>INDEX('2_Clean_Data'!$M$2:$M$1360,MATCH($A568,'2_Clean_Data'!$A$2:$A$1360,0))</f>
        <v>5</v>
      </c>
      <c r="C568" s="9" t="str">
        <f t="shared" si="32"/>
        <v>Average</v>
      </c>
      <c r="D568" s="11">
        <f>INDEX('2_Clean_Data'!$L$2:$L$1360,MATCH($A568,'2_Clean_Data'!$A$2:$A$1360,0))</f>
        <v>9.6</v>
      </c>
      <c r="E568" s="9" t="str">
        <f>IF(D568&lt;'3_Summary_Tables'!$C$16,"Low",IF(D568&lt;'3_Summary_Tables'!$C$17,"Medium","High"))</f>
        <v>Low</v>
      </c>
      <c r="F568" s="12">
        <f>INDEX('2_Clean_Data'!$C$2:$C$1360,MATCH($A568,'2_Clean_Data'!$A$2:$A$1360,0))</f>
        <v>0.43</v>
      </c>
      <c r="G568" s="10">
        <f>INDEX('2_Clean_Data'!$H$2:$H$1360,MATCH($A568,'2_Clean_Data'!$A$2:$A$1360,0))</f>
        <v>32</v>
      </c>
      <c r="H568" s="9" t="str">
        <f t="shared" si="33"/>
        <v>Low</v>
      </c>
      <c r="I568" s="9" t="str">
        <f t="shared" si="34"/>
        <v>OK</v>
      </c>
      <c r="J568" s="9" t="str">
        <f t="shared" si="35"/>
        <v>Standard</v>
      </c>
    </row>
    <row r="569" spans="1:10" x14ac:dyDescent="0.3">
      <c r="A569" s="10">
        <f>'2_Clean_Data'!A566</f>
        <v>565</v>
      </c>
      <c r="B569" s="10">
        <f>INDEX('2_Clean_Data'!$M$2:$M$1360,MATCH($A569,'2_Clean_Data'!$A$2:$A$1360,0))</f>
        <v>5</v>
      </c>
      <c r="C569" s="9" t="str">
        <f t="shared" si="32"/>
        <v>Average</v>
      </c>
      <c r="D569" s="11">
        <f>INDEX('2_Clean_Data'!$L$2:$L$1360,MATCH($A569,'2_Clean_Data'!$A$2:$A$1360,0))</f>
        <v>11.2</v>
      </c>
      <c r="E569" s="9" t="str">
        <f>IF(D569&lt;'3_Summary_Tables'!$C$16,"Low",IF(D569&lt;'3_Summary_Tables'!$C$17,"Medium","High"))</f>
        <v>Medium</v>
      </c>
      <c r="F569" s="12">
        <f>INDEX('2_Clean_Data'!$C$2:$C$1360,MATCH($A569,'2_Clean_Data'!$A$2:$A$1360,0))</f>
        <v>0.88</v>
      </c>
      <c r="G569" s="10">
        <f>INDEX('2_Clean_Data'!$H$2:$H$1360,MATCH($A569,'2_Clean_Data'!$A$2:$A$1360,0))</f>
        <v>155</v>
      </c>
      <c r="H569" s="9" t="str">
        <f t="shared" si="33"/>
        <v>High</v>
      </c>
      <c r="I569" s="9" t="str">
        <f t="shared" si="34"/>
        <v>Above limit</v>
      </c>
      <c r="J569" s="9" t="str">
        <f t="shared" si="35"/>
        <v>Standard</v>
      </c>
    </row>
    <row r="570" spans="1:10" x14ac:dyDescent="0.3">
      <c r="A570" s="10">
        <f>'2_Clean_Data'!A567</f>
        <v>566</v>
      </c>
      <c r="B570" s="10">
        <f>INDEX('2_Clean_Data'!$M$2:$M$1360,MATCH($A570,'2_Clean_Data'!$A$2:$A$1360,0))</f>
        <v>5</v>
      </c>
      <c r="C570" s="9" t="str">
        <f t="shared" si="32"/>
        <v>Average</v>
      </c>
      <c r="D570" s="11">
        <f>INDEX('2_Clean_Data'!$L$2:$L$1360,MATCH($A570,'2_Clean_Data'!$A$2:$A$1360,0))</f>
        <v>14.9</v>
      </c>
      <c r="E570" s="9" t="str">
        <f>IF(D570&lt;'3_Summary_Tables'!$C$16,"Low",IF(D570&lt;'3_Summary_Tables'!$C$17,"Medium","High"))</f>
        <v>High</v>
      </c>
      <c r="F570" s="12">
        <f>INDEX('2_Clean_Data'!$C$2:$C$1360,MATCH($A570,'2_Clean_Data'!$A$2:$A$1360,0))</f>
        <v>0.36</v>
      </c>
      <c r="G570" s="10">
        <f>INDEX('2_Clean_Data'!$H$2:$H$1360,MATCH($A570,'2_Clean_Data'!$A$2:$A$1360,0))</f>
        <v>71</v>
      </c>
      <c r="H570" s="9" t="str">
        <f t="shared" si="33"/>
        <v>Moderate</v>
      </c>
      <c r="I570" s="9" t="str">
        <f t="shared" si="34"/>
        <v>OK</v>
      </c>
      <c r="J570" s="9" t="str">
        <f t="shared" si="35"/>
        <v>Standard</v>
      </c>
    </row>
    <row r="571" spans="1:10" x14ac:dyDescent="0.3">
      <c r="A571" s="10">
        <f>'2_Clean_Data'!A568</f>
        <v>567</v>
      </c>
      <c r="B571" s="10">
        <f>INDEX('2_Clean_Data'!$M$2:$M$1360,MATCH($A571,'2_Clean_Data'!$A$2:$A$1360,0))</f>
        <v>6</v>
      </c>
      <c r="C571" s="9" t="str">
        <f t="shared" si="32"/>
        <v>Above Average</v>
      </c>
      <c r="D571" s="11">
        <f>INDEX('2_Clean_Data'!$L$2:$L$1360,MATCH($A571,'2_Clean_Data'!$A$2:$A$1360,0))</f>
        <v>12</v>
      </c>
      <c r="E571" s="9" t="str">
        <f>IF(D571&lt;'3_Summary_Tables'!$C$16,"Low",IF(D571&lt;'3_Summary_Tables'!$C$17,"Medium","High"))</f>
        <v>High</v>
      </c>
      <c r="F571" s="12">
        <f>INDEX('2_Clean_Data'!$C$2:$C$1360,MATCH($A571,'2_Clean_Data'!$A$2:$A$1360,0))</f>
        <v>0.33</v>
      </c>
      <c r="G571" s="10">
        <f>INDEX('2_Clean_Data'!$H$2:$H$1360,MATCH($A571,'2_Clean_Data'!$A$2:$A$1360,0))</f>
        <v>30</v>
      </c>
      <c r="H571" s="9" t="str">
        <f t="shared" si="33"/>
        <v>Low</v>
      </c>
      <c r="I571" s="9" t="str">
        <f t="shared" si="34"/>
        <v>OK</v>
      </c>
      <c r="J571" s="9" t="str">
        <f t="shared" si="35"/>
        <v>Solid</v>
      </c>
    </row>
    <row r="572" spans="1:10" x14ac:dyDescent="0.3">
      <c r="A572" s="10">
        <f>'2_Clean_Data'!A569</f>
        <v>568</v>
      </c>
      <c r="B572" s="10">
        <f>INDEX('2_Clean_Data'!$M$2:$M$1360,MATCH($A572,'2_Clean_Data'!$A$2:$A$1360,0))</f>
        <v>5</v>
      </c>
      <c r="C572" s="9" t="str">
        <f t="shared" si="32"/>
        <v>Average</v>
      </c>
      <c r="D572" s="11">
        <f>INDEX('2_Clean_Data'!$L$2:$L$1360,MATCH($A572,'2_Clean_Data'!$A$2:$A$1360,0))</f>
        <v>9.5</v>
      </c>
      <c r="E572" s="9" t="str">
        <f>IF(D572&lt;'3_Summary_Tables'!$C$16,"Low",IF(D572&lt;'3_Summary_Tables'!$C$17,"Medium","High"))</f>
        <v>Low</v>
      </c>
      <c r="F572" s="12">
        <f>INDEX('2_Clean_Data'!$C$2:$C$1360,MATCH($A572,'2_Clean_Data'!$A$2:$A$1360,0))</f>
        <v>0.47</v>
      </c>
      <c r="G572" s="10">
        <f>INDEX('2_Clean_Data'!$H$2:$H$1360,MATCH($A572,'2_Clean_Data'!$A$2:$A$1360,0))</f>
        <v>29</v>
      </c>
      <c r="H572" s="9" t="str">
        <f t="shared" si="33"/>
        <v>Low</v>
      </c>
      <c r="I572" s="9" t="str">
        <f t="shared" si="34"/>
        <v>OK</v>
      </c>
      <c r="J572" s="9" t="str">
        <f t="shared" si="35"/>
        <v>Standard</v>
      </c>
    </row>
    <row r="573" spans="1:10" x14ac:dyDescent="0.3">
      <c r="A573" s="10">
        <f>'2_Clean_Data'!A570</f>
        <v>569</v>
      </c>
      <c r="B573" s="10">
        <f>INDEX('2_Clean_Data'!$M$2:$M$1360,MATCH($A573,'2_Clean_Data'!$A$2:$A$1360,0))</f>
        <v>5</v>
      </c>
      <c r="C573" s="9" t="str">
        <f t="shared" si="32"/>
        <v>Average</v>
      </c>
      <c r="D573" s="11">
        <f>INDEX('2_Clean_Data'!$L$2:$L$1360,MATCH($A573,'2_Clean_Data'!$A$2:$A$1360,0))</f>
        <v>9.4</v>
      </c>
      <c r="E573" s="9" t="str">
        <f>IF(D573&lt;'3_Summary_Tables'!$C$16,"Low",IF(D573&lt;'3_Summary_Tables'!$C$17,"Medium","High"))</f>
        <v>Low</v>
      </c>
      <c r="F573" s="12">
        <f>INDEX('2_Clean_Data'!$C$2:$C$1360,MATCH($A573,'2_Clean_Data'!$A$2:$A$1360,0))</f>
        <v>0.55000000000000004</v>
      </c>
      <c r="G573" s="10">
        <f>INDEX('2_Clean_Data'!$H$2:$H$1360,MATCH($A573,'2_Clean_Data'!$A$2:$A$1360,0))</f>
        <v>53</v>
      </c>
      <c r="H573" s="9" t="str">
        <f t="shared" si="33"/>
        <v>Moderate</v>
      </c>
      <c r="I573" s="9" t="str">
        <f t="shared" si="34"/>
        <v>OK</v>
      </c>
      <c r="J573" s="9" t="str">
        <f t="shared" si="35"/>
        <v>Standard</v>
      </c>
    </row>
    <row r="574" spans="1:10" x14ac:dyDescent="0.3">
      <c r="A574" s="10">
        <f>'2_Clean_Data'!A571</f>
        <v>570</v>
      </c>
      <c r="B574" s="10">
        <f>INDEX('2_Clean_Data'!$M$2:$M$1360,MATCH($A574,'2_Clean_Data'!$A$2:$A$1360,0))</f>
        <v>7</v>
      </c>
      <c r="C574" s="9" t="str">
        <f t="shared" si="32"/>
        <v>Good</v>
      </c>
      <c r="D574" s="11">
        <f>INDEX('2_Clean_Data'!$L$2:$L$1360,MATCH($A574,'2_Clean_Data'!$A$2:$A$1360,0))</f>
        <v>10.5</v>
      </c>
      <c r="E574" s="9" t="str">
        <f>IF(D574&lt;'3_Summary_Tables'!$C$16,"Low",IF(D574&lt;'3_Summary_Tables'!$C$17,"Medium","High"))</f>
        <v>Medium</v>
      </c>
      <c r="F574" s="12">
        <f>INDEX('2_Clean_Data'!$C$2:$C$1360,MATCH($A574,'2_Clean_Data'!$A$2:$A$1360,0))</f>
        <v>0.5</v>
      </c>
      <c r="G574" s="10">
        <f>INDEX('2_Clean_Data'!$H$2:$H$1360,MATCH($A574,'2_Clean_Data'!$A$2:$A$1360,0))</f>
        <v>42</v>
      </c>
      <c r="H574" s="9" t="str">
        <f t="shared" si="33"/>
        <v>Low</v>
      </c>
      <c r="I574" s="9" t="str">
        <f t="shared" si="34"/>
        <v>OK</v>
      </c>
      <c r="J574" s="9" t="str">
        <f t="shared" si="35"/>
        <v>Solid</v>
      </c>
    </row>
    <row r="575" spans="1:10" x14ac:dyDescent="0.3">
      <c r="A575" s="10">
        <f>'2_Clean_Data'!A572</f>
        <v>571</v>
      </c>
      <c r="B575" s="10">
        <f>INDEX('2_Clean_Data'!$M$2:$M$1360,MATCH($A575,'2_Clean_Data'!$A$2:$A$1360,0))</f>
        <v>6</v>
      </c>
      <c r="C575" s="9" t="str">
        <f t="shared" si="32"/>
        <v>Above Average</v>
      </c>
      <c r="D575" s="11">
        <f>INDEX('2_Clean_Data'!$L$2:$L$1360,MATCH($A575,'2_Clean_Data'!$A$2:$A$1360,0))</f>
        <v>9.6</v>
      </c>
      <c r="E575" s="9" t="str">
        <f>IF(D575&lt;'3_Summary_Tables'!$C$16,"Low",IF(D575&lt;'3_Summary_Tables'!$C$17,"Medium","High"))</f>
        <v>Low</v>
      </c>
      <c r="F575" s="12">
        <f>INDEX('2_Clean_Data'!$C$2:$C$1360,MATCH($A575,'2_Clean_Data'!$A$2:$A$1360,0))</f>
        <v>0.52</v>
      </c>
      <c r="G575" s="10">
        <f>INDEX('2_Clean_Data'!$H$2:$H$1360,MATCH($A575,'2_Clean_Data'!$A$2:$A$1360,0))</f>
        <v>20</v>
      </c>
      <c r="H575" s="9" t="str">
        <f t="shared" si="33"/>
        <v>Low</v>
      </c>
      <c r="I575" s="9" t="str">
        <f t="shared" si="34"/>
        <v>OK</v>
      </c>
      <c r="J575" s="9" t="str">
        <f t="shared" si="35"/>
        <v>Solid</v>
      </c>
    </row>
    <row r="576" spans="1:10" x14ac:dyDescent="0.3">
      <c r="A576" s="10">
        <f>'2_Clean_Data'!A573</f>
        <v>572</v>
      </c>
      <c r="B576" s="10">
        <f>INDEX('2_Clean_Data'!$M$2:$M$1360,MATCH($A576,'2_Clean_Data'!$A$2:$A$1360,0))</f>
        <v>4</v>
      </c>
      <c r="C576" s="9" t="str">
        <f t="shared" si="32"/>
        <v>Poor</v>
      </c>
      <c r="D576" s="11">
        <f>INDEX('2_Clean_Data'!$L$2:$L$1360,MATCH($A576,'2_Clean_Data'!$A$2:$A$1360,0))</f>
        <v>11</v>
      </c>
      <c r="E576" s="9" t="str">
        <f>IF(D576&lt;'3_Summary_Tables'!$C$16,"Low",IF(D576&lt;'3_Summary_Tables'!$C$17,"Medium","High"))</f>
        <v>Medium</v>
      </c>
      <c r="F576" s="12">
        <f>INDEX('2_Clean_Data'!$C$2:$C$1360,MATCH($A576,'2_Clean_Data'!$A$2:$A$1360,0))</f>
        <v>0.84</v>
      </c>
      <c r="G576" s="10">
        <f>INDEX('2_Clean_Data'!$H$2:$H$1360,MATCH($A576,'2_Clean_Data'!$A$2:$A$1360,0))</f>
        <v>13</v>
      </c>
      <c r="H576" s="9" t="str">
        <f t="shared" si="33"/>
        <v>Low</v>
      </c>
      <c r="I576" s="9" t="str">
        <f t="shared" si="34"/>
        <v>Above limit</v>
      </c>
      <c r="J576" s="9" t="str">
        <f t="shared" si="35"/>
        <v>Poor</v>
      </c>
    </row>
    <row r="577" spans="1:10" x14ac:dyDescent="0.3">
      <c r="A577" s="10">
        <f>'2_Clean_Data'!A574</f>
        <v>573</v>
      </c>
      <c r="B577" s="10">
        <f>INDEX('2_Clean_Data'!$M$2:$M$1360,MATCH($A577,'2_Clean_Data'!$A$2:$A$1360,0))</f>
        <v>5</v>
      </c>
      <c r="C577" s="9" t="str">
        <f t="shared" si="32"/>
        <v>Average</v>
      </c>
      <c r="D577" s="11">
        <f>INDEX('2_Clean_Data'!$L$2:$L$1360,MATCH($A577,'2_Clean_Data'!$A$2:$A$1360,0))</f>
        <v>9</v>
      </c>
      <c r="E577" s="9" t="str">
        <f>IF(D577&lt;'3_Summary_Tables'!$C$16,"Low",IF(D577&lt;'3_Summary_Tables'!$C$17,"Medium","High"))</f>
        <v>Low</v>
      </c>
      <c r="F577" s="12">
        <f>INDEX('2_Clean_Data'!$C$2:$C$1360,MATCH($A577,'2_Clean_Data'!$A$2:$A$1360,0))</f>
        <v>0.42</v>
      </c>
      <c r="G577" s="10">
        <f>INDEX('2_Clean_Data'!$H$2:$H$1360,MATCH($A577,'2_Clean_Data'!$A$2:$A$1360,0))</f>
        <v>42</v>
      </c>
      <c r="H577" s="9" t="str">
        <f t="shared" si="33"/>
        <v>Low</v>
      </c>
      <c r="I577" s="9" t="str">
        <f t="shared" si="34"/>
        <v>OK</v>
      </c>
      <c r="J577" s="9" t="str">
        <f t="shared" si="35"/>
        <v>Standard</v>
      </c>
    </row>
    <row r="578" spans="1:10" x14ac:dyDescent="0.3">
      <c r="A578" s="10">
        <f>'2_Clean_Data'!A575</f>
        <v>574</v>
      </c>
      <c r="B578" s="10">
        <f>INDEX('2_Clean_Data'!$M$2:$M$1360,MATCH($A578,'2_Clean_Data'!$A$2:$A$1360,0))</f>
        <v>6</v>
      </c>
      <c r="C578" s="9" t="str">
        <f t="shared" si="32"/>
        <v>Above Average</v>
      </c>
      <c r="D578" s="11">
        <f>INDEX('2_Clean_Data'!$L$2:$L$1360,MATCH($A578,'2_Clean_Data'!$A$2:$A$1360,0))</f>
        <v>9.6</v>
      </c>
      <c r="E578" s="9" t="str">
        <f>IF(D578&lt;'3_Summary_Tables'!$C$16,"Low",IF(D578&lt;'3_Summary_Tables'!$C$17,"Medium","High"))</f>
        <v>Low</v>
      </c>
      <c r="F578" s="12">
        <f>INDEX('2_Clean_Data'!$C$2:$C$1360,MATCH($A578,'2_Clean_Data'!$A$2:$A$1360,0))</f>
        <v>0.56999999999999995</v>
      </c>
      <c r="G578" s="10">
        <f>INDEX('2_Clean_Data'!$H$2:$H$1360,MATCH($A578,'2_Clean_Data'!$A$2:$A$1360,0))</f>
        <v>27</v>
      </c>
      <c r="H578" s="9" t="str">
        <f t="shared" si="33"/>
        <v>Low</v>
      </c>
      <c r="I578" s="9" t="str">
        <f t="shared" si="34"/>
        <v>OK</v>
      </c>
      <c r="J578" s="9" t="str">
        <f t="shared" si="35"/>
        <v>Solid</v>
      </c>
    </row>
    <row r="579" spans="1:10" x14ac:dyDescent="0.3">
      <c r="A579" s="10">
        <f>'2_Clean_Data'!A576</f>
        <v>575</v>
      </c>
      <c r="B579" s="10">
        <f>INDEX('2_Clean_Data'!$M$2:$M$1360,MATCH($A579,'2_Clean_Data'!$A$2:$A$1360,0))</f>
        <v>6</v>
      </c>
      <c r="C579" s="9" t="str">
        <f t="shared" si="32"/>
        <v>Above Average</v>
      </c>
      <c r="D579" s="11">
        <f>INDEX('2_Clean_Data'!$L$2:$L$1360,MATCH($A579,'2_Clean_Data'!$A$2:$A$1360,0))</f>
        <v>10.199999999999999</v>
      </c>
      <c r="E579" s="9" t="str">
        <f>IF(D579&lt;'3_Summary_Tables'!$C$16,"Low",IF(D579&lt;'3_Summary_Tables'!$C$17,"Medium","High"))</f>
        <v>Medium</v>
      </c>
      <c r="F579" s="12">
        <f>INDEX('2_Clean_Data'!$C$2:$C$1360,MATCH($A579,'2_Clean_Data'!$A$2:$A$1360,0))</f>
        <v>0.28000000000000003</v>
      </c>
      <c r="G579" s="10">
        <f>INDEX('2_Clean_Data'!$H$2:$H$1360,MATCH($A579,'2_Clean_Data'!$A$2:$A$1360,0))</f>
        <v>13</v>
      </c>
      <c r="H579" s="9" t="str">
        <f t="shared" si="33"/>
        <v>Low</v>
      </c>
      <c r="I579" s="9" t="str">
        <f t="shared" si="34"/>
        <v>OK</v>
      </c>
      <c r="J579" s="9" t="str">
        <f t="shared" si="35"/>
        <v>Solid</v>
      </c>
    </row>
    <row r="580" spans="1:10" x14ac:dyDescent="0.3">
      <c r="A580" s="10">
        <f>'2_Clean_Data'!A577</f>
        <v>576</v>
      </c>
      <c r="B580" s="10">
        <f>INDEX('2_Clean_Data'!$M$2:$M$1360,MATCH($A580,'2_Clean_Data'!$A$2:$A$1360,0))</f>
        <v>5</v>
      </c>
      <c r="C580" s="9" t="str">
        <f t="shared" si="32"/>
        <v>Average</v>
      </c>
      <c r="D580" s="11">
        <f>INDEX('2_Clean_Data'!$L$2:$L$1360,MATCH($A580,'2_Clean_Data'!$A$2:$A$1360,0))</f>
        <v>10.199999999999999</v>
      </c>
      <c r="E580" s="9" t="str">
        <f>IF(D580&lt;'3_Summary_Tables'!$C$16,"Low",IF(D580&lt;'3_Summary_Tables'!$C$17,"Medium","High"))</f>
        <v>Medium</v>
      </c>
      <c r="F580" s="12">
        <f>INDEX('2_Clean_Data'!$C$2:$C$1360,MATCH($A580,'2_Clean_Data'!$A$2:$A$1360,0))</f>
        <v>0.4</v>
      </c>
      <c r="G580" s="10">
        <f>INDEX('2_Clean_Data'!$H$2:$H$1360,MATCH($A580,'2_Clean_Data'!$A$2:$A$1360,0))</f>
        <v>54</v>
      </c>
      <c r="H580" s="9" t="str">
        <f t="shared" si="33"/>
        <v>Moderate</v>
      </c>
      <c r="I580" s="9" t="str">
        <f t="shared" si="34"/>
        <v>OK</v>
      </c>
      <c r="J580" s="9" t="str">
        <f t="shared" si="35"/>
        <v>Standard</v>
      </c>
    </row>
    <row r="581" spans="1:10" x14ac:dyDescent="0.3">
      <c r="A581" s="10">
        <f>'2_Clean_Data'!A578</f>
        <v>577</v>
      </c>
      <c r="B581" s="10">
        <f>INDEX('2_Clean_Data'!$M$2:$M$1360,MATCH($A581,'2_Clean_Data'!$A$2:$A$1360,0))</f>
        <v>5</v>
      </c>
      <c r="C581" s="9" t="str">
        <f t="shared" ref="C581:C644" si="36">VLOOKUP(B581,$L$12:$N$17,2,FALSE())</f>
        <v>Average</v>
      </c>
      <c r="D581" s="11">
        <f>INDEX('2_Clean_Data'!$L$2:$L$1360,MATCH($A581,'2_Clean_Data'!$A$2:$A$1360,0))</f>
        <v>9.6999999999999993</v>
      </c>
      <c r="E581" s="9" t="str">
        <f>IF(D581&lt;'3_Summary_Tables'!$C$16,"Low",IF(D581&lt;'3_Summary_Tables'!$C$17,"Medium","High"))</f>
        <v>Low</v>
      </c>
      <c r="F581" s="12">
        <f>INDEX('2_Clean_Data'!$C$2:$C$1360,MATCH($A581,'2_Clean_Data'!$A$2:$A$1360,0))</f>
        <v>0.59</v>
      </c>
      <c r="G581" s="10">
        <f>INDEX('2_Clean_Data'!$H$2:$H$1360,MATCH($A581,'2_Clean_Data'!$A$2:$A$1360,0))</f>
        <v>48</v>
      </c>
      <c r="H581" s="9" t="str">
        <f t="shared" ref="H581:H644" si="37">IF(G581&gt;$M$8,"High",IF(G581&gt;$M$7,"Moderate","Low"))</f>
        <v>Low</v>
      </c>
      <c r="I581" s="9" t="str">
        <f t="shared" ref="I581:I644" si="38">IF(F581&gt;$M$6,"Above limit","OK")</f>
        <v>OK</v>
      </c>
      <c r="J581" s="9" t="str">
        <f t="shared" ref="J581:J644" si="39">IF(AND(B581&gt;=7,E581="High"),"Premium",IF(AND(B581&gt;=6,I581="OK"),"Solid",IF(B581&lt;=4,"Poor","Standard")))</f>
        <v>Standard</v>
      </c>
    </row>
    <row r="582" spans="1:10" x14ac:dyDescent="0.3">
      <c r="A582" s="10">
        <f>'2_Clean_Data'!A579</f>
        <v>578</v>
      </c>
      <c r="B582" s="10">
        <f>INDEX('2_Clean_Data'!$M$2:$M$1360,MATCH($A582,'2_Clean_Data'!$A$2:$A$1360,0))</f>
        <v>6</v>
      </c>
      <c r="C582" s="9" t="str">
        <f t="shared" si="36"/>
        <v>Above Average</v>
      </c>
      <c r="D582" s="11">
        <f>INDEX('2_Clean_Data'!$L$2:$L$1360,MATCH($A582,'2_Clean_Data'!$A$2:$A$1360,0))</f>
        <v>9.5</v>
      </c>
      <c r="E582" s="9" t="str">
        <f>IF(D582&lt;'3_Summary_Tables'!$C$16,"Low",IF(D582&lt;'3_Summary_Tables'!$C$17,"Medium","High"))</f>
        <v>Low</v>
      </c>
      <c r="F582" s="12">
        <f>INDEX('2_Clean_Data'!$C$2:$C$1360,MATCH($A582,'2_Clean_Data'!$A$2:$A$1360,0))</f>
        <v>0.49</v>
      </c>
      <c r="G582" s="10">
        <f>INDEX('2_Clean_Data'!$H$2:$H$1360,MATCH($A582,'2_Clean_Data'!$A$2:$A$1360,0))</f>
        <v>16</v>
      </c>
      <c r="H582" s="9" t="str">
        <f t="shared" si="37"/>
        <v>Low</v>
      </c>
      <c r="I582" s="9" t="str">
        <f t="shared" si="38"/>
        <v>OK</v>
      </c>
      <c r="J582" s="9" t="str">
        <f t="shared" si="39"/>
        <v>Solid</v>
      </c>
    </row>
    <row r="583" spans="1:10" x14ac:dyDescent="0.3">
      <c r="A583" s="10">
        <f>'2_Clean_Data'!A580</f>
        <v>579</v>
      </c>
      <c r="B583" s="10">
        <f>INDEX('2_Clean_Data'!$M$2:$M$1360,MATCH($A583,'2_Clean_Data'!$A$2:$A$1360,0))</f>
        <v>6</v>
      </c>
      <c r="C583" s="9" t="str">
        <f t="shared" si="36"/>
        <v>Above Average</v>
      </c>
      <c r="D583" s="11">
        <f>INDEX('2_Clean_Data'!$L$2:$L$1360,MATCH($A583,'2_Clean_Data'!$A$2:$A$1360,0))</f>
        <v>9.1999999999999993</v>
      </c>
      <c r="E583" s="9" t="str">
        <f>IF(D583&lt;'3_Summary_Tables'!$C$16,"Low",IF(D583&lt;'3_Summary_Tables'!$C$17,"Medium","High"))</f>
        <v>Low</v>
      </c>
      <c r="F583" s="12">
        <f>INDEX('2_Clean_Data'!$C$2:$C$1360,MATCH($A583,'2_Clean_Data'!$A$2:$A$1360,0))</f>
        <v>0.34</v>
      </c>
      <c r="G583" s="10">
        <f>INDEX('2_Clean_Data'!$H$2:$H$1360,MATCH($A583,'2_Clean_Data'!$A$2:$A$1360,0))</f>
        <v>15</v>
      </c>
      <c r="H583" s="9" t="str">
        <f t="shared" si="37"/>
        <v>Low</v>
      </c>
      <c r="I583" s="9" t="str">
        <f t="shared" si="38"/>
        <v>OK</v>
      </c>
      <c r="J583" s="9" t="str">
        <f t="shared" si="39"/>
        <v>Solid</v>
      </c>
    </row>
    <row r="584" spans="1:10" x14ac:dyDescent="0.3">
      <c r="A584" s="10">
        <f>'2_Clean_Data'!A581</f>
        <v>580</v>
      </c>
      <c r="B584" s="10">
        <f>INDEX('2_Clean_Data'!$M$2:$M$1360,MATCH($A584,'2_Clean_Data'!$A$2:$A$1360,0))</f>
        <v>5</v>
      </c>
      <c r="C584" s="9" t="str">
        <f t="shared" si="36"/>
        <v>Average</v>
      </c>
      <c r="D584" s="11">
        <f>INDEX('2_Clean_Data'!$L$2:$L$1360,MATCH($A584,'2_Clean_Data'!$A$2:$A$1360,0))</f>
        <v>11</v>
      </c>
      <c r="E584" s="9" t="str">
        <f>IF(D584&lt;'3_Summary_Tables'!$C$16,"Low",IF(D584&lt;'3_Summary_Tables'!$C$17,"Medium","High"))</f>
        <v>Medium</v>
      </c>
      <c r="F584" s="12">
        <f>INDEX('2_Clean_Data'!$C$2:$C$1360,MATCH($A584,'2_Clean_Data'!$A$2:$A$1360,0))</f>
        <v>0.73</v>
      </c>
      <c r="G584" s="10">
        <f>INDEX('2_Clean_Data'!$H$2:$H$1360,MATCH($A584,'2_Clean_Data'!$A$2:$A$1360,0))</f>
        <v>31</v>
      </c>
      <c r="H584" s="9" t="str">
        <f t="shared" si="37"/>
        <v>Low</v>
      </c>
      <c r="I584" s="9" t="str">
        <f t="shared" si="38"/>
        <v>Above limit</v>
      </c>
      <c r="J584" s="9" t="str">
        <f t="shared" si="39"/>
        <v>Standard</v>
      </c>
    </row>
    <row r="585" spans="1:10" x14ac:dyDescent="0.3">
      <c r="A585" s="10">
        <f>'2_Clean_Data'!A582</f>
        <v>581</v>
      </c>
      <c r="B585" s="10">
        <f>INDEX('2_Clean_Data'!$M$2:$M$1360,MATCH($A585,'2_Clean_Data'!$A$2:$A$1360,0))</f>
        <v>5</v>
      </c>
      <c r="C585" s="9" t="str">
        <f t="shared" si="36"/>
        <v>Average</v>
      </c>
      <c r="D585" s="11">
        <f>INDEX('2_Clean_Data'!$L$2:$L$1360,MATCH($A585,'2_Clean_Data'!$A$2:$A$1360,0))</f>
        <v>10</v>
      </c>
      <c r="E585" s="9" t="str">
        <f>IF(D585&lt;'3_Summary_Tables'!$C$16,"Low",IF(D585&lt;'3_Summary_Tables'!$C$17,"Medium","High"))</f>
        <v>Medium</v>
      </c>
      <c r="F585" s="12">
        <f>INDEX('2_Clean_Data'!$C$2:$C$1360,MATCH($A585,'2_Clean_Data'!$A$2:$A$1360,0))</f>
        <v>0.4</v>
      </c>
      <c r="G585" s="10">
        <f>INDEX('2_Clean_Data'!$H$2:$H$1360,MATCH($A585,'2_Clean_Data'!$A$2:$A$1360,0))</f>
        <v>45</v>
      </c>
      <c r="H585" s="9" t="str">
        <f t="shared" si="37"/>
        <v>Low</v>
      </c>
      <c r="I585" s="9" t="str">
        <f t="shared" si="38"/>
        <v>OK</v>
      </c>
      <c r="J585" s="9" t="str">
        <f t="shared" si="39"/>
        <v>Standard</v>
      </c>
    </row>
    <row r="586" spans="1:10" x14ac:dyDescent="0.3">
      <c r="A586" s="10">
        <f>'2_Clean_Data'!A583</f>
        <v>582</v>
      </c>
      <c r="B586" s="10">
        <f>INDEX('2_Clean_Data'!$M$2:$M$1360,MATCH($A586,'2_Clean_Data'!$A$2:$A$1360,0))</f>
        <v>5</v>
      </c>
      <c r="C586" s="9" t="str">
        <f t="shared" si="36"/>
        <v>Average</v>
      </c>
      <c r="D586" s="11">
        <f>INDEX('2_Clean_Data'!$L$2:$L$1360,MATCH($A586,'2_Clean_Data'!$A$2:$A$1360,0))</f>
        <v>9.5</v>
      </c>
      <c r="E586" s="9" t="str">
        <f>IF(D586&lt;'3_Summary_Tables'!$C$16,"Low",IF(D586&lt;'3_Summary_Tables'!$C$17,"Medium","High"))</f>
        <v>Low</v>
      </c>
      <c r="F586" s="12">
        <f>INDEX('2_Clean_Data'!$C$2:$C$1360,MATCH($A586,'2_Clean_Data'!$A$2:$A$1360,0))</f>
        <v>0.73</v>
      </c>
      <c r="G586" s="10">
        <f>INDEX('2_Clean_Data'!$H$2:$H$1360,MATCH($A586,'2_Clean_Data'!$A$2:$A$1360,0))</f>
        <v>13</v>
      </c>
      <c r="H586" s="9" t="str">
        <f t="shared" si="37"/>
        <v>Low</v>
      </c>
      <c r="I586" s="9" t="str">
        <f t="shared" si="38"/>
        <v>Above limit</v>
      </c>
      <c r="J586" s="9" t="str">
        <f t="shared" si="39"/>
        <v>Standard</v>
      </c>
    </row>
    <row r="587" spans="1:10" x14ac:dyDescent="0.3">
      <c r="A587" s="10">
        <f>'2_Clean_Data'!A584</f>
        <v>583</v>
      </c>
      <c r="B587" s="10">
        <f>INDEX('2_Clean_Data'!$M$2:$M$1360,MATCH($A587,'2_Clean_Data'!$A$2:$A$1360,0))</f>
        <v>5</v>
      </c>
      <c r="C587" s="9" t="str">
        <f t="shared" si="36"/>
        <v>Average</v>
      </c>
      <c r="D587" s="11">
        <f>INDEX('2_Clean_Data'!$L$2:$L$1360,MATCH($A587,'2_Clean_Data'!$A$2:$A$1360,0))</f>
        <v>9.5</v>
      </c>
      <c r="E587" s="9" t="str">
        <f>IF(D587&lt;'3_Summary_Tables'!$C$16,"Low",IF(D587&lt;'3_Summary_Tables'!$C$17,"Medium","High"))</f>
        <v>Low</v>
      </c>
      <c r="F587" s="12">
        <f>INDEX('2_Clean_Data'!$C$2:$C$1360,MATCH($A587,'2_Clean_Data'!$A$2:$A$1360,0))</f>
        <v>1.24</v>
      </c>
      <c r="G587" s="10">
        <f>INDEX('2_Clean_Data'!$H$2:$H$1360,MATCH($A587,'2_Clean_Data'!$A$2:$A$1360,0))</f>
        <v>151</v>
      </c>
      <c r="H587" s="9" t="str">
        <f t="shared" si="37"/>
        <v>High</v>
      </c>
      <c r="I587" s="9" t="str">
        <f t="shared" si="38"/>
        <v>Above limit</v>
      </c>
      <c r="J587" s="9" t="str">
        <f t="shared" si="39"/>
        <v>Standard</v>
      </c>
    </row>
    <row r="588" spans="1:10" x14ac:dyDescent="0.3">
      <c r="A588" s="10">
        <f>'2_Clean_Data'!A585</f>
        <v>584</v>
      </c>
      <c r="B588" s="10">
        <f>INDEX('2_Clean_Data'!$M$2:$M$1360,MATCH($A588,'2_Clean_Data'!$A$2:$A$1360,0))</f>
        <v>6</v>
      </c>
      <c r="C588" s="9" t="str">
        <f t="shared" si="36"/>
        <v>Above Average</v>
      </c>
      <c r="D588" s="11">
        <f>INDEX('2_Clean_Data'!$L$2:$L$1360,MATCH($A588,'2_Clean_Data'!$A$2:$A$1360,0))</f>
        <v>9.3000000000000007</v>
      </c>
      <c r="E588" s="9" t="str">
        <f>IF(D588&lt;'3_Summary_Tables'!$C$16,"Low",IF(D588&lt;'3_Summary_Tables'!$C$17,"Medium","High"))</f>
        <v>Low</v>
      </c>
      <c r="F588" s="12">
        <f>INDEX('2_Clean_Data'!$C$2:$C$1360,MATCH($A588,'2_Clean_Data'!$A$2:$A$1360,0))</f>
        <v>0.4</v>
      </c>
      <c r="G588" s="10">
        <f>INDEX('2_Clean_Data'!$H$2:$H$1360,MATCH($A588,'2_Clean_Data'!$A$2:$A$1360,0))</f>
        <v>17</v>
      </c>
      <c r="H588" s="9" t="str">
        <f t="shared" si="37"/>
        <v>Low</v>
      </c>
      <c r="I588" s="9" t="str">
        <f t="shared" si="38"/>
        <v>OK</v>
      </c>
      <c r="J588" s="9" t="str">
        <f t="shared" si="39"/>
        <v>Solid</v>
      </c>
    </row>
    <row r="589" spans="1:10" x14ac:dyDescent="0.3">
      <c r="A589" s="10">
        <f>'2_Clean_Data'!A586</f>
        <v>585</v>
      </c>
      <c r="B589" s="10">
        <f>INDEX('2_Clean_Data'!$M$2:$M$1360,MATCH($A589,'2_Clean_Data'!$A$2:$A$1360,0))</f>
        <v>5</v>
      </c>
      <c r="C589" s="9" t="str">
        <f t="shared" si="36"/>
        <v>Average</v>
      </c>
      <c r="D589" s="11">
        <f>INDEX('2_Clean_Data'!$L$2:$L$1360,MATCH($A589,'2_Clean_Data'!$A$2:$A$1360,0))</f>
        <v>10.199999999999999</v>
      </c>
      <c r="E589" s="9" t="str">
        <f>IF(D589&lt;'3_Summary_Tables'!$C$16,"Low",IF(D589&lt;'3_Summary_Tables'!$C$17,"Medium","High"))</f>
        <v>Medium</v>
      </c>
      <c r="F589" s="12">
        <f>INDEX('2_Clean_Data'!$C$2:$C$1360,MATCH($A589,'2_Clean_Data'!$A$2:$A$1360,0))</f>
        <v>0.41</v>
      </c>
      <c r="G589" s="10">
        <f>INDEX('2_Clean_Data'!$H$2:$H$1360,MATCH($A589,'2_Clean_Data'!$A$2:$A$1360,0))</f>
        <v>31</v>
      </c>
      <c r="H589" s="9" t="str">
        <f t="shared" si="37"/>
        <v>Low</v>
      </c>
      <c r="I589" s="9" t="str">
        <f t="shared" si="38"/>
        <v>OK</v>
      </c>
      <c r="J589" s="9" t="str">
        <f t="shared" si="39"/>
        <v>Standard</v>
      </c>
    </row>
    <row r="590" spans="1:10" x14ac:dyDescent="0.3">
      <c r="A590" s="10">
        <f>'2_Clean_Data'!A587</f>
        <v>586</v>
      </c>
      <c r="B590" s="10">
        <f>INDEX('2_Clean_Data'!$M$2:$M$1360,MATCH($A590,'2_Clean_Data'!$A$2:$A$1360,0))</f>
        <v>5</v>
      </c>
      <c r="C590" s="9" t="str">
        <f t="shared" si="36"/>
        <v>Average</v>
      </c>
      <c r="D590" s="11">
        <f>INDEX('2_Clean_Data'!$L$2:$L$1360,MATCH($A590,'2_Clean_Data'!$A$2:$A$1360,0))</f>
        <v>9.9</v>
      </c>
      <c r="E590" s="9" t="str">
        <f>IF(D590&lt;'3_Summary_Tables'!$C$16,"Low",IF(D590&lt;'3_Summary_Tables'!$C$17,"Medium","High"))</f>
        <v>Low</v>
      </c>
      <c r="F590" s="12">
        <f>INDEX('2_Clean_Data'!$C$2:$C$1360,MATCH($A590,'2_Clean_Data'!$A$2:$A$1360,0))</f>
        <v>0.8</v>
      </c>
      <c r="G590" s="10">
        <f>INDEX('2_Clean_Data'!$H$2:$H$1360,MATCH($A590,'2_Clean_Data'!$A$2:$A$1360,0))</f>
        <v>31</v>
      </c>
      <c r="H590" s="9" t="str">
        <f t="shared" si="37"/>
        <v>Low</v>
      </c>
      <c r="I590" s="9" t="str">
        <f t="shared" si="38"/>
        <v>Above limit</v>
      </c>
      <c r="J590" s="9" t="str">
        <f t="shared" si="39"/>
        <v>Standard</v>
      </c>
    </row>
    <row r="591" spans="1:10" x14ac:dyDescent="0.3">
      <c r="A591" s="10">
        <f>'2_Clean_Data'!A588</f>
        <v>587</v>
      </c>
      <c r="B591" s="10">
        <f>INDEX('2_Clean_Data'!$M$2:$M$1360,MATCH($A591,'2_Clean_Data'!$A$2:$A$1360,0))</f>
        <v>5</v>
      </c>
      <c r="C591" s="9" t="str">
        <f t="shared" si="36"/>
        <v>Average</v>
      </c>
      <c r="D591" s="11">
        <f>INDEX('2_Clean_Data'!$L$2:$L$1360,MATCH($A591,'2_Clean_Data'!$A$2:$A$1360,0))</f>
        <v>10</v>
      </c>
      <c r="E591" s="9" t="str">
        <f>IF(D591&lt;'3_Summary_Tables'!$C$16,"Low",IF(D591&lt;'3_Summary_Tables'!$C$17,"Medium","High"))</f>
        <v>Medium</v>
      </c>
      <c r="F591" s="12">
        <f>INDEX('2_Clean_Data'!$C$2:$C$1360,MATCH($A591,'2_Clean_Data'!$A$2:$A$1360,0))</f>
        <v>0.78</v>
      </c>
      <c r="G591" s="10">
        <f>INDEX('2_Clean_Data'!$H$2:$H$1360,MATCH($A591,'2_Clean_Data'!$A$2:$A$1360,0))</f>
        <v>87</v>
      </c>
      <c r="H591" s="9" t="str">
        <f t="shared" si="37"/>
        <v>Moderate</v>
      </c>
      <c r="I591" s="9" t="str">
        <f t="shared" si="38"/>
        <v>Above limit</v>
      </c>
      <c r="J591" s="9" t="str">
        <f t="shared" si="39"/>
        <v>Standard</v>
      </c>
    </row>
    <row r="592" spans="1:10" x14ac:dyDescent="0.3">
      <c r="A592" s="10">
        <f>'2_Clean_Data'!A589</f>
        <v>588</v>
      </c>
      <c r="B592" s="10">
        <f>INDEX('2_Clean_Data'!$M$2:$M$1360,MATCH($A592,'2_Clean_Data'!$A$2:$A$1360,0))</f>
        <v>5</v>
      </c>
      <c r="C592" s="9" t="str">
        <f t="shared" si="36"/>
        <v>Average</v>
      </c>
      <c r="D592" s="11">
        <f>INDEX('2_Clean_Data'!$L$2:$L$1360,MATCH($A592,'2_Clean_Data'!$A$2:$A$1360,0))</f>
        <v>9.6</v>
      </c>
      <c r="E592" s="9" t="str">
        <f>IF(D592&lt;'3_Summary_Tables'!$C$16,"Low",IF(D592&lt;'3_Summary_Tables'!$C$17,"Medium","High"))</f>
        <v>Low</v>
      </c>
      <c r="F592" s="12">
        <f>INDEX('2_Clean_Data'!$C$2:$C$1360,MATCH($A592,'2_Clean_Data'!$A$2:$A$1360,0))</f>
        <v>0.26</v>
      </c>
      <c r="G592" s="10">
        <f>INDEX('2_Clean_Data'!$H$2:$H$1360,MATCH($A592,'2_Clean_Data'!$A$2:$A$1360,0))</f>
        <v>49</v>
      </c>
      <c r="H592" s="9" t="str">
        <f t="shared" si="37"/>
        <v>Low</v>
      </c>
      <c r="I592" s="9" t="str">
        <f t="shared" si="38"/>
        <v>OK</v>
      </c>
      <c r="J592" s="9" t="str">
        <f t="shared" si="39"/>
        <v>Standard</v>
      </c>
    </row>
    <row r="593" spans="1:10" x14ac:dyDescent="0.3">
      <c r="A593" s="10">
        <f>'2_Clean_Data'!A590</f>
        <v>589</v>
      </c>
      <c r="B593" s="10">
        <f>INDEX('2_Clean_Data'!$M$2:$M$1360,MATCH($A593,'2_Clean_Data'!$A$2:$A$1360,0))</f>
        <v>5</v>
      </c>
      <c r="C593" s="9" t="str">
        <f t="shared" si="36"/>
        <v>Average</v>
      </c>
      <c r="D593" s="11">
        <f>INDEX('2_Clean_Data'!$L$2:$L$1360,MATCH($A593,'2_Clean_Data'!$A$2:$A$1360,0))</f>
        <v>9</v>
      </c>
      <c r="E593" s="9" t="str">
        <f>IF(D593&lt;'3_Summary_Tables'!$C$16,"Low",IF(D593&lt;'3_Summary_Tables'!$C$17,"Medium","High"))</f>
        <v>Low</v>
      </c>
      <c r="F593" s="12">
        <f>INDEX('2_Clean_Data'!$C$2:$C$1360,MATCH($A593,'2_Clean_Data'!$A$2:$A$1360,0))</f>
        <v>0.43</v>
      </c>
      <c r="G593" s="10">
        <f>INDEX('2_Clean_Data'!$H$2:$H$1360,MATCH($A593,'2_Clean_Data'!$A$2:$A$1360,0))</f>
        <v>40</v>
      </c>
      <c r="H593" s="9" t="str">
        <f t="shared" si="37"/>
        <v>Low</v>
      </c>
      <c r="I593" s="9" t="str">
        <f t="shared" si="38"/>
        <v>OK</v>
      </c>
      <c r="J593" s="9" t="str">
        <f t="shared" si="39"/>
        <v>Standard</v>
      </c>
    </row>
    <row r="594" spans="1:10" x14ac:dyDescent="0.3">
      <c r="A594" s="10">
        <f>'2_Clean_Data'!A591</f>
        <v>590</v>
      </c>
      <c r="B594" s="10">
        <f>INDEX('2_Clean_Data'!$M$2:$M$1360,MATCH($A594,'2_Clean_Data'!$A$2:$A$1360,0))</f>
        <v>6</v>
      </c>
      <c r="C594" s="9" t="str">
        <f t="shared" si="36"/>
        <v>Above Average</v>
      </c>
      <c r="D594" s="11">
        <f>INDEX('2_Clean_Data'!$L$2:$L$1360,MATCH($A594,'2_Clean_Data'!$A$2:$A$1360,0))</f>
        <v>10.199999999999999</v>
      </c>
      <c r="E594" s="9" t="str">
        <f>IF(D594&lt;'3_Summary_Tables'!$C$16,"Low",IF(D594&lt;'3_Summary_Tables'!$C$17,"Medium","High"))</f>
        <v>Medium</v>
      </c>
      <c r="F594" s="12">
        <f>INDEX('2_Clean_Data'!$C$2:$C$1360,MATCH($A594,'2_Clean_Data'!$A$2:$A$1360,0))</f>
        <v>0.45</v>
      </c>
      <c r="G594" s="10">
        <f>INDEX('2_Clean_Data'!$H$2:$H$1360,MATCH($A594,'2_Clean_Data'!$A$2:$A$1360,0))</f>
        <v>29</v>
      </c>
      <c r="H594" s="9" t="str">
        <f t="shared" si="37"/>
        <v>Low</v>
      </c>
      <c r="I594" s="9" t="str">
        <f t="shared" si="38"/>
        <v>OK</v>
      </c>
      <c r="J594" s="9" t="str">
        <f t="shared" si="39"/>
        <v>Solid</v>
      </c>
    </row>
    <row r="595" spans="1:10" x14ac:dyDescent="0.3">
      <c r="A595" s="10">
        <f>'2_Clean_Data'!A592</f>
        <v>591</v>
      </c>
      <c r="B595" s="10">
        <f>INDEX('2_Clean_Data'!$M$2:$M$1360,MATCH($A595,'2_Clean_Data'!$A$2:$A$1360,0))</f>
        <v>5</v>
      </c>
      <c r="C595" s="9" t="str">
        <f t="shared" si="36"/>
        <v>Average</v>
      </c>
      <c r="D595" s="11">
        <f>INDEX('2_Clean_Data'!$L$2:$L$1360,MATCH($A595,'2_Clean_Data'!$A$2:$A$1360,0))</f>
        <v>9.8000000000000007</v>
      </c>
      <c r="E595" s="9" t="str">
        <f>IF(D595&lt;'3_Summary_Tables'!$C$16,"Low",IF(D595&lt;'3_Summary_Tables'!$C$17,"Medium","High"))</f>
        <v>Low</v>
      </c>
      <c r="F595" s="12">
        <f>INDEX('2_Clean_Data'!$C$2:$C$1360,MATCH($A595,'2_Clean_Data'!$A$2:$A$1360,0))</f>
        <v>0.46</v>
      </c>
      <c r="G595" s="10">
        <f>INDEX('2_Clean_Data'!$H$2:$H$1360,MATCH($A595,'2_Clean_Data'!$A$2:$A$1360,0))</f>
        <v>58</v>
      </c>
      <c r="H595" s="9" t="str">
        <f t="shared" si="37"/>
        <v>Moderate</v>
      </c>
      <c r="I595" s="9" t="str">
        <f t="shared" si="38"/>
        <v>OK</v>
      </c>
      <c r="J595" s="9" t="str">
        <f t="shared" si="39"/>
        <v>Standard</v>
      </c>
    </row>
    <row r="596" spans="1:10" x14ac:dyDescent="0.3">
      <c r="A596" s="10">
        <f>'2_Clean_Data'!A593</f>
        <v>592</v>
      </c>
      <c r="B596" s="10">
        <f>INDEX('2_Clean_Data'!$M$2:$M$1360,MATCH($A596,'2_Clean_Data'!$A$2:$A$1360,0))</f>
        <v>5</v>
      </c>
      <c r="C596" s="9" t="str">
        <f t="shared" si="36"/>
        <v>Average</v>
      </c>
      <c r="D596" s="11">
        <f>INDEX('2_Clean_Data'!$L$2:$L$1360,MATCH($A596,'2_Clean_Data'!$A$2:$A$1360,0))</f>
        <v>11.3</v>
      </c>
      <c r="E596" s="9" t="str">
        <f>IF(D596&lt;'3_Summary_Tables'!$C$16,"Low",IF(D596&lt;'3_Summary_Tables'!$C$17,"Medium","High"))</f>
        <v>Medium</v>
      </c>
      <c r="F596" s="12">
        <f>INDEX('2_Clean_Data'!$C$2:$C$1360,MATCH($A596,'2_Clean_Data'!$A$2:$A$1360,0))</f>
        <v>0.78</v>
      </c>
      <c r="G596" s="10">
        <f>INDEX('2_Clean_Data'!$H$2:$H$1360,MATCH($A596,'2_Clean_Data'!$A$2:$A$1360,0))</f>
        <v>15</v>
      </c>
      <c r="H596" s="9" t="str">
        <f t="shared" si="37"/>
        <v>Low</v>
      </c>
      <c r="I596" s="9" t="str">
        <f t="shared" si="38"/>
        <v>Above limit</v>
      </c>
      <c r="J596" s="9" t="str">
        <f t="shared" si="39"/>
        <v>Standard</v>
      </c>
    </row>
    <row r="597" spans="1:10" x14ac:dyDescent="0.3">
      <c r="A597" s="10">
        <f>'2_Clean_Data'!A594</f>
        <v>593</v>
      </c>
      <c r="B597" s="10">
        <f>INDEX('2_Clean_Data'!$M$2:$M$1360,MATCH($A597,'2_Clean_Data'!$A$2:$A$1360,0))</f>
        <v>5</v>
      </c>
      <c r="C597" s="9" t="str">
        <f t="shared" si="36"/>
        <v>Average</v>
      </c>
      <c r="D597" s="11">
        <f>INDEX('2_Clean_Data'!$L$2:$L$1360,MATCH($A597,'2_Clean_Data'!$A$2:$A$1360,0))</f>
        <v>9.4</v>
      </c>
      <c r="E597" s="9" t="str">
        <f>IF(D597&lt;'3_Summary_Tables'!$C$16,"Low",IF(D597&lt;'3_Summary_Tables'!$C$17,"Medium","High"))</f>
        <v>Low</v>
      </c>
      <c r="F597" s="12">
        <f>INDEX('2_Clean_Data'!$C$2:$C$1360,MATCH($A597,'2_Clean_Data'!$A$2:$A$1360,0))</f>
        <v>0.98</v>
      </c>
      <c r="G597" s="10">
        <f>INDEX('2_Clean_Data'!$H$2:$H$1360,MATCH($A597,'2_Clean_Data'!$A$2:$A$1360,0))</f>
        <v>152</v>
      </c>
      <c r="H597" s="9" t="str">
        <f t="shared" si="37"/>
        <v>High</v>
      </c>
      <c r="I597" s="9" t="str">
        <f t="shared" si="38"/>
        <v>Above limit</v>
      </c>
      <c r="J597" s="9" t="str">
        <f t="shared" si="39"/>
        <v>Standard</v>
      </c>
    </row>
    <row r="598" spans="1:10" x14ac:dyDescent="0.3">
      <c r="A598" s="10">
        <f>'2_Clean_Data'!A595</f>
        <v>594</v>
      </c>
      <c r="B598" s="10">
        <f>INDEX('2_Clean_Data'!$M$2:$M$1360,MATCH($A598,'2_Clean_Data'!$A$2:$A$1360,0))</f>
        <v>5</v>
      </c>
      <c r="C598" s="9" t="str">
        <f t="shared" si="36"/>
        <v>Average</v>
      </c>
      <c r="D598" s="11">
        <f>INDEX('2_Clean_Data'!$L$2:$L$1360,MATCH($A598,'2_Clean_Data'!$A$2:$A$1360,0))</f>
        <v>9.1</v>
      </c>
      <c r="E598" s="9" t="str">
        <f>IF(D598&lt;'3_Summary_Tables'!$C$16,"Low",IF(D598&lt;'3_Summary_Tables'!$C$17,"Medium","High"))</f>
        <v>Low</v>
      </c>
      <c r="F598" s="12">
        <f>INDEX('2_Clean_Data'!$C$2:$C$1360,MATCH($A598,'2_Clean_Data'!$A$2:$A$1360,0))</f>
        <v>0.65</v>
      </c>
      <c r="G598" s="10">
        <f>INDEX('2_Clean_Data'!$H$2:$H$1360,MATCH($A598,'2_Clean_Data'!$A$2:$A$1360,0))</f>
        <v>40</v>
      </c>
      <c r="H598" s="9" t="str">
        <f t="shared" si="37"/>
        <v>Low</v>
      </c>
      <c r="I598" s="9" t="str">
        <f t="shared" si="38"/>
        <v>OK</v>
      </c>
      <c r="J598" s="9" t="str">
        <f t="shared" si="39"/>
        <v>Standard</v>
      </c>
    </row>
    <row r="599" spans="1:10" x14ac:dyDescent="0.3">
      <c r="A599" s="10">
        <f>'2_Clean_Data'!A596</f>
        <v>595</v>
      </c>
      <c r="B599" s="10">
        <f>INDEX('2_Clean_Data'!$M$2:$M$1360,MATCH($A599,'2_Clean_Data'!$A$2:$A$1360,0))</f>
        <v>5</v>
      </c>
      <c r="C599" s="9" t="str">
        <f t="shared" si="36"/>
        <v>Average</v>
      </c>
      <c r="D599" s="11">
        <f>INDEX('2_Clean_Data'!$L$2:$L$1360,MATCH($A599,'2_Clean_Data'!$A$2:$A$1360,0))</f>
        <v>9.6999999999999993</v>
      </c>
      <c r="E599" s="9" t="str">
        <f>IF(D599&lt;'3_Summary_Tables'!$C$16,"Low",IF(D599&lt;'3_Summary_Tables'!$C$17,"Medium","High"))</f>
        <v>Low</v>
      </c>
      <c r="F599" s="12">
        <f>INDEX('2_Clean_Data'!$C$2:$C$1360,MATCH($A599,'2_Clean_Data'!$A$2:$A$1360,0))</f>
        <v>0.64</v>
      </c>
      <c r="G599" s="10">
        <f>INDEX('2_Clean_Data'!$H$2:$H$1360,MATCH($A599,'2_Clean_Data'!$A$2:$A$1360,0))</f>
        <v>38</v>
      </c>
      <c r="H599" s="9" t="str">
        <f t="shared" si="37"/>
        <v>Low</v>
      </c>
      <c r="I599" s="9" t="str">
        <f t="shared" si="38"/>
        <v>OK</v>
      </c>
      <c r="J599" s="9" t="str">
        <f t="shared" si="39"/>
        <v>Standard</v>
      </c>
    </row>
    <row r="600" spans="1:10" x14ac:dyDescent="0.3">
      <c r="A600" s="10">
        <f>'2_Clean_Data'!A597</f>
        <v>596</v>
      </c>
      <c r="B600" s="10">
        <f>INDEX('2_Clean_Data'!$M$2:$M$1360,MATCH($A600,'2_Clean_Data'!$A$2:$A$1360,0))</f>
        <v>5</v>
      </c>
      <c r="C600" s="9" t="str">
        <f t="shared" si="36"/>
        <v>Average</v>
      </c>
      <c r="D600" s="11">
        <f>INDEX('2_Clean_Data'!$L$2:$L$1360,MATCH($A600,'2_Clean_Data'!$A$2:$A$1360,0))</f>
        <v>9.4</v>
      </c>
      <c r="E600" s="9" t="str">
        <f>IF(D600&lt;'3_Summary_Tables'!$C$16,"Low",IF(D600&lt;'3_Summary_Tables'!$C$17,"Medium","High"))</f>
        <v>Low</v>
      </c>
      <c r="F600" s="12">
        <f>INDEX('2_Clean_Data'!$C$2:$C$1360,MATCH($A600,'2_Clean_Data'!$A$2:$A$1360,0))</f>
        <v>0.66</v>
      </c>
      <c r="G600" s="10">
        <f>INDEX('2_Clean_Data'!$H$2:$H$1360,MATCH($A600,'2_Clean_Data'!$A$2:$A$1360,0))</f>
        <v>9</v>
      </c>
      <c r="H600" s="9" t="str">
        <f t="shared" si="37"/>
        <v>Low</v>
      </c>
      <c r="I600" s="9" t="str">
        <f t="shared" si="38"/>
        <v>OK</v>
      </c>
      <c r="J600" s="9" t="str">
        <f t="shared" si="39"/>
        <v>Standard</v>
      </c>
    </row>
    <row r="601" spans="1:10" x14ac:dyDescent="0.3">
      <c r="A601" s="10">
        <f>'2_Clean_Data'!A598</f>
        <v>597</v>
      </c>
      <c r="B601" s="10">
        <f>INDEX('2_Clean_Data'!$M$2:$M$1360,MATCH($A601,'2_Clean_Data'!$A$2:$A$1360,0))</f>
        <v>5</v>
      </c>
      <c r="C601" s="9" t="str">
        <f t="shared" si="36"/>
        <v>Average</v>
      </c>
      <c r="D601" s="11">
        <f>INDEX('2_Clean_Data'!$L$2:$L$1360,MATCH($A601,'2_Clean_Data'!$A$2:$A$1360,0))</f>
        <v>9.4</v>
      </c>
      <c r="E601" s="9" t="str">
        <f>IF(D601&lt;'3_Summary_Tables'!$C$16,"Low",IF(D601&lt;'3_Summary_Tables'!$C$17,"Medium","High"))</f>
        <v>Low</v>
      </c>
      <c r="F601" s="12">
        <f>INDEX('2_Clean_Data'!$C$2:$C$1360,MATCH($A601,'2_Clean_Data'!$A$2:$A$1360,0))</f>
        <v>0.38</v>
      </c>
      <c r="G601" s="10">
        <f>INDEX('2_Clean_Data'!$H$2:$H$1360,MATCH($A601,'2_Clean_Data'!$A$2:$A$1360,0))</f>
        <v>17</v>
      </c>
      <c r="H601" s="9" t="str">
        <f t="shared" si="37"/>
        <v>Low</v>
      </c>
      <c r="I601" s="9" t="str">
        <f t="shared" si="38"/>
        <v>OK</v>
      </c>
      <c r="J601" s="9" t="str">
        <f t="shared" si="39"/>
        <v>Standard</v>
      </c>
    </row>
    <row r="602" spans="1:10" x14ac:dyDescent="0.3">
      <c r="A602" s="10">
        <f>'2_Clean_Data'!A599</f>
        <v>598</v>
      </c>
      <c r="B602" s="10">
        <f>INDEX('2_Clean_Data'!$M$2:$M$1360,MATCH($A602,'2_Clean_Data'!$A$2:$A$1360,0))</f>
        <v>3</v>
      </c>
      <c r="C602" s="9" t="str">
        <f t="shared" si="36"/>
        <v>Poor</v>
      </c>
      <c r="D602" s="11">
        <f>INDEX('2_Clean_Data'!$L$2:$L$1360,MATCH($A602,'2_Clean_Data'!$A$2:$A$1360,0))</f>
        <v>10.7</v>
      </c>
      <c r="E602" s="9" t="str">
        <f>IF(D602&lt;'3_Summary_Tables'!$C$16,"Low",IF(D602&lt;'3_Summary_Tables'!$C$17,"Medium","High"))</f>
        <v>Medium</v>
      </c>
      <c r="F602" s="12">
        <f>INDEX('2_Clean_Data'!$C$2:$C$1360,MATCH($A602,'2_Clean_Data'!$A$2:$A$1360,0))</f>
        <v>1.1850000000000001</v>
      </c>
      <c r="G602" s="10">
        <f>INDEX('2_Clean_Data'!$H$2:$H$1360,MATCH($A602,'2_Clean_Data'!$A$2:$A$1360,0))</f>
        <v>14</v>
      </c>
      <c r="H602" s="9" t="str">
        <f t="shared" si="37"/>
        <v>Low</v>
      </c>
      <c r="I602" s="9" t="str">
        <f t="shared" si="38"/>
        <v>Above limit</v>
      </c>
      <c r="J602" s="9" t="str">
        <f t="shared" si="39"/>
        <v>Poor</v>
      </c>
    </row>
    <row r="603" spans="1:10" x14ac:dyDescent="0.3">
      <c r="A603" s="10">
        <f>'2_Clean_Data'!A600</f>
        <v>599</v>
      </c>
      <c r="B603" s="10">
        <f>INDEX('2_Clean_Data'!$M$2:$M$1360,MATCH($A603,'2_Clean_Data'!$A$2:$A$1360,0))</f>
        <v>5</v>
      </c>
      <c r="C603" s="9" t="str">
        <f t="shared" si="36"/>
        <v>Average</v>
      </c>
      <c r="D603" s="11">
        <f>INDEX('2_Clean_Data'!$L$2:$L$1360,MATCH($A603,'2_Clean_Data'!$A$2:$A$1360,0))</f>
        <v>9.8000000000000007</v>
      </c>
      <c r="E603" s="9" t="str">
        <f>IF(D603&lt;'3_Summary_Tables'!$C$16,"Low",IF(D603&lt;'3_Summary_Tables'!$C$17,"Medium","High"))</f>
        <v>Low</v>
      </c>
      <c r="F603" s="12">
        <f>INDEX('2_Clean_Data'!$C$2:$C$1360,MATCH($A603,'2_Clean_Data'!$A$2:$A$1360,0))</f>
        <v>0.92</v>
      </c>
      <c r="G603" s="10">
        <f>INDEX('2_Clean_Data'!$H$2:$H$1360,MATCH($A603,'2_Clean_Data'!$A$2:$A$1360,0))</f>
        <v>93</v>
      </c>
      <c r="H603" s="9" t="str">
        <f t="shared" si="37"/>
        <v>Moderate</v>
      </c>
      <c r="I603" s="9" t="str">
        <f t="shared" si="38"/>
        <v>Above limit</v>
      </c>
      <c r="J603" s="9" t="str">
        <f t="shared" si="39"/>
        <v>Standard</v>
      </c>
    </row>
    <row r="604" spans="1:10" x14ac:dyDescent="0.3">
      <c r="A604" s="10">
        <f>'2_Clean_Data'!A601</f>
        <v>600</v>
      </c>
      <c r="B604" s="10">
        <f>INDEX('2_Clean_Data'!$M$2:$M$1360,MATCH($A604,'2_Clean_Data'!$A$2:$A$1360,0))</f>
        <v>5</v>
      </c>
      <c r="C604" s="9" t="str">
        <f t="shared" si="36"/>
        <v>Average</v>
      </c>
      <c r="D604" s="11">
        <f>INDEX('2_Clean_Data'!$L$2:$L$1360,MATCH($A604,'2_Clean_Data'!$A$2:$A$1360,0))</f>
        <v>9</v>
      </c>
      <c r="E604" s="9" t="str">
        <f>IF(D604&lt;'3_Summary_Tables'!$C$16,"Low",IF(D604&lt;'3_Summary_Tables'!$C$17,"Medium","High"))</f>
        <v>Low</v>
      </c>
      <c r="F604" s="12">
        <f>INDEX('2_Clean_Data'!$C$2:$C$1360,MATCH($A604,'2_Clean_Data'!$A$2:$A$1360,0))</f>
        <v>0.49</v>
      </c>
      <c r="G604" s="10">
        <f>INDEX('2_Clean_Data'!$H$2:$H$1360,MATCH($A604,'2_Clean_Data'!$A$2:$A$1360,0))</f>
        <v>62</v>
      </c>
      <c r="H604" s="9" t="str">
        <f t="shared" si="37"/>
        <v>Moderate</v>
      </c>
      <c r="I604" s="9" t="str">
        <f t="shared" si="38"/>
        <v>OK</v>
      </c>
      <c r="J604" s="9" t="str">
        <f t="shared" si="39"/>
        <v>Standard</v>
      </c>
    </row>
    <row r="605" spans="1:10" x14ac:dyDescent="0.3">
      <c r="A605" s="10">
        <f>'2_Clean_Data'!A602</f>
        <v>601</v>
      </c>
      <c r="B605" s="10">
        <f>INDEX('2_Clean_Data'!$M$2:$M$1360,MATCH($A605,'2_Clean_Data'!$A$2:$A$1360,0))</f>
        <v>5</v>
      </c>
      <c r="C605" s="9" t="str">
        <f t="shared" si="36"/>
        <v>Average</v>
      </c>
      <c r="D605" s="11">
        <f>INDEX('2_Clean_Data'!$L$2:$L$1360,MATCH($A605,'2_Clean_Data'!$A$2:$A$1360,0))</f>
        <v>9.4</v>
      </c>
      <c r="E605" s="9" t="str">
        <f>IF(D605&lt;'3_Summary_Tables'!$C$16,"Low",IF(D605&lt;'3_Summary_Tables'!$C$17,"Medium","High"))</f>
        <v>Low</v>
      </c>
      <c r="F605" s="12">
        <f>INDEX('2_Clean_Data'!$C$2:$C$1360,MATCH($A605,'2_Clean_Data'!$A$2:$A$1360,0))</f>
        <v>0.48</v>
      </c>
      <c r="G605" s="10">
        <f>INDEX('2_Clean_Data'!$H$2:$H$1360,MATCH($A605,'2_Clean_Data'!$A$2:$A$1360,0))</f>
        <v>122</v>
      </c>
      <c r="H605" s="9" t="str">
        <f t="shared" si="37"/>
        <v>High</v>
      </c>
      <c r="I605" s="9" t="str">
        <f t="shared" si="38"/>
        <v>OK</v>
      </c>
      <c r="J605" s="9" t="str">
        <f t="shared" si="39"/>
        <v>Standard</v>
      </c>
    </row>
    <row r="606" spans="1:10" x14ac:dyDescent="0.3">
      <c r="A606" s="10">
        <f>'2_Clean_Data'!A603</f>
        <v>602</v>
      </c>
      <c r="B606" s="10">
        <f>INDEX('2_Clean_Data'!$M$2:$M$1360,MATCH($A606,'2_Clean_Data'!$A$2:$A$1360,0))</f>
        <v>5</v>
      </c>
      <c r="C606" s="9" t="str">
        <f t="shared" si="36"/>
        <v>Average</v>
      </c>
      <c r="D606" s="11">
        <f>INDEX('2_Clean_Data'!$L$2:$L$1360,MATCH($A606,'2_Clean_Data'!$A$2:$A$1360,0))</f>
        <v>9.4</v>
      </c>
      <c r="E606" s="9" t="str">
        <f>IF(D606&lt;'3_Summary_Tables'!$C$16,"Low",IF(D606&lt;'3_Summary_Tables'!$C$17,"Medium","High"))</f>
        <v>Low</v>
      </c>
      <c r="F606" s="12">
        <f>INDEX('2_Clean_Data'!$C$2:$C$1360,MATCH($A606,'2_Clean_Data'!$A$2:$A$1360,0))</f>
        <v>0.47</v>
      </c>
      <c r="G606" s="10">
        <f>INDEX('2_Clean_Data'!$H$2:$H$1360,MATCH($A606,'2_Clean_Data'!$A$2:$A$1360,0))</f>
        <v>125</v>
      </c>
      <c r="H606" s="9" t="str">
        <f t="shared" si="37"/>
        <v>High</v>
      </c>
      <c r="I606" s="9" t="str">
        <f t="shared" si="38"/>
        <v>OK</v>
      </c>
      <c r="J606" s="9" t="str">
        <f t="shared" si="39"/>
        <v>Standard</v>
      </c>
    </row>
    <row r="607" spans="1:10" x14ac:dyDescent="0.3">
      <c r="A607" s="10">
        <f>'2_Clean_Data'!A604</f>
        <v>603</v>
      </c>
      <c r="B607" s="10">
        <f>INDEX('2_Clean_Data'!$M$2:$M$1360,MATCH($A607,'2_Clean_Data'!$A$2:$A$1360,0))</f>
        <v>6</v>
      </c>
      <c r="C607" s="9" t="str">
        <f t="shared" si="36"/>
        <v>Above Average</v>
      </c>
      <c r="D607" s="11">
        <f>INDEX('2_Clean_Data'!$L$2:$L$1360,MATCH($A607,'2_Clean_Data'!$A$2:$A$1360,0))</f>
        <v>12.8</v>
      </c>
      <c r="E607" s="9" t="str">
        <f>IF(D607&lt;'3_Summary_Tables'!$C$16,"Low",IF(D607&lt;'3_Summary_Tables'!$C$17,"Medium","High"))</f>
        <v>High</v>
      </c>
      <c r="F607" s="12">
        <f>INDEX('2_Clean_Data'!$C$2:$C$1360,MATCH($A607,'2_Clean_Data'!$A$2:$A$1360,0))</f>
        <v>0.47</v>
      </c>
      <c r="G607" s="10">
        <f>INDEX('2_Clean_Data'!$H$2:$H$1360,MATCH($A607,'2_Clean_Data'!$A$2:$A$1360,0))</f>
        <v>44</v>
      </c>
      <c r="H607" s="9" t="str">
        <f t="shared" si="37"/>
        <v>Low</v>
      </c>
      <c r="I607" s="9" t="str">
        <f t="shared" si="38"/>
        <v>OK</v>
      </c>
      <c r="J607" s="9" t="str">
        <f t="shared" si="39"/>
        <v>Solid</v>
      </c>
    </row>
    <row r="608" spans="1:10" x14ac:dyDescent="0.3">
      <c r="A608" s="10">
        <f>'2_Clean_Data'!A605</f>
        <v>604</v>
      </c>
      <c r="B608" s="10">
        <f>INDEX('2_Clean_Data'!$M$2:$M$1360,MATCH($A608,'2_Clean_Data'!$A$2:$A$1360,0))</f>
        <v>6</v>
      </c>
      <c r="C608" s="9" t="str">
        <f t="shared" si="36"/>
        <v>Above Average</v>
      </c>
      <c r="D608" s="11">
        <f>INDEX('2_Clean_Data'!$L$2:$L$1360,MATCH($A608,'2_Clean_Data'!$A$2:$A$1360,0))</f>
        <v>9.5</v>
      </c>
      <c r="E608" s="9" t="str">
        <f>IF(D608&lt;'3_Summary_Tables'!$C$16,"Low",IF(D608&lt;'3_Summary_Tables'!$C$17,"Medium","High"))</f>
        <v>Low</v>
      </c>
      <c r="F608" s="12">
        <f>INDEX('2_Clean_Data'!$C$2:$C$1360,MATCH($A608,'2_Clean_Data'!$A$2:$A$1360,0))</f>
        <v>0.65</v>
      </c>
      <c r="G608" s="10">
        <f>INDEX('2_Clean_Data'!$H$2:$H$1360,MATCH($A608,'2_Clean_Data'!$A$2:$A$1360,0))</f>
        <v>25</v>
      </c>
      <c r="H608" s="9" t="str">
        <f t="shared" si="37"/>
        <v>Low</v>
      </c>
      <c r="I608" s="9" t="str">
        <f t="shared" si="38"/>
        <v>OK</v>
      </c>
      <c r="J608" s="9" t="str">
        <f t="shared" si="39"/>
        <v>Solid</v>
      </c>
    </row>
    <row r="609" spans="1:10" x14ac:dyDescent="0.3">
      <c r="A609" s="10">
        <f>'2_Clean_Data'!A606</f>
        <v>605</v>
      </c>
      <c r="B609" s="10">
        <f>INDEX('2_Clean_Data'!$M$2:$M$1360,MATCH($A609,'2_Clean_Data'!$A$2:$A$1360,0))</f>
        <v>5</v>
      </c>
      <c r="C609" s="9" t="str">
        <f t="shared" si="36"/>
        <v>Average</v>
      </c>
      <c r="D609" s="11">
        <f>INDEX('2_Clean_Data'!$L$2:$L$1360,MATCH($A609,'2_Clean_Data'!$A$2:$A$1360,0))</f>
        <v>9.6999999999999993</v>
      </c>
      <c r="E609" s="9" t="str">
        <f>IF(D609&lt;'3_Summary_Tables'!$C$16,"Low",IF(D609&lt;'3_Summary_Tables'!$C$17,"Medium","High"))</f>
        <v>Low</v>
      </c>
      <c r="F609" s="12">
        <f>INDEX('2_Clean_Data'!$C$2:$C$1360,MATCH($A609,'2_Clean_Data'!$A$2:$A$1360,0))</f>
        <v>0.61499999999999999</v>
      </c>
      <c r="G609" s="10">
        <f>INDEX('2_Clean_Data'!$H$2:$H$1360,MATCH($A609,'2_Clean_Data'!$A$2:$A$1360,0))</f>
        <v>72</v>
      </c>
      <c r="H609" s="9" t="str">
        <f t="shared" si="37"/>
        <v>Moderate</v>
      </c>
      <c r="I609" s="9" t="str">
        <f t="shared" si="38"/>
        <v>OK</v>
      </c>
      <c r="J609" s="9" t="str">
        <f t="shared" si="39"/>
        <v>Standard</v>
      </c>
    </row>
    <row r="610" spans="1:10" x14ac:dyDescent="0.3">
      <c r="A610" s="10">
        <f>'2_Clean_Data'!A607</f>
        <v>606</v>
      </c>
      <c r="B610" s="10">
        <f>INDEX('2_Clean_Data'!$M$2:$M$1360,MATCH($A610,'2_Clean_Data'!$A$2:$A$1360,0))</f>
        <v>6</v>
      </c>
      <c r="C610" s="9" t="str">
        <f t="shared" si="36"/>
        <v>Above Average</v>
      </c>
      <c r="D610" s="11">
        <f>INDEX('2_Clean_Data'!$L$2:$L$1360,MATCH($A610,'2_Clean_Data'!$A$2:$A$1360,0))</f>
        <v>10.8</v>
      </c>
      <c r="E610" s="9" t="str">
        <f>IF(D610&lt;'3_Summary_Tables'!$C$16,"Low",IF(D610&lt;'3_Summary_Tables'!$C$17,"Medium","High"))</f>
        <v>Medium</v>
      </c>
      <c r="F610" s="12">
        <f>INDEX('2_Clean_Data'!$C$2:$C$1360,MATCH($A610,'2_Clean_Data'!$A$2:$A$1360,0))</f>
        <v>0.38</v>
      </c>
      <c r="G610" s="10">
        <f>INDEX('2_Clean_Data'!$H$2:$H$1360,MATCH($A610,'2_Clean_Data'!$A$2:$A$1360,0))</f>
        <v>19</v>
      </c>
      <c r="H610" s="9" t="str">
        <f t="shared" si="37"/>
        <v>Low</v>
      </c>
      <c r="I610" s="9" t="str">
        <f t="shared" si="38"/>
        <v>OK</v>
      </c>
      <c r="J610" s="9" t="str">
        <f t="shared" si="39"/>
        <v>Solid</v>
      </c>
    </row>
    <row r="611" spans="1:10" x14ac:dyDescent="0.3">
      <c r="A611" s="10">
        <f>'2_Clean_Data'!A608</f>
        <v>607</v>
      </c>
      <c r="B611" s="10">
        <f>INDEX('2_Clean_Data'!$M$2:$M$1360,MATCH($A611,'2_Clean_Data'!$A$2:$A$1360,0))</f>
        <v>6</v>
      </c>
      <c r="C611" s="9" t="str">
        <f t="shared" si="36"/>
        <v>Above Average</v>
      </c>
      <c r="D611" s="11">
        <f>INDEX('2_Clean_Data'!$L$2:$L$1360,MATCH($A611,'2_Clean_Data'!$A$2:$A$1360,0))</f>
        <v>10.1</v>
      </c>
      <c r="E611" s="9" t="str">
        <f>IF(D611&lt;'3_Summary_Tables'!$C$16,"Low",IF(D611&lt;'3_Summary_Tables'!$C$17,"Medium","High"))</f>
        <v>Medium</v>
      </c>
      <c r="F611" s="12">
        <f>INDEX('2_Clean_Data'!$C$2:$C$1360,MATCH($A611,'2_Clean_Data'!$A$2:$A$1360,0))</f>
        <v>1.02</v>
      </c>
      <c r="G611" s="10">
        <f>INDEX('2_Clean_Data'!$H$2:$H$1360,MATCH($A611,'2_Clean_Data'!$A$2:$A$1360,0))</f>
        <v>88</v>
      </c>
      <c r="H611" s="9" t="str">
        <f t="shared" si="37"/>
        <v>Moderate</v>
      </c>
      <c r="I611" s="9" t="str">
        <f t="shared" si="38"/>
        <v>Above limit</v>
      </c>
      <c r="J611" s="9" t="str">
        <f t="shared" si="39"/>
        <v>Standard</v>
      </c>
    </row>
    <row r="612" spans="1:10" x14ac:dyDescent="0.3">
      <c r="A612" s="10">
        <f>'2_Clean_Data'!A609</f>
        <v>608</v>
      </c>
      <c r="B612" s="10">
        <f>INDEX('2_Clean_Data'!$M$2:$M$1360,MATCH($A612,'2_Clean_Data'!$A$2:$A$1360,0))</f>
        <v>6</v>
      </c>
      <c r="C612" s="9" t="str">
        <f t="shared" si="36"/>
        <v>Above Average</v>
      </c>
      <c r="D612" s="11">
        <f>INDEX('2_Clean_Data'!$L$2:$L$1360,MATCH($A612,'2_Clean_Data'!$A$2:$A$1360,0))</f>
        <v>9.4</v>
      </c>
      <c r="E612" s="9" t="str">
        <f>IF(D612&lt;'3_Summary_Tables'!$C$16,"Low",IF(D612&lt;'3_Summary_Tables'!$C$17,"Medium","High"))</f>
        <v>Low</v>
      </c>
      <c r="F612" s="12">
        <f>INDEX('2_Clean_Data'!$C$2:$C$1360,MATCH($A612,'2_Clean_Data'!$A$2:$A$1360,0))</f>
        <v>0.64</v>
      </c>
      <c r="G612" s="10">
        <f>INDEX('2_Clean_Data'!$H$2:$H$1360,MATCH($A612,'2_Clean_Data'!$A$2:$A$1360,0))</f>
        <v>23</v>
      </c>
      <c r="H612" s="9" t="str">
        <f t="shared" si="37"/>
        <v>Low</v>
      </c>
      <c r="I612" s="9" t="str">
        <f t="shared" si="38"/>
        <v>OK</v>
      </c>
      <c r="J612" s="9" t="str">
        <f t="shared" si="39"/>
        <v>Solid</v>
      </c>
    </row>
    <row r="613" spans="1:10" x14ac:dyDescent="0.3">
      <c r="A613" s="10">
        <f>'2_Clean_Data'!A610</f>
        <v>609</v>
      </c>
      <c r="B613" s="10">
        <f>INDEX('2_Clean_Data'!$M$2:$M$1360,MATCH($A613,'2_Clean_Data'!$A$2:$A$1360,0))</f>
        <v>4</v>
      </c>
      <c r="C613" s="9" t="str">
        <f t="shared" si="36"/>
        <v>Poor</v>
      </c>
      <c r="D613" s="11">
        <f>INDEX('2_Clean_Data'!$L$2:$L$1360,MATCH($A613,'2_Clean_Data'!$A$2:$A$1360,0))</f>
        <v>9.6</v>
      </c>
      <c r="E613" s="9" t="str">
        <f>IF(D613&lt;'3_Summary_Tables'!$C$16,"Low",IF(D613&lt;'3_Summary_Tables'!$C$17,"Medium","High"))</f>
        <v>Low</v>
      </c>
      <c r="F613" s="12">
        <f>INDEX('2_Clean_Data'!$C$2:$C$1360,MATCH($A613,'2_Clean_Data'!$A$2:$A$1360,0))</f>
        <v>0.38</v>
      </c>
      <c r="G613" s="10">
        <f>INDEX('2_Clean_Data'!$H$2:$H$1360,MATCH($A613,'2_Clean_Data'!$A$2:$A$1360,0))</f>
        <v>84</v>
      </c>
      <c r="H613" s="9" t="str">
        <f t="shared" si="37"/>
        <v>Moderate</v>
      </c>
      <c r="I613" s="9" t="str">
        <f t="shared" si="38"/>
        <v>OK</v>
      </c>
      <c r="J613" s="9" t="str">
        <f t="shared" si="39"/>
        <v>Poor</v>
      </c>
    </row>
    <row r="614" spans="1:10" x14ac:dyDescent="0.3">
      <c r="A614" s="10">
        <f>'2_Clean_Data'!A611</f>
        <v>610</v>
      </c>
      <c r="B614" s="10">
        <f>INDEX('2_Clean_Data'!$M$2:$M$1360,MATCH($A614,'2_Clean_Data'!$A$2:$A$1360,0))</f>
        <v>4</v>
      </c>
      <c r="C614" s="9" t="str">
        <f t="shared" si="36"/>
        <v>Poor</v>
      </c>
      <c r="D614" s="11">
        <f>INDEX('2_Clean_Data'!$L$2:$L$1360,MATCH($A614,'2_Clean_Data'!$A$2:$A$1360,0))</f>
        <v>9.6999999999999993</v>
      </c>
      <c r="E614" s="9" t="str">
        <f>IF(D614&lt;'3_Summary_Tables'!$C$16,"Low",IF(D614&lt;'3_Summary_Tables'!$C$17,"Medium","High"))</f>
        <v>Low</v>
      </c>
      <c r="F614" s="12">
        <f>INDEX('2_Clean_Data'!$C$2:$C$1360,MATCH($A614,'2_Clean_Data'!$A$2:$A$1360,0))</f>
        <v>0.76500000000000001</v>
      </c>
      <c r="G614" s="10">
        <f>INDEX('2_Clean_Data'!$H$2:$H$1360,MATCH($A614,'2_Clean_Data'!$A$2:$A$1360,0))</f>
        <v>14</v>
      </c>
      <c r="H614" s="9" t="str">
        <f t="shared" si="37"/>
        <v>Low</v>
      </c>
      <c r="I614" s="9" t="str">
        <f t="shared" si="38"/>
        <v>Above limit</v>
      </c>
      <c r="J614" s="9" t="str">
        <f t="shared" si="39"/>
        <v>Poor</v>
      </c>
    </row>
    <row r="615" spans="1:10" x14ac:dyDescent="0.3">
      <c r="A615" s="10">
        <f>'2_Clean_Data'!A612</f>
        <v>611</v>
      </c>
      <c r="B615" s="10">
        <f>INDEX('2_Clean_Data'!$M$2:$M$1360,MATCH($A615,'2_Clean_Data'!$A$2:$A$1360,0))</f>
        <v>5</v>
      </c>
      <c r="C615" s="9" t="str">
        <f t="shared" si="36"/>
        <v>Average</v>
      </c>
      <c r="D615" s="11">
        <f>INDEX('2_Clean_Data'!$L$2:$L$1360,MATCH($A615,'2_Clean_Data'!$A$2:$A$1360,0))</f>
        <v>9.9</v>
      </c>
      <c r="E615" s="9" t="str">
        <f>IF(D615&lt;'3_Summary_Tables'!$C$16,"Low",IF(D615&lt;'3_Summary_Tables'!$C$17,"Medium","High"))</f>
        <v>Low</v>
      </c>
      <c r="F615" s="12">
        <f>INDEX('2_Clean_Data'!$C$2:$C$1360,MATCH($A615,'2_Clean_Data'!$A$2:$A$1360,0))</f>
        <v>1.0349999999999999</v>
      </c>
      <c r="G615" s="10">
        <f>INDEX('2_Clean_Data'!$H$2:$H$1360,MATCH($A615,'2_Clean_Data'!$A$2:$A$1360,0))</f>
        <v>54</v>
      </c>
      <c r="H615" s="9" t="str">
        <f t="shared" si="37"/>
        <v>Moderate</v>
      </c>
      <c r="I615" s="9" t="str">
        <f t="shared" si="38"/>
        <v>Above limit</v>
      </c>
      <c r="J615" s="9" t="str">
        <f t="shared" si="39"/>
        <v>Standard</v>
      </c>
    </row>
    <row r="616" spans="1:10" x14ac:dyDescent="0.3">
      <c r="A616" s="10">
        <f>'2_Clean_Data'!A613</f>
        <v>612</v>
      </c>
      <c r="B616" s="10">
        <f>INDEX('2_Clean_Data'!$M$2:$M$1360,MATCH($A616,'2_Clean_Data'!$A$2:$A$1360,0))</f>
        <v>5</v>
      </c>
      <c r="C616" s="9" t="str">
        <f t="shared" si="36"/>
        <v>Average</v>
      </c>
      <c r="D616" s="11">
        <f>INDEX('2_Clean_Data'!$L$2:$L$1360,MATCH($A616,'2_Clean_Data'!$A$2:$A$1360,0))</f>
        <v>10</v>
      </c>
      <c r="E616" s="9" t="str">
        <f>IF(D616&lt;'3_Summary_Tables'!$C$16,"Low",IF(D616&lt;'3_Summary_Tables'!$C$17,"Medium","High"))</f>
        <v>Medium</v>
      </c>
      <c r="F616" s="12">
        <f>INDEX('2_Clean_Data'!$C$2:$C$1360,MATCH($A616,'2_Clean_Data'!$A$2:$A$1360,0))</f>
        <v>0.78</v>
      </c>
      <c r="G616" s="10">
        <f>INDEX('2_Clean_Data'!$H$2:$H$1360,MATCH($A616,'2_Clean_Data'!$A$2:$A$1360,0))</f>
        <v>19</v>
      </c>
      <c r="H616" s="9" t="str">
        <f t="shared" si="37"/>
        <v>Low</v>
      </c>
      <c r="I616" s="9" t="str">
        <f t="shared" si="38"/>
        <v>Above limit</v>
      </c>
      <c r="J616" s="9" t="str">
        <f t="shared" si="39"/>
        <v>Standard</v>
      </c>
    </row>
    <row r="617" spans="1:10" x14ac:dyDescent="0.3">
      <c r="A617" s="10">
        <f>'2_Clean_Data'!A614</f>
        <v>613</v>
      </c>
      <c r="B617" s="10">
        <f>INDEX('2_Clean_Data'!$M$2:$M$1360,MATCH($A617,'2_Clean_Data'!$A$2:$A$1360,0))</f>
        <v>5</v>
      </c>
      <c r="C617" s="9" t="str">
        <f t="shared" si="36"/>
        <v>Average</v>
      </c>
      <c r="D617" s="11">
        <f>INDEX('2_Clean_Data'!$L$2:$L$1360,MATCH($A617,'2_Clean_Data'!$A$2:$A$1360,0))</f>
        <v>10.5</v>
      </c>
      <c r="E617" s="9" t="str">
        <f>IF(D617&lt;'3_Summary_Tables'!$C$16,"Low",IF(D617&lt;'3_Summary_Tables'!$C$17,"Medium","High"))</f>
        <v>Medium</v>
      </c>
      <c r="F617" s="12">
        <f>INDEX('2_Clean_Data'!$C$2:$C$1360,MATCH($A617,'2_Clean_Data'!$A$2:$A$1360,0))</f>
        <v>0.49</v>
      </c>
      <c r="G617" s="10">
        <f>INDEX('2_Clean_Data'!$H$2:$H$1360,MATCH($A617,'2_Clean_Data'!$A$2:$A$1360,0))</f>
        <v>37</v>
      </c>
      <c r="H617" s="9" t="str">
        <f t="shared" si="37"/>
        <v>Low</v>
      </c>
      <c r="I617" s="9" t="str">
        <f t="shared" si="38"/>
        <v>OK</v>
      </c>
      <c r="J617" s="9" t="str">
        <f t="shared" si="39"/>
        <v>Standard</v>
      </c>
    </row>
    <row r="618" spans="1:10" x14ac:dyDescent="0.3">
      <c r="A618" s="10">
        <f>'2_Clean_Data'!A615</f>
        <v>614</v>
      </c>
      <c r="B618" s="10">
        <f>INDEX('2_Clean_Data'!$M$2:$M$1360,MATCH($A618,'2_Clean_Data'!$A$2:$A$1360,0))</f>
        <v>6</v>
      </c>
      <c r="C618" s="9" t="str">
        <f t="shared" si="36"/>
        <v>Above Average</v>
      </c>
      <c r="D618" s="11">
        <f>INDEX('2_Clean_Data'!$L$2:$L$1360,MATCH($A618,'2_Clean_Data'!$A$2:$A$1360,0))</f>
        <v>11.6</v>
      </c>
      <c r="E618" s="9" t="str">
        <f>IF(D618&lt;'3_Summary_Tables'!$C$16,"Low",IF(D618&lt;'3_Summary_Tables'!$C$17,"Medium","High"))</f>
        <v>High</v>
      </c>
      <c r="F618" s="12">
        <f>INDEX('2_Clean_Data'!$C$2:$C$1360,MATCH($A618,'2_Clean_Data'!$A$2:$A$1360,0))</f>
        <v>0.54500000000000004</v>
      </c>
      <c r="G618" s="10">
        <f>INDEX('2_Clean_Data'!$H$2:$H$1360,MATCH($A618,'2_Clean_Data'!$A$2:$A$1360,0))</f>
        <v>35</v>
      </c>
      <c r="H618" s="9" t="str">
        <f t="shared" si="37"/>
        <v>Low</v>
      </c>
      <c r="I618" s="9" t="str">
        <f t="shared" si="38"/>
        <v>OK</v>
      </c>
      <c r="J618" s="9" t="str">
        <f t="shared" si="39"/>
        <v>Solid</v>
      </c>
    </row>
    <row r="619" spans="1:10" x14ac:dyDescent="0.3">
      <c r="A619" s="10">
        <f>'2_Clean_Data'!A616</f>
        <v>615</v>
      </c>
      <c r="B619" s="10">
        <f>INDEX('2_Clean_Data'!$M$2:$M$1360,MATCH($A619,'2_Clean_Data'!$A$2:$A$1360,0))</f>
        <v>6</v>
      </c>
      <c r="C619" s="9" t="str">
        <f t="shared" si="36"/>
        <v>Above Average</v>
      </c>
      <c r="D619" s="11">
        <f>INDEX('2_Clean_Data'!$L$2:$L$1360,MATCH($A619,'2_Clean_Data'!$A$2:$A$1360,0))</f>
        <v>10</v>
      </c>
      <c r="E619" s="9" t="str">
        <f>IF(D619&lt;'3_Summary_Tables'!$C$16,"Low",IF(D619&lt;'3_Summary_Tables'!$C$17,"Medium","High"))</f>
        <v>Medium</v>
      </c>
      <c r="F619" s="12">
        <f>INDEX('2_Clean_Data'!$C$2:$C$1360,MATCH($A619,'2_Clean_Data'!$A$2:$A$1360,0))</f>
        <v>0.31</v>
      </c>
      <c r="G619" s="10">
        <f>INDEX('2_Clean_Data'!$H$2:$H$1360,MATCH($A619,'2_Clean_Data'!$A$2:$A$1360,0))</f>
        <v>33</v>
      </c>
      <c r="H619" s="9" t="str">
        <f t="shared" si="37"/>
        <v>Low</v>
      </c>
      <c r="I619" s="9" t="str">
        <f t="shared" si="38"/>
        <v>OK</v>
      </c>
      <c r="J619" s="9" t="str">
        <f t="shared" si="39"/>
        <v>Solid</v>
      </c>
    </row>
    <row r="620" spans="1:10" x14ac:dyDescent="0.3">
      <c r="A620" s="10">
        <f>'2_Clean_Data'!A617</f>
        <v>616</v>
      </c>
      <c r="B620" s="10">
        <f>INDEX('2_Clean_Data'!$M$2:$M$1360,MATCH($A620,'2_Clean_Data'!$A$2:$A$1360,0))</f>
        <v>5</v>
      </c>
      <c r="C620" s="9" t="str">
        <f t="shared" si="36"/>
        <v>Average</v>
      </c>
      <c r="D620" s="11">
        <f>INDEX('2_Clean_Data'!$L$2:$L$1360,MATCH($A620,'2_Clean_Data'!$A$2:$A$1360,0))</f>
        <v>10.1</v>
      </c>
      <c r="E620" s="9" t="str">
        <f>IF(D620&lt;'3_Summary_Tables'!$C$16,"Low",IF(D620&lt;'3_Summary_Tables'!$C$17,"Medium","High"))</f>
        <v>Medium</v>
      </c>
      <c r="F620" s="12">
        <f>INDEX('2_Clean_Data'!$C$2:$C$1360,MATCH($A620,'2_Clean_Data'!$A$2:$A$1360,0))</f>
        <v>1.0249999999999999</v>
      </c>
      <c r="G620" s="10">
        <f>INDEX('2_Clean_Data'!$H$2:$H$1360,MATCH($A620,'2_Clean_Data'!$A$2:$A$1360,0))</f>
        <v>84</v>
      </c>
      <c r="H620" s="9" t="str">
        <f t="shared" si="37"/>
        <v>Moderate</v>
      </c>
      <c r="I620" s="9" t="str">
        <f t="shared" si="38"/>
        <v>Above limit</v>
      </c>
      <c r="J620" s="9" t="str">
        <f t="shared" si="39"/>
        <v>Standard</v>
      </c>
    </row>
    <row r="621" spans="1:10" x14ac:dyDescent="0.3">
      <c r="A621" s="10">
        <f>'2_Clean_Data'!A618</f>
        <v>617</v>
      </c>
      <c r="B621" s="10">
        <f>INDEX('2_Clean_Data'!$M$2:$M$1360,MATCH($A621,'2_Clean_Data'!$A$2:$A$1360,0))</f>
        <v>5</v>
      </c>
      <c r="C621" s="9" t="str">
        <f t="shared" si="36"/>
        <v>Average</v>
      </c>
      <c r="D621" s="11">
        <f>INDEX('2_Clean_Data'!$L$2:$L$1360,MATCH($A621,'2_Clean_Data'!$A$2:$A$1360,0))</f>
        <v>9.5</v>
      </c>
      <c r="E621" s="9" t="str">
        <f>IF(D621&lt;'3_Summary_Tables'!$C$16,"Low",IF(D621&lt;'3_Summary_Tables'!$C$17,"Medium","High"))</f>
        <v>Low</v>
      </c>
      <c r="F621" s="12">
        <f>INDEX('2_Clean_Data'!$C$2:$C$1360,MATCH($A621,'2_Clean_Data'!$A$2:$A$1360,0))</f>
        <v>0.56499999999999995</v>
      </c>
      <c r="G621" s="10">
        <f>INDEX('2_Clean_Data'!$H$2:$H$1360,MATCH($A621,'2_Clean_Data'!$A$2:$A$1360,0))</f>
        <v>112</v>
      </c>
      <c r="H621" s="9" t="str">
        <f t="shared" si="37"/>
        <v>High</v>
      </c>
      <c r="I621" s="9" t="str">
        <f t="shared" si="38"/>
        <v>OK</v>
      </c>
      <c r="J621" s="9" t="str">
        <f t="shared" si="39"/>
        <v>Standard</v>
      </c>
    </row>
    <row r="622" spans="1:10" x14ac:dyDescent="0.3">
      <c r="A622" s="10">
        <f>'2_Clean_Data'!A619</f>
        <v>618</v>
      </c>
      <c r="B622" s="10">
        <f>INDEX('2_Clean_Data'!$M$2:$M$1360,MATCH($A622,'2_Clean_Data'!$A$2:$A$1360,0))</f>
        <v>5</v>
      </c>
      <c r="C622" s="9" t="str">
        <f t="shared" si="36"/>
        <v>Average</v>
      </c>
      <c r="D622" s="11">
        <f>INDEX('2_Clean_Data'!$L$2:$L$1360,MATCH($A622,'2_Clean_Data'!$A$2:$A$1360,0))</f>
        <v>9.4</v>
      </c>
      <c r="E622" s="9" t="str">
        <f>IF(D622&lt;'3_Summary_Tables'!$C$16,"Low",IF(D622&lt;'3_Summary_Tables'!$C$17,"Medium","High"))</f>
        <v>Low</v>
      </c>
      <c r="F622" s="12">
        <f>INDEX('2_Clean_Data'!$C$2:$C$1360,MATCH($A622,'2_Clean_Data'!$A$2:$A$1360,0))</f>
        <v>0.69</v>
      </c>
      <c r="G622" s="10">
        <f>INDEX('2_Clean_Data'!$H$2:$H$1360,MATCH($A622,'2_Clean_Data'!$A$2:$A$1360,0))</f>
        <v>33</v>
      </c>
      <c r="H622" s="9" t="str">
        <f t="shared" si="37"/>
        <v>Low</v>
      </c>
      <c r="I622" s="9" t="str">
        <f t="shared" si="38"/>
        <v>OK</v>
      </c>
      <c r="J622" s="9" t="str">
        <f t="shared" si="39"/>
        <v>Standard</v>
      </c>
    </row>
    <row r="623" spans="1:10" x14ac:dyDescent="0.3">
      <c r="A623" s="10">
        <f>'2_Clean_Data'!A620</f>
        <v>619</v>
      </c>
      <c r="B623" s="10">
        <f>INDEX('2_Clean_Data'!$M$2:$M$1360,MATCH($A623,'2_Clean_Data'!$A$2:$A$1360,0))</f>
        <v>5</v>
      </c>
      <c r="C623" s="9" t="str">
        <f t="shared" si="36"/>
        <v>Average</v>
      </c>
      <c r="D623" s="11">
        <f>INDEX('2_Clean_Data'!$L$2:$L$1360,MATCH($A623,'2_Clean_Data'!$A$2:$A$1360,0))</f>
        <v>9.4</v>
      </c>
      <c r="E623" s="9" t="str">
        <f>IF(D623&lt;'3_Summary_Tables'!$C$16,"Low",IF(D623&lt;'3_Summary_Tables'!$C$17,"Medium","High"))</f>
        <v>Low</v>
      </c>
      <c r="F623" s="12">
        <f>INDEX('2_Clean_Data'!$C$2:$C$1360,MATCH($A623,'2_Clean_Data'!$A$2:$A$1360,0))</f>
        <v>0.43</v>
      </c>
      <c r="G623" s="10">
        <f>INDEX('2_Clean_Data'!$H$2:$H$1360,MATCH($A623,'2_Clean_Data'!$A$2:$A$1360,0))</f>
        <v>48</v>
      </c>
      <c r="H623" s="9" t="str">
        <f t="shared" si="37"/>
        <v>Low</v>
      </c>
      <c r="I623" s="9" t="str">
        <f t="shared" si="38"/>
        <v>OK</v>
      </c>
      <c r="J623" s="9" t="str">
        <f t="shared" si="39"/>
        <v>Standard</v>
      </c>
    </row>
    <row r="624" spans="1:10" x14ac:dyDescent="0.3">
      <c r="A624" s="10">
        <f>'2_Clean_Data'!A621</f>
        <v>620</v>
      </c>
      <c r="B624" s="10">
        <f>INDEX('2_Clean_Data'!$M$2:$M$1360,MATCH($A624,'2_Clean_Data'!$A$2:$A$1360,0))</f>
        <v>5</v>
      </c>
      <c r="C624" s="9" t="str">
        <f t="shared" si="36"/>
        <v>Average</v>
      </c>
      <c r="D624" s="11">
        <f>INDEX('2_Clean_Data'!$L$2:$L$1360,MATCH($A624,'2_Clean_Data'!$A$2:$A$1360,0))</f>
        <v>9.8000000000000007</v>
      </c>
      <c r="E624" s="9" t="str">
        <f>IF(D624&lt;'3_Summary_Tables'!$C$16,"Low",IF(D624&lt;'3_Summary_Tables'!$C$17,"Medium","High"))</f>
        <v>Low</v>
      </c>
      <c r="F624" s="12">
        <f>INDEX('2_Clean_Data'!$C$2:$C$1360,MATCH($A624,'2_Clean_Data'!$A$2:$A$1360,0))</f>
        <v>0.74</v>
      </c>
      <c r="G624" s="10">
        <f>INDEX('2_Clean_Data'!$H$2:$H$1360,MATCH($A624,'2_Clean_Data'!$A$2:$A$1360,0))</f>
        <v>77</v>
      </c>
      <c r="H624" s="9" t="str">
        <f t="shared" si="37"/>
        <v>Moderate</v>
      </c>
      <c r="I624" s="9" t="str">
        <f t="shared" si="38"/>
        <v>Above limit</v>
      </c>
      <c r="J624" s="9" t="str">
        <f t="shared" si="39"/>
        <v>Standard</v>
      </c>
    </row>
    <row r="625" spans="1:10" x14ac:dyDescent="0.3">
      <c r="A625" s="10">
        <f>'2_Clean_Data'!A622</f>
        <v>621</v>
      </c>
      <c r="B625" s="10">
        <f>INDEX('2_Clean_Data'!$M$2:$M$1360,MATCH($A625,'2_Clean_Data'!$A$2:$A$1360,0))</f>
        <v>6</v>
      </c>
      <c r="C625" s="9" t="str">
        <f t="shared" si="36"/>
        <v>Above Average</v>
      </c>
      <c r="D625" s="11">
        <f>INDEX('2_Clean_Data'!$L$2:$L$1360,MATCH($A625,'2_Clean_Data'!$A$2:$A$1360,0))</f>
        <v>9.1999999999999993</v>
      </c>
      <c r="E625" s="9" t="str">
        <f>IF(D625&lt;'3_Summary_Tables'!$C$16,"Low",IF(D625&lt;'3_Summary_Tables'!$C$17,"Medium","High"))</f>
        <v>Low</v>
      </c>
      <c r="F625" s="12">
        <f>INDEX('2_Clean_Data'!$C$2:$C$1360,MATCH($A625,'2_Clean_Data'!$A$2:$A$1360,0))</f>
        <v>0.49</v>
      </c>
      <c r="G625" s="10">
        <f>INDEX('2_Clean_Data'!$H$2:$H$1360,MATCH($A625,'2_Clean_Data'!$A$2:$A$1360,0))</f>
        <v>34</v>
      </c>
      <c r="H625" s="9" t="str">
        <f t="shared" si="37"/>
        <v>Low</v>
      </c>
      <c r="I625" s="9" t="str">
        <f t="shared" si="38"/>
        <v>OK</v>
      </c>
      <c r="J625" s="9" t="str">
        <f t="shared" si="39"/>
        <v>Solid</v>
      </c>
    </row>
    <row r="626" spans="1:10" x14ac:dyDescent="0.3">
      <c r="A626" s="10">
        <f>'2_Clean_Data'!A623</f>
        <v>622</v>
      </c>
      <c r="B626" s="10">
        <f>INDEX('2_Clean_Data'!$M$2:$M$1360,MATCH($A626,'2_Clean_Data'!$A$2:$A$1360,0))</f>
        <v>5</v>
      </c>
      <c r="C626" s="9" t="str">
        <f t="shared" si="36"/>
        <v>Average</v>
      </c>
      <c r="D626" s="11">
        <f>INDEX('2_Clean_Data'!$L$2:$L$1360,MATCH($A626,'2_Clean_Data'!$A$2:$A$1360,0))</f>
        <v>10</v>
      </c>
      <c r="E626" s="9" t="str">
        <f>IF(D626&lt;'3_Summary_Tables'!$C$16,"Low",IF(D626&lt;'3_Summary_Tables'!$C$17,"Medium","High"))</f>
        <v>Medium</v>
      </c>
      <c r="F626" s="12">
        <f>INDEX('2_Clean_Data'!$C$2:$C$1360,MATCH($A626,'2_Clean_Data'!$A$2:$A$1360,0))</f>
        <v>0.46</v>
      </c>
      <c r="G626" s="10">
        <f>INDEX('2_Clean_Data'!$H$2:$H$1360,MATCH($A626,'2_Clean_Data'!$A$2:$A$1360,0))</f>
        <v>49</v>
      </c>
      <c r="H626" s="9" t="str">
        <f t="shared" si="37"/>
        <v>Low</v>
      </c>
      <c r="I626" s="9" t="str">
        <f t="shared" si="38"/>
        <v>OK</v>
      </c>
      <c r="J626" s="9" t="str">
        <f t="shared" si="39"/>
        <v>Standard</v>
      </c>
    </row>
    <row r="627" spans="1:10" x14ac:dyDescent="0.3">
      <c r="A627" s="10">
        <f>'2_Clean_Data'!A624</f>
        <v>623</v>
      </c>
      <c r="B627" s="10">
        <f>INDEX('2_Clean_Data'!$M$2:$M$1360,MATCH($A627,'2_Clean_Data'!$A$2:$A$1360,0))</f>
        <v>5</v>
      </c>
      <c r="C627" s="9" t="str">
        <f t="shared" si="36"/>
        <v>Average</v>
      </c>
      <c r="D627" s="11">
        <f>INDEX('2_Clean_Data'!$L$2:$L$1360,MATCH($A627,'2_Clean_Data'!$A$2:$A$1360,0))</f>
        <v>9.6</v>
      </c>
      <c r="E627" s="9" t="str">
        <f>IF(D627&lt;'3_Summary_Tables'!$C$16,"Low",IF(D627&lt;'3_Summary_Tables'!$C$17,"Medium","High"))</f>
        <v>Low</v>
      </c>
      <c r="F627" s="12">
        <f>INDEX('2_Clean_Data'!$C$2:$C$1360,MATCH($A627,'2_Clean_Data'!$A$2:$A$1360,0))</f>
        <v>0.56000000000000005</v>
      </c>
      <c r="G627" s="10">
        <f>INDEX('2_Clean_Data'!$H$2:$H$1360,MATCH($A627,'2_Clean_Data'!$A$2:$A$1360,0))</f>
        <v>22</v>
      </c>
      <c r="H627" s="9" t="str">
        <f t="shared" si="37"/>
        <v>Low</v>
      </c>
      <c r="I627" s="9" t="str">
        <f t="shared" si="38"/>
        <v>OK</v>
      </c>
      <c r="J627" s="9" t="str">
        <f t="shared" si="39"/>
        <v>Standard</v>
      </c>
    </row>
    <row r="628" spans="1:10" x14ac:dyDescent="0.3">
      <c r="A628" s="10">
        <f>'2_Clean_Data'!A625</f>
        <v>624</v>
      </c>
      <c r="B628" s="10">
        <f>INDEX('2_Clean_Data'!$M$2:$M$1360,MATCH($A628,'2_Clean_Data'!$A$2:$A$1360,0))</f>
        <v>5</v>
      </c>
      <c r="C628" s="9" t="str">
        <f t="shared" si="36"/>
        <v>Average</v>
      </c>
      <c r="D628" s="11">
        <f>INDEX('2_Clean_Data'!$L$2:$L$1360,MATCH($A628,'2_Clean_Data'!$A$2:$A$1360,0))</f>
        <v>9.5</v>
      </c>
      <c r="E628" s="9" t="str">
        <f>IF(D628&lt;'3_Summary_Tables'!$C$16,"Low",IF(D628&lt;'3_Summary_Tables'!$C$17,"Medium","High"))</f>
        <v>Low</v>
      </c>
      <c r="F628" s="12">
        <f>INDEX('2_Clean_Data'!$C$2:$C$1360,MATCH($A628,'2_Clean_Data'!$A$2:$A$1360,0))</f>
        <v>0.66</v>
      </c>
      <c r="G628" s="10">
        <f>INDEX('2_Clean_Data'!$H$2:$H$1360,MATCH($A628,'2_Clean_Data'!$A$2:$A$1360,0))</f>
        <v>45</v>
      </c>
      <c r="H628" s="9" t="str">
        <f t="shared" si="37"/>
        <v>Low</v>
      </c>
      <c r="I628" s="9" t="str">
        <f t="shared" si="38"/>
        <v>OK</v>
      </c>
      <c r="J628" s="9" t="str">
        <f t="shared" si="39"/>
        <v>Standard</v>
      </c>
    </row>
    <row r="629" spans="1:10" x14ac:dyDescent="0.3">
      <c r="A629" s="10">
        <f>'2_Clean_Data'!A626</f>
        <v>625</v>
      </c>
      <c r="B629" s="10">
        <f>INDEX('2_Clean_Data'!$M$2:$M$1360,MATCH($A629,'2_Clean_Data'!$A$2:$A$1360,0))</f>
        <v>5</v>
      </c>
      <c r="C629" s="9" t="str">
        <f t="shared" si="36"/>
        <v>Average</v>
      </c>
      <c r="D629" s="11">
        <f>INDEX('2_Clean_Data'!$L$2:$L$1360,MATCH($A629,'2_Clean_Data'!$A$2:$A$1360,0))</f>
        <v>9.1999999999999993</v>
      </c>
      <c r="E629" s="9" t="str">
        <f>IF(D629&lt;'3_Summary_Tables'!$C$16,"Low",IF(D629&lt;'3_Summary_Tables'!$C$17,"Medium","High"))</f>
        <v>Low</v>
      </c>
      <c r="F629" s="12">
        <f>INDEX('2_Clean_Data'!$C$2:$C$1360,MATCH($A629,'2_Clean_Data'!$A$2:$A$1360,0))</f>
        <v>0.48</v>
      </c>
      <c r="G629" s="10">
        <f>INDEX('2_Clean_Data'!$H$2:$H$1360,MATCH($A629,'2_Clean_Data'!$A$2:$A$1360,0))</f>
        <v>106</v>
      </c>
      <c r="H629" s="9" t="str">
        <f t="shared" si="37"/>
        <v>High</v>
      </c>
      <c r="I629" s="9" t="str">
        <f t="shared" si="38"/>
        <v>OK</v>
      </c>
      <c r="J629" s="9" t="str">
        <f t="shared" si="39"/>
        <v>Standard</v>
      </c>
    </row>
    <row r="630" spans="1:10" x14ac:dyDescent="0.3">
      <c r="A630" s="10">
        <f>'2_Clean_Data'!A627</f>
        <v>626</v>
      </c>
      <c r="B630" s="10">
        <f>INDEX('2_Clean_Data'!$M$2:$M$1360,MATCH($A630,'2_Clean_Data'!$A$2:$A$1360,0))</f>
        <v>5</v>
      </c>
      <c r="C630" s="9" t="str">
        <f t="shared" si="36"/>
        <v>Average</v>
      </c>
      <c r="D630" s="11">
        <f>INDEX('2_Clean_Data'!$L$2:$L$1360,MATCH($A630,'2_Clean_Data'!$A$2:$A$1360,0))</f>
        <v>10</v>
      </c>
      <c r="E630" s="9" t="str">
        <f>IF(D630&lt;'3_Summary_Tables'!$C$16,"Low",IF(D630&lt;'3_Summary_Tables'!$C$17,"Medium","High"))</f>
        <v>Medium</v>
      </c>
      <c r="F630" s="12">
        <f>INDEX('2_Clean_Data'!$C$2:$C$1360,MATCH($A630,'2_Clean_Data'!$A$2:$A$1360,0))</f>
        <v>0.42</v>
      </c>
      <c r="G630" s="10">
        <f>INDEX('2_Clean_Data'!$H$2:$H$1360,MATCH($A630,'2_Clean_Data'!$A$2:$A$1360,0))</f>
        <v>48</v>
      </c>
      <c r="H630" s="9" t="str">
        <f t="shared" si="37"/>
        <v>Low</v>
      </c>
      <c r="I630" s="9" t="str">
        <f t="shared" si="38"/>
        <v>OK</v>
      </c>
      <c r="J630" s="9" t="str">
        <f t="shared" si="39"/>
        <v>Standard</v>
      </c>
    </row>
    <row r="631" spans="1:10" x14ac:dyDescent="0.3">
      <c r="A631" s="10">
        <f>'2_Clean_Data'!A628</f>
        <v>627</v>
      </c>
      <c r="B631" s="10">
        <f>INDEX('2_Clean_Data'!$M$2:$M$1360,MATCH($A631,'2_Clean_Data'!$A$2:$A$1360,0))</f>
        <v>5</v>
      </c>
      <c r="C631" s="9" t="str">
        <f t="shared" si="36"/>
        <v>Average</v>
      </c>
      <c r="D631" s="11">
        <f>INDEX('2_Clean_Data'!$L$2:$L$1360,MATCH($A631,'2_Clean_Data'!$A$2:$A$1360,0))</f>
        <v>9.5</v>
      </c>
      <c r="E631" s="9" t="str">
        <f>IF(D631&lt;'3_Summary_Tables'!$C$16,"Low",IF(D631&lt;'3_Summary_Tables'!$C$17,"Medium","High"))</f>
        <v>Low</v>
      </c>
      <c r="F631" s="12">
        <f>INDEX('2_Clean_Data'!$C$2:$C$1360,MATCH($A631,'2_Clean_Data'!$A$2:$A$1360,0))</f>
        <v>0.31</v>
      </c>
      <c r="G631" s="10">
        <f>INDEX('2_Clean_Data'!$H$2:$H$1360,MATCH($A631,'2_Clean_Data'!$A$2:$A$1360,0))</f>
        <v>127</v>
      </c>
      <c r="H631" s="9" t="str">
        <f t="shared" si="37"/>
        <v>High</v>
      </c>
      <c r="I631" s="9" t="str">
        <f t="shared" si="38"/>
        <v>OK</v>
      </c>
      <c r="J631" s="9" t="str">
        <f t="shared" si="39"/>
        <v>Standard</v>
      </c>
    </row>
    <row r="632" spans="1:10" x14ac:dyDescent="0.3">
      <c r="A632" s="10">
        <f>'2_Clean_Data'!A629</f>
        <v>628</v>
      </c>
      <c r="B632" s="10">
        <f>INDEX('2_Clean_Data'!$M$2:$M$1360,MATCH($A632,'2_Clean_Data'!$A$2:$A$1360,0))</f>
        <v>4</v>
      </c>
      <c r="C632" s="9" t="str">
        <f t="shared" si="36"/>
        <v>Poor</v>
      </c>
      <c r="D632" s="11">
        <f>INDEX('2_Clean_Data'!$L$2:$L$1360,MATCH($A632,'2_Clean_Data'!$A$2:$A$1360,0))</f>
        <v>11.2</v>
      </c>
      <c r="E632" s="9" t="str">
        <f>IF(D632&lt;'3_Summary_Tables'!$C$16,"Low",IF(D632&lt;'3_Summary_Tables'!$C$17,"Medium","High"))</f>
        <v>Medium</v>
      </c>
      <c r="F632" s="12">
        <f>INDEX('2_Clean_Data'!$C$2:$C$1360,MATCH($A632,'2_Clean_Data'!$A$2:$A$1360,0))</f>
        <v>1.115</v>
      </c>
      <c r="G632" s="10">
        <f>INDEX('2_Clean_Data'!$H$2:$H$1360,MATCH($A632,'2_Clean_Data'!$A$2:$A$1360,0))</f>
        <v>12</v>
      </c>
      <c r="H632" s="9" t="str">
        <f t="shared" si="37"/>
        <v>Low</v>
      </c>
      <c r="I632" s="9" t="str">
        <f t="shared" si="38"/>
        <v>Above limit</v>
      </c>
      <c r="J632" s="9" t="str">
        <f t="shared" si="39"/>
        <v>Poor</v>
      </c>
    </row>
    <row r="633" spans="1:10" x14ac:dyDescent="0.3">
      <c r="A633" s="10">
        <f>'2_Clean_Data'!A630</f>
        <v>629</v>
      </c>
      <c r="B633" s="10">
        <f>INDEX('2_Clean_Data'!$M$2:$M$1360,MATCH($A633,'2_Clean_Data'!$A$2:$A$1360,0))</f>
        <v>5</v>
      </c>
      <c r="C633" s="9" t="str">
        <f t="shared" si="36"/>
        <v>Average</v>
      </c>
      <c r="D633" s="11">
        <f>INDEX('2_Clean_Data'!$L$2:$L$1360,MATCH($A633,'2_Clean_Data'!$A$2:$A$1360,0))</f>
        <v>10.4</v>
      </c>
      <c r="E633" s="9" t="str">
        <f>IF(D633&lt;'3_Summary_Tables'!$C$16,"Low",IF(D633&lt;'3_Summary_Tables'!$C$17,"Medium","High"))</f>
        <v>Medium</v>
      </c>
      <c r="F633" s="12">
        <f>INDEX('2_Clean_Data'!$C$2:$C$1360,MATCH($A633,'2_Clean_Data'!$A$2:$A$1360,0))</f>
        <v>0.66</v>
      </c>
      <c r="G633" s="10">
        <f>INDEX('2_Clean_Data'!$H$2:$H$1360,MATCH($A633,'2_Clean_Data'!$A$2:$A$1360,0))</f>
        <v>13</v>
      </c>
      <c r="H633" s="9" t="str">
        <f t="shared" si="37"/>
        <v>Low</v>
      </c>
      <c r="I633" s="9" t="str">
        <f t="shared" si="38"/>
        <v>OK</v>
      </c>
      <c r="J633" s="9" t="str">
        <f t="shared" si="39"/>
        <v>Standard</v>
      </c>
    </row>
    <row r="634" spans="1:10" x14ac:dyDescent="0.3">
      <c r="A634" s="10">
        <f>'2_Clean_Data'!A631</f>
        <v>630</v>
      </c>
      <c r="B634" s="10">
        <f>INDEX('2_Clean_Data'!$M$2:$M$1360,MATCH($A634,'2_Clean_Data'!$A$2:$A$1360,0))</f>
        <v>6</v>
      </c>
      <c r="C634" s="9" t="str">
        <f t="shared" si="36"/>
        <v>Above Average</v>
      </c>
      <c r="D634" s="11">
        <f>INDEX('2_Clean_Data'!$L$2:$L$1360,MATCH($A634,'2_Clean_Data'!$A$2:$A$1360,0))</f>
        <v>11.1</v>
      </c>
      <c r="E634" s="9" t="str">
        <f>IF(D634&lt;'3_Summary_Tables'!$C$16,"Low",IF(D634&lt;'3_Summary_Tables'!$C$17,"Medium","High"))</f>
        <v>Medium</v>
      </c>
      <c r="F634" s="12">
        <f>INDEX('2_Clean_Data'!$C$2:$C$1360,MATCH($A634,'2_Clean_Data'!$A$2:$A$1360,0))</f>
        <v>0.72</v>
      </c>
      <c r="G634" s="10">
        <f>INDEX('2_Clean_Data'!$H$2:$H$1360,MATCH($A634,'2_Clean_Data'!$A$2:$A$1360,0))</f>
        <v>49</v>
      </c>
      <c r="H634" s="9" t="str">
        <f t="shared" si="37"/>
        <v>Low</v>
      </c>
      <c r="I634" s="9" t="str">
        <f t="shared" si="38"/>
        <v>Above limit</v>
      </c>
      <c r="J634" s="9" t="str">
        <f t="shared" si="39"/>
        <v>Standard</v>
      </c>
    </row>
    <row r="635" spans="1:10" x14ac:dyDescent="0.3">
      <c r="A635" s="10">
        <f>'2_Clean_Data'!A632</f>
        <v>631</v>
      </c>
      <c r="B635" s="10">
        <f>INDEX('2_Clean_Data'!$M$2:$M$1360,MATCH($A635,'2_Clean_Data'!$A$2:$A$1360,0))</f>
        <v>5</v>
      </c>
      <c r="C635" s="9" t="str">
        <f t="shared" si="36"/>
        <v>Average</v>
      </c>
      <c r="D635" s="11">
        <f>INDEX('2_Clean_Data'!$L$2:$L$1360,MATCH($A635,'2_Clean_Data'!$A$2:$A$1360,0))</f>
        <v>9.5</v>
      </c>
      <c r="E635" s="9" t="str">
        <f>IF(D635&lt;'3_Summary_Tables'!$C$16,"Low",IF(D635&lt;'3_Summary_Tables'!$C$17,"Medium","High"))</f>
        <v>Low</v>
      </c>
      <c r="F635" s="12">
        <f>INDEX('2_Clean_Data'!$C$2:$C$1360,MATCH($A635,'2_Clean_Data'!$A$2:$A$1360,0))</f>
        <v>0.56999999999999995</v>
      </c>
      <c r="G635" s="10">
        <f>INDEX('2_Clean_Data'!$H$2:$H$1360,MATCH($A635,'2_Clean_Data'!$A$2:$A$1360,0))</f>
        <v>11</v>
      </c>
      <c r="H635" s="9" t="str">
        <f t="shared" si="37"/>
        <v>Low</v>
      </c>
      <c r="I635" s="9" t="str">
        <f t="shared" si="38"/>
        <v>OK</v>
      </c>
      <c r="J635" s="9" t="str">
        <f t="shared" si="39"/>
        <v>Standard</v>
      </c>
    </row>
    <row r="636" spans="1:10" x14ac:dyDescent="0.3">
      <c r="A636" s="10">
        <f>'2_Clean_Data'!A633</f>
        <v>632</v>
      </c>
      <c r="B636" s="10">
        <f>INDEX('2_Clean_Data'!$M$2:$M$1360,MATCH($A636,'2_Clean_Data'!$A$2:$A$1360,0))</f>
        <v>6</v>
      </c>
      <c r="C636" s="9" t="str">
        <f t="shared" si="36"/>
        <v>Above Average</v>
      </c>
      <c r="D636" s="11">
        <f>INDEX('2_Clean_Data'!$L$2:$L$1360,MATCH($A636,'2_Clean_Data'!$A$2:$A$1360,0))</f>
        <v>12.7</v>
      </c>
      <c r="E636" s="9" t="str">
        <f>IF(D636&lt;'3_Summary_Tables'!$C$16,"Low",IF(D636&lt;'3_Summary_Tables'!$C$17,"Medium","High"))</f>
        <v>High</v>
      </c>
      <c r="F636" s="12">
        <f>INDEX('2_Clean_Data'!$C$2:$C$1360,MATCH($A636,'2_Clean_Data'!$A$2:$A$1360,0))</f>
        <v>0.86499999999999999</v>
      </c>
      <c r="G636" s="10">
        <f>INDEX('2_Clean_Data'!$H$2:$H$1360,MATCH($A636,'2_Clean_Data'!$A$2:$A$1360,0))</f>
        <v>58</v>
      </c>
      <c r="H636" s="9" t="str">
        <f t="shared" si="37"/>
        <v>Moderate</v>
      </c>
      <c r="I636" s="9" t="str">
        <f t="shared" si="38"/>
        <v>Above limit</v>
      </c>
      <c r="J636" s="9" t="str">
        <f t="shared" si="39"/>
        <v>Standard</v>
      </c>
    </row>
    <row r="637" spans="1:10" x14ac:dyDescent="0.3">
      <c r="A637" s="10">
        <f>'2_Clean_Data'!A634</f>
        <v>633</v>
      </c>
      <c r="B637" s="10">
        <f>INDEX('2_Clean_Data'!$M$2:$M$1360,MATCH($A637,'2_Clean_Data'!$A$2:$A$1360,0))</f>
        <v>5</v>
      </c>
      <c r="C637" s="9" t="str">
        <f t="shared" si="36"/>
        <v>Average</v>
      </c>
      <c r="D637" s="11">
        <f>INDEX('2_Clean_Data'!$L$2:$L$1360,MATCH($A637,'2_Clean_Data'!$A$2:$A$1360,0))</f>
        <v>9.6</v>
      </c>
      <c r="E637" s="9" t="str">
        <f>IF(D637&lt;'3_Summary_Tables'!$C$16,"Low",IF(D637&lt;'3_Summary_Tables'!$C$17,"Medium","High"))</f>
        <v>Low</v>
      </c>
      <c r="F637" s="12">
        <f>INDEX('2_Clean_Data'!$C$2:$C$1360,MATCH($A637,'2_Clean_Data'!$A$2:$A$1360,0))</f>
        <v>0.55000000000000004</v>
      </c>
      <c r="G637" s="10">
        <f>INDEX('2_Clean_Data'!$H$2:$H$1360,MATCH($A637,'2_Clean_Data'!$A$2:$A$1360,0))</f>
        <v>37</v>
      </c>
      <c r="H637" s="9" t="str">
        <f t="shared" si="37"/>
        <v>Low</v>
      </c>
      <c r="I637" s="9" t="str">
        <f t="shared" si="38"/>
        <v>OK</v>
      </c>
      <c r="J637" s="9" t="str">
        <f t="shared" si="39"/>
        <v>Standard</v>
      </c>
    </row>
    <row r="638" spans="1:10" x14ac:dyDescent="0.3">
      <c r="A638" s="10">
        <f>'2_Clean_Data'!A635</f>
        <v>634</v>
      </c>
      <c r="B638" s="10">
        <f>INDEX('2_Clean_Data'!$M$2:$M$1360,MATCH($A638,'2_Clean_Data'!$A$2:$A$1360,0))</f>
        <v>5</v>
      </c>
      <c r="C638" s="9" t="str">
        <f t="shared" si="36"/>
        <v>Average</v>
      </c>
      <c r="D638" s="11">
        <f>INDEX('2_Clean_Data'!$L$2:$L$1360,MATCH($A638,'2_Clean_Data'!$A$2:$A$1360,0))</f>
        <v>11.5</v>
      </c>
      <c r="E638" s="9" t="str">
        <f>IF(D638&lt;'3_Summary_Tables'!$C$16,"Low",IF(D638&lt;'3_Summary_Tables'!$C$17,"Medium","High"))</f>
        <v>High</v>
      </c>
      <c r="F638" s="12">
        <f>INDEX('2_Clean_Data'!$C$2:$C$1360,MATCH($A638,'2_Clean_Data'!$A$2:$A$1360,0))</f>
        <v>0.875</v>
      </c>
      <c r="G638" s="10">
        <f>INDEX('2_Clean_Data'!$H$2:$H$1360,MATCH($A638,'2_Clean_Data'!$A$2:$A$1360,0))</f>
        <v>14</v>
      </c>
      <c r="H638" s="9" t="str">
        <f t="shared" si="37"/>
        <v>Low</v>
      </c>
      <c r="I638" s="9" t="str">
        <f t="shared" si="38"/>
        <v>Above limit</v>
      </c>
      <c r="J638" s="9" t="str">
        <f t="shared" si="39"/>
        <v>Standard</v>
      </c>
    </row>
    <row r="639" spans="1:10" x14ac:dyDescent="0.3">
      <c r="A639" s="10">
        <f>'2_Clean_Data'!A636</f>
        <v>635</v>
      </c>
      <c r="B639" s="10">
        <f>INDEX('2_Clean_Data'!$M$2:$M$1360,MATCH($A639,'2_Clean_Data'!$A$2:$A$1360,0))</f>
        <v>5</v>
      </c>
      <c r="C639" s="9" t="str">
        <f t="shared" si="36"/>
        <v>Average</v>
      </c>
      <c r="D639" s="11">
        <f>INDEX('2_Clean_Data'!$L$2:$L$1360,MATCH($A639,'2_Clean_Data'!$A$2:$A$1360,0))</f>
        <v>9.6</v>
      </c>
      <c r="E639" s="9" t="str">
        <f>IF(D639&lt;'3_Summary_Tables'!$C$16,"Low",IF(D639&lt;'3_Summary_Tables'!$C$17,"Medium","High"))</f>
        <v>Low</v>
      </c>
      <c r="F639" s="12">
        <f>INDEX('2_Clean_Data'!$C$2:$C$1360,MATCH($A639,'2_Clean_Data'!$A$2:$A$1360,0))</f>
        <v>0.83499999999999996</v>
      </c>
      <c r="G639" s="10">
        <f>INDEX('2_Clean_Data'!$H$2:$H$1360,MATCH($A639,'2_Clean_Data'!$A$2:$A$1360,0))</f>
        <v>19</v>
      </c>
      <c r="H639" s="9" t="str">
        <f t="shared" si="37"/>
        <v>Low</v>
      </c>
      <c r="I639" s="9" t="str">
        <f t="shared" si="38"/>
        <v>Above limit</v>
      </c>
      <c r="J639" s="9" t="str">
        <f t="shared" si="39"/>
        <v>Standard</v>
      </c>
    </row>
    <row r="640" spans="1:10" x14ac:dyDescent="0.3">
      <c r="A640" s="10">
        <f>'2_Clean_Data'!A637</f>
        <v>636</v>
      </c>
      <c r="B640" s="10">
        <f>INDEX('2_Clean_Data'!$M$2:$M$1360,MATCH($A640,'2_Clean_Data'!$A$2:$A$1360,0))</f>
        <v>5</v>
      </c>
      <c r="C640" s="9" t="str">
        <f t="shared" si="36"/>
        <v>Average</v>
      </c>
      <c r="D640" s="11">
        <f>INDEX('2_Clean_Data'!$L$2:$L$1360,MATCH($A640,'2_Clean_Data'!$A$2:$A$1360,0))</f>
        <v>9.5</v>
      </c>
      <c r="E640" s="9" t="str">
        <f>IF(D640&lt;'3_Summary_Tables'!$C$16,"Low",IF(D640&lt;'3_Summary_Tables'!$C$17,"Medium","High"))</f>
        <v>Low</v>
      </c>
      <c r="F640" s="12">
        <f>INDEX('2_Clean_Data'!$C$2:$C$1360,MATCH($A640,'2_Clean_Data'!$A$2:$A$1360,0))</f>
        <v>0.45</v>
      </c>
      <c r="G640" s="10">
        <f>INDEX('2_Clean_Data'!$H$2:$H$1360,MATCH($A640,'2_Clean_Data'!$A$2:$A$1360,0))</f>
        <v>72</v>
      </c>
      <c r="H640" s="9" t="str">
        <f t="shared" si="37"/>
        <v>Moderate</v>
      </c>
      <c r="I640" s="9" t="str">
        <f t="shared" si="38"/>
        <v>OK</v>
      </c>
      <c r="J640" s="9" t="str">
        <f t="shared" si="39"/>
        <v>Standard</v>
      </c>
    </row>
    <row r="641" spans="1:10" x14ac:dyDescent="0.3">
      <c r="A641" s="10">
        <f>'2_Clean_Data'!A638</f>
        <v>637</v>
      </c>
      <c r="B641" s="10">
        <f>INDEX('2_Clean_Data'!$M$2:$M$1360,MATCH($A641,'2_Clean_Data'!$A$2:$A$1360,0))</f>
        <v>5</v>
      </c>
      <c r="C641" s="9" t="str">
        <f t="shared" si="36"/>
        <v>Average</v>
      </c>
      <c r="D641" s="11">
        <f>INDEX('2_Clean_Data'!$L$2:$L$1360,MATCH($A641,'2_Clean_Data'!$A$2:$A$1360,0))</f>
        <v>9.3000000000000007</v>
      </c>
      <c r="E641" s="9" t="str">
        <f>IF(D641&lt;'3_Summary_Tables'!$C$16,"Low",IF(D641&lt;'3_Summary_Tables'!$C$17,"Medium","High"))</f>
        <v>Low</v>
      </c>
      <c r="F641" s="12">
        <f>INDEX('2_Clean_Data'!$C$2:$C$1360,MATCH($A641,'2_Clean_Data'!$A$2:$A$1360,0))</f>
        <v>0.56000000000000005</v>
      </c>
      <c r="G641" s="10">
        <f>INDEX('2_Clean_Data'!$H$2:$H$1360,MATCH($A641,'2_Clean_Data'!$A$2:$A$1360,0))</f>
        <v>39</v>
      </c>
      <c r="H641" s="9" t="str">
        <f t="shared" si="37"/>
        <v>Low</v>
      </c>
      <c r="I641" s="9" t="str">
        <f t="shared" si="38"/>
        <v>OK</v>
      </c>
      <c r="J641" s="9" t="str">
        <f t="shared" si="39"/>
        <v>Standard</v>
      </c>
    </row>
    <row r="642" spans="1:10" x14ac:dyDescent="0.3">
      <c r="A642" s="10">
        <f>'2_Clean_Data'!A639</f>
        <v>638</v>
      </c>
      <c r="B642" s="10">
        <f>INDEX('2_Clean_Data'!$M$2:$M$1360,MATCH($A642,'2_Clean_Data'!$A$2:$A$1360,0))</f>
        <v>5</v>
      </c>
      <c r="C642" s="9" t="str">
        <f t="shared" si="36"/>
        <v>Average</v>
      </c>
      <c r="D642" s="11">
        <f>INDEX('2_Clean_Data'!$L$2:$L$1360,MATCH($A642,'2_Clean_Data'!$A$2:$A$1360,0))</f>
        <v>9.5</v>
      </c>
      <c r="E642" s="9" t="str">
        <f>IF(D642&lt;'3_Summary_Tables'!$C$16,"Low",IF(D642&lt;'3_Summary_Tables'!$C$17,"Medium","High"))</f>
        <v>Low</v>
      </c>
      <c r="F642" s="12">
        <f>INDEX('2_Clean_Data'!$C$2:$C$1360,MATCH($A642,'2_Clean_Data'!$A$2:$A$1360,0))</f>
        <v>0.96499999999999997</v>
      </c>
      <c r="G642" s="10">
        <f>INDEX('2_Clean_Data'!$H$2:$H$1360,MATCH($A642,'2_Clean_Data'!$A$2:$A$1360,0))</f>
        <v>22</v>
      </c>
      <c r="H642" s="9" t="str">
        <f t="shared" si="37"/>
        <v>Low</v>
      </c>
      <c r="I642" s="9" t="str">
        <f t="shared" si="38"/>
        <v>Above limit</v>
      </c>
      <c r="J642" s="9" t="str">
        <f t="shared" si="39"/>
        <v>Standard</v>
      </c>
    </row>
    <row r="643" spans="1:10" x14ac:dyDescent="0.3">
      <c r="A643" s="10">
        <f>'2_Clean_Data'!A640</f>
        <v>639</v>
      </c>
      <c r="B643" s="10">
        <f>INDEX('2_Clean_Data'!$M$2:$M$1360,MATCH($A643,'2_Clean_Data'!$A$2:$A$1360,0))</f>
        <v>6</v>
      </c>
      <c r="C643" s="9" t="str">
        <f t="shared" si="36"/>
        <v>Above Average</v>
      </c>
      <c r="D643" s="11">
        <f>INDEX('2_Clean_Data'!$L$2:$L$1360,MATCH($A643,'2_Clean_Data'!$A$2:$A$1360,0))</f>
        <v>9.3000000000000007</v>
      </c>
      <c r="E643" s="9" t="str">
        <f>IF(D643&lt;'3_Summary_Tables'!$C$16,"Low",IF(D643&lt;'3_Summary_Tables'!$C$17,"Medium","High"))</f>
        <v>Low</v>
      </c>
      <c r="F643" s="12">
        <f>INDEX('2_Clean_Data'!$C$2:$C$1360,MATCH($A643,'2_Clean_Data'!$A$2:$A$1360,0))</f>
        <v>0.59</v>
      </c>
      <c r="G643" s="10">
        <f>INDEX('2_Clean_Data'!$H$2:$H$1360,MATCH($A643,'2_Clean_Data'!$A$2:$A$1360,0))</f>
        <v>58</v>
      </c>
      <c r="H643" s="9" t="str">
        <f t="shared" si="37"/>
        <v>Moderate</v>
      </c>
      <c r="I643" s="9" t="str">
        <f t="shared" si="38"/>
        <v>OK</v>
      </c>
      <c r="J643" s="9" t="str">
        <f t="shared" si="39"/>
        <v>Solid</v>
      </c>
    </row>
    <row r="644" spans="1:10" x14ac:dyDescent="0.3">
      <c r="A644" s="10">
        <f>'2_Clean_Data'!A641</f>
        <v>640</v>
      </c>
      <c r="B644" s="10">
        <f>INDEX('2_Clean_Data'!$M$2:$M$1360,MATCH($A644,'2_Clean_Data'!$A$2:$A$1360,0))</f>
        <v>5</v>
      </c>
      <c r="C644" s="9" t="str">
        <f t="shared" si="36"/>
        <v>Average</v>
      </c>
      <c r="D644" s="11">
        <f>INDEX('2_Clean_Data'!$L$2:$L$1360,MATCH($A644,'2_Clean_Data'!$A$2:$A$1360,0))</f>
        <v>9.1999999999999993</v>
      </c>
      <c r="E644" s="9" t="str">
        <f>IF(D644&lt;'3_Summary_Tables'!$C$16,"Low",IF(D644&lt;'3_Summary_Tables'!$C$17,"Medium","High"))</f>
        <v>Low</v>
      </c>
      <c r="F644" s="12">
        <f>INDEX('2_Clean_Data'!$C$2:$C$1360,MATCH($A644,'2_Clean_Data'!$A$2:$A$1360,0))</f>
        <v>0.46</v>
      </c>
      <c r="G644" s="10">
        <f>INDEX('2_Clean_Data'!$H$2:$H$1360,MATCH($A644,'2_Clean_Data'!$A$2:$A$1360,0))</f>
        <v>104</v>
      </c>
      <c r="H644" s="9" t="str">
        <f t="shared" si="37"/>
        <v>High</v>
      </c>
      <c r="I644" s="9" t="str">
        <f t="shared" si="38"/>
        <v>OK</v>
      </c>
      <c r="J644" s="9" t="str">
        <f t="shared" si="39"/>
        <v>Standard</v>
      </c>
    </row>
    <row r="645" spans="1:10" x14ac:dyDescent="0.3">
      <c r="A645" s="10">
        <f>'2_Clean_Data'!A642</f>
        <v>641</v>
      </c>
      <c r="B645" s="10">
        <f>INDEX('2_Clean_Data'!$M$2:$M$1360,MATCH($A645,'2_Clean_Data'!$A$2:$A$1360,0))</f>
        <v>5</v>
      </c>
      <c r="C645" s="9" t="str">
        <f t="shared" ref="C645:C708" si="40">VLOOKUP(B645,$L$12:$N$17,2,FALSE())</f>
        <v>Average</v>
      </c>
      <c r="D645" s="11">
        <f>INDEX('2_Clean_Data'!$L$2:$L$1360,MATCH($A645,'2_Clean_Data'!$A$2:$A$1360,0))</f>
        <v>9.3000000000000007</v>
      </c>
      <c r="E645" s="9" t="str">
        <f>IF(D645&lt;'3_Summary_Tables'!$C$16,"Low",IF(D645&lt;'3_Summary_Tables'!$C$17,"Medium","High"))</f>
        <v>Low</v>
      </c>
      <c r="F645" s="12">
        <f>INDEX('2_Clean_Data'!$C$2:$C$1360,MATCH($A645,'2_Clean_Data'!$A$2:$A$1360,0))</f>
        <v>0.69</v>
      </c>
      <c r="G645" s="10">
        <f>INDEX('2_Clean_Data'!$H$2:$H$1360,MATCH($A645,'2_Clean_Data'!$A$2:$A$1360,0))</f>
        <v>38</v>
      </c>
      <c r="H645" s="9" t="str">
        <f t="shared" ref="H645:H708" si="41">IF(G645&gt;$M$8,"High",IF(G645&gt;$M$7,"Moderate","Low"))</f>
        <v>Low</v>
      </c>
      <c r="I645" s="9" t="str">
        <f t="shared" ref="I645:I708" si="42">IF(F645&gt;$M$6,"Above limit","OK")</f>
        <v>OK</v>
      </c>
      <c r="J645" s="9" t="str">
        <f t="shared" ref="J645:J708" si="43">IF(AND(B645&gt;=7,E645="High"),"Premium",IF(AND(B645&gt;=6,I645="OK"),"Solid",IF(B645&lt;=4,"Poor","Standard")))</f>
        <v>Standard</v>
      </c>
    </row>
    <row r="646" spans="1:10" x14ac:dyDescent="0.3">
      <c r="A646" s="10">
        <f>'2_Clean_Data'!A643</f>
        <v>642</v>
      </c>
      <c r="B646" s="10">
        <f>INDEX('2_Clean_Data'!$M$2:$M$1360,MATCH($A646,'2_Clean_Data'!$A$2:$A$1360,0))</f>
        <v>6</v>
      </c>
      <c r="C646" s="9" t="str">
        <f t="shared" si="40"/>
        <v>Above Average</v>
      </c>
      <c r="D646" s="11">
        <f>INDEX('2_Clean_Data'!$L$2:$L$1360,MATCH($A646,'2_Clean_Data'!$A$2:$A$1360,0))</f>
        <v>11.5</v>
      </c>
      <c r="E646" s="9" t="str">
        <f>IF(D646&lt;'3_Summary_Tables'!$C$16,"Low",IF(D646&lt;'3_Summary_Tables'!$C$17,"Medium","High"))</f>
        <v>High</v>
      </c>
      <c r="F646" s="12">
        <f>INDEX('2_Clean_Data'!$C$2:$C$1360,MATCH($A646,'2_Clean_Data'!$A$2:$A$1360,0))</f>
        <v>0.76</v>
      </c>
      <c r="G646" s="10">
        <f>INDEX('2_Clean_Data'!$H$2:$H$1360,MATCH($A646,'2_Clean_Data'!$A$2:$A$1360,0))</f>
        <v>16</v>
      </c>
      <c r="H646" s="9" t="str">
        <f t="shared" si="41"/>
        <v>Low</v>
      </c>
      <c r="I646" s="9" t="str">
        <f t="shared" si="42"/>
        <v>Above limit</v>
      </c>
      <c r="J646" s="9" t="str">
        <f t="shared" si="43"/>
        <v>Standard</v>
      </c>
    </row>
    <row r="647" spans="1:10" x14ac:dyDescent="0.3">
      <c r="A647" s="10">
        <f>'2_Clean_Data'!A644</f>
        <v>643</v>
      </c>
      <c r="B647" s="10">
        <f>INDEX('2_Clean_Data'!$M$2:$M$1360,MATCH($A647,'2_Clean_Data'!$A$2:$A$1360,0))</f>
        <v>5</v>
      </c>
      <c r="C647" s="9" t="str">
        <f t="shared" si="40"/>
        <v>Average</v>
      </c>
      <c r="D647" s="11">
        <f>INDEX('2_Clean_Data'!$L$2:$L$1360,MATCH($A647,'2_Clean_Data'!$A$2:$A$1360,0))</f>
        <v>9.5</v>
      </c>
      <c r="E647" s="9" t="str">
        <f>IF(D647&lt;'3_Summary_Tables'!$C$16,"Low",IF(D647&lt;'3_Summary_Tables'!$C$17,"Medium","High"))</f>
        <v>Low</v>
      </c>
      <c r="F647" s="12">
        <f>INDEX('2_Clean_Data'!$C$2:$C$1360,MATCH($A647,'2_Clean_Data'!$A$2:$A$1360,0))</f>
        <v>0.53</v>
      </c>
      <c r="G647" s="10">
        <f>INDEX('2_Clean_Data'!$H$2:$H$1360,MATCH($A647,'2_Clean_Data'!$A$2:$A$1360,0))</f>
        <v>139</v>
      </c>
      <c r="H647" s="9" t="str">
        <f t="shared" si="41"/>
        <v>High</v>
      </c>
      <c r="I647" s="9" t="str">
        <f t="shared" si="42"/>
        <v>OK</v>
      </c>
      <c r="J647" s="9" t="str">
        <f t="shared" si="43"/>
        <v>Standard</v>
      </c>
    </row>
    <row r="648" spans="1:10" x14ac:dyDescent="0.3">
      <c r="A648" s="10">
        <f>'2_Clean_Data'!A645</f>
        <v>644</v>
      </c>
      <c r="B648" s="10">
        <f>INDEX('2_Clean_Data'!$M$2:$M$1360,MATCH($A648,'2_Clean_Data'!$A$2:$A$1360,0))</f>
        <v>5</v>
      </c>
      <c r="C648" s="9" t="str">
        <f t="shared" si="40"/>
        <v>Average</v>
      </c>
      <c r="D648" s="11">
        <f>INDEX('2_Clean_Data'!$L$2:$L$1360,MATCH($A648,'2_Clean_Data'!$A$2:$A$1360,0))</f>
        <v>9.1999999999999993</v>
      </c>
      <c r="E648" s="9" t="str">
        <f>IF(D648&lt;'3_Summary_Tables'!$C$16,"Low",IF(D648&lt;'3_Summary_Tables'!$C$17,"Medium","High"))</f>
        <v>Low</v>
      </c>
      <c r="F648" s="12">
        <f>INDEX('2_Clean_Data'!$C$2:$C$1360,MATCH($A648,'2_Clean_Data'!$A$2:$A$1360,0))</f>
        <v>0.61499999999999999</v>
      </c>
      <c r="G648" s="10">
        <f>INDEX('2_Clean_Data'!$H$2:$H$1360,MATCH($A648,'2_Clean_Data'!$A$2:$A$1360,0))</f>
        <v>18</v>
      </c>
      <c r="H648" s="9" t="str">
        <f t="shared" si="41"/>
        <v>Low</v>
      </c>
      <c r="I648" s="9" t="str">
        <f t="shared" si="42"/>
        <v>OK</v>
      </c>
      <c r="J648" s="9" t="str">
        <f t="shared" si="43"/>
        <v>Standard</v>
      </c>
    </row>
    <row r="649" spans="1:10" x14ac:dyDescent="0.3">
      <c r="A649" s="10">
        <f>'2_Clean_Data'!A646</f>
        <v>645</v>
      </c>
      <c r="B649" s="10">
        <f>INDEX('2_Clean_Data'!$M$2:$M$1360,MATCH($A649,'2_Clean_Data'!$A$2:$A$1360,0))</f>
        <v>5</v>
      </c>
      <c r="C649" s="9" t="str">
        <f t="shared" si="40"/>
        <v>Average</v>
      </c>
      <c r="D649" s="11">
        <f>INDEX('2_Clean_Data'!$L$2:$L$1360,MATCH($A649,'2_Clean_Data'!$A$2:$A$1360,0))</f>
        <v>10</v>
      </c>
      <c r="E649" s="9" t="str">
        <f>IF(D649&lt;'3_Summary_Tables'!$C$16,"Low",IF(D649&lt;'3_Summary_Tables'!$C$17,"Medium","High"))</f>
        <v>Medium</v>
      </c>
      <c r="F649" s="12">
        <f>INDEX('2_Clean_Data'!$C$2:$C$1360,MATCH($A649,'2_Clean_Data'!$A$2:$A$1360,0))</f>
        <v>0.41</v>
      </c>
      <c r="G649" s="10">
        <f>INDEX('2_Clean_Data'!$H$2:$H$1360,MATCH($A649,'2_Clean_Data'!$A$2:$A$1360,0))</f>
        <v>101</v>
      </c>
      <c r="H649" s="9" t="str">
        <f t="shared" si="41"/>
        <v>High</v>
      </c>
      <c r="I649" s="9" t="str">
        <f t="shared" si="42"/>
        <v>OK</v>
      </c>
      <c r="J649" s="9" t="str">
        <f t="shared" si="43"/>
        <v>Standard</v>
      </c>
    </row>
    <row r="650" spans="1:10" x14ac:dyDescent="0.3">
      <c r="A650" s="10">
        <f>'2_Clean_Data'!A647</f>
        <v>646</v>
      </c>
      <c r="B650" s="10">
        <f>INDEX('2_Clean_Data'!$M$2:$M$1360,MATCH($A650,'2_Clean_Data'!$A$2:$A$1360,0))</f>
        <v>5</v>
      </c>
      <c r="C650" s="9" t="str">
        <f t="shared" si="40"/>
        <v>Average</v>
      </c>
      <c r="D650" s="11">
        <f>INDEX('2_Clean_Data'!$L$2:$L$1360,MATCH($A650,'2_Clean_Data'!$A$2:$A$1360,0))</f>
        <v>9.5</v>
      </c>
      <c r="E650" s="9" t="str">
        <f>IF(D650&lt;'3_Summary_Tables'!$C$16,"Low",IF(D650&lt;'3_Summary_Tables'!$C$17,"Medium","High"))</f>
        <v>Low</v>
      </c>
      <c r="F650" s="12">
        <f>INDEX('2_Clean_Data'!$C$2:$C$1360,MATCH($A650,'2_Clean_Data'!$A$2:$A$1360,0))</f>
        <v>0.39</v>
      </c>
      <c r="G650" s="10">
        <f>INDEX('2_Clean_Data'!$H$2:$H$1360,MATCH($A650,'2_Clean_Data'!$A$2:$A$1360,0))</f>
        <v>101</v>
      </c>
      <c r="H650" s="9" t="str">
        <f t="shared" si="41"/>
        <v>High</v>
      </c>
      <c r="I650" s="9" t="str">
        <f t="shared" si="42"/>
        <v>OK</v>
      </c>
      <c r="J650" s="9" t="str">
        <f t="shared" si="43"/>
        <v>Standard</v>
      </c>
    </row>
    <row r="651" spans="1:10" x14ac:dyDescent="0.3">
      <c r="A651" s="10">
        <f>'2_Clean_Data'!A648</f>
        <v>647</v>
      </c>
      <c r="B651" s="10">
        <f>INDEX('2_Clean_Data'!$M$2:$M$1360,MATCH($A651,'2_Clean_Data'!$A$2:$A$1360,0))</f>
        <v>6</v>
      </c>
      <c r="C651" s="9" t="str">
        <f t="shared" si="40"/>
        <v>Above Average</v>
      </c>
      <c r="D651" s="11">
        <f>INDEX('2_Clean_Data'!$L$2:$L$1360,MATCH($A651,'2_Clean_Data'!$A$2:$A$1360,0))</f>
        <v>9.5</v>
      </c>
      <c r="E651" s="9" t="str">
        <f>IF(D651&lt;'3_Summary_Tables'!$C$16,"Low",IF(D651&lt;'3_Summary_Tables'!$C$17,"Medium","High"))</f>
        <v>Low</v>
      </c>
      <c r="F651" s="12">
        <f>INDEX('2_Clean_Data'!$C$2:$C$1360,MATCH($A651,'2_Clean_Data'!$A$2:$A$1360,0))</f>
        <v>0.51</v>
      </c>
      <c r="G651" s="10">
        <f>INDEX('2_Clean_Data'!$H$2:$H$1360,MATCH($A651,'2_Clean_Data'!$A$2:$A$1360,0))</f>
        <v>28</v>
      </c>
      <c r="H651" s="9" t="str">
        <f t="shared" si="41"/>
        <v>Low</v>
      </c>
      <c r="I651" s="9" t="str">
        <f t="shared" si="42"/>
        <v>OK</v>
      </c>
      <c r="J651" s="9" t="str">
        <f t="shared" si="43"/>
        <v>Solid</v>
      </c>
    </row>
    <row r="652" spans="1:10" x14ac:dyDescent="0.3">
      <c r="A652" s="10">
        <f>'2_Clean_Data'!A649</f>
        <v>648</v>
      </c>
      <c r="B652" s="10">
        <f>INDEX('2_Clean_Data'!$M$2:$M$1360,MATCH($A652,'2_Clean_Data'!$A$2:$A$1360,0))</f>
        <v>6</v>
      </c>
      <c r="C652" s="9" t="str">
        <f t="shared" si="40"/>
        <v>Above Average</v>
      </c>
      <c r="D652" s="11">
        <f>INDEX('2_Clean_Data'!$L$2:$L$1360,MATCH($A652,'2_Clean_Data'!$A$2:$A$1360,0))</f>
        <v>9</v>
      </c>
      <c r="E652" s="9" t="str">
        <f>IF(D652&lt;'3_Summary_Tables'!$C$16,"Low",IF(D652&lt;'3_Summary_Tables'!$C$17,"Medium","High"))</f>
        <v>Low</v>
      </c>
      <c r="F652" s="12">
        <f>INDEX('2_Clean_Data'!$C$2:$C$1360,MATCH($A652,'2_Clean_Data'!$A$2:$A$1360,0))</f>
        <v>0.34</v>
      </c>
      <c r="G652" s="10">
        <f>INDEX('2_Clean_Data'!$H$2:$H$1360,MATCH($A652,'2_Clean_Data'!$A$2:$A$1360,0))</f>
        <v>57</v>
      </c>
      <c r="H652" s="9" t="str">
        <f t="shared" si="41"/>
        <v>Moderate</v>
      </c>
      <c r="I652" s="9" t="str">
        <f t="shared" si="42"/>
        <v>OK</v>
      </c>
      <c r="J652" s="9" t="str">
        <f t="shared" si="43"/>
        <v>Solid</v>
      </c>
    </row>
    <row r="653" spans="1:10" x14ac:dyDescent="0.3">
      <c r="A653" s="10">
        <f>'2_Clean_Data'!A650</f>
        <v>649</v>
      </c>
      <c r="B653" s="10">
        <f>INDEX('2_Clean_Data'!$M$2:$M$1360,MATCH($A653,'2_Clean_Data'!$A$2:$A$1360,0))</f>
        <v>5</v>
      </c>
      <c r="C653" s="9" t="str">
        <f t="shared" si="40"/>
        <v>Average</v>
      </c>
      <c r="D653" s="11">
        <f>INDEX('2_Clean_Data'!$L$2:$L$1360,MATCH($A653,'2_Clean_Data'!$A$2:$A$1360,0))</f>
        <v>9.4</v>
      </c>
      <c r="E653" s="9" t="str">
        <f>IF(D653&lt;'3_Summary_Tables'!$C$16,"Low",IF(D653&lt;'3_Summary_Tables'!$C$17,"Medium","High"))</f>
        <v>Low</v>
      </c>
      <c r="F653" s="12">
        <f>INDEX('2_Clean_Data'!$C$2:$C$1360,MATCH($A653,'2_Clean_Data'!$A$2:$A$1360,0))</f>
        <v>0.33</v>
      </c>
      <c r="G653" s="10">
        <f>INDEX('2_Clean_Data'!$H$2:$H$1360,MATCH($A653,'2_Clean_Data'!$A$2:$A$1360,0))</f>
        <v>68</v>
      </c>
      <c r="H653" s="9" t="str">
        <f t="shared" si="41"/>
        <v>Moderate</v>
      </c>
      <c r="I653" s="9" t="str">
        <f t="shared" si="42"/>
        <v>OK</v>
      </c>
      <c r="J653" s="9" t="str">
        <f t="shared" si="43"/>
        <v>Standard</v>
      </c>
    </row>
    <row r="654" spans="1:10" x14ac:dyDescent="0.3">
      <c r="A654" s="10">
        <f>'2_Clean_Data'!A651</f>
        <v>650</v>
      </c>
      <c r="B654" s="10">
        <f>INDEX('2_Clean_Data'!$M$2:$M$1360,MATCH($A654,'2_Clean_Data'!$A$2:$A$1360,0))</f>
        <v>6</v>
      </c>
      <c r="C654" s="9" t="str">
        <f t="shared" si="40"/>
        <v>Above Average</v>
      </c>
      <c r="D654" s="11">
        <f>INDEX('2_Clean_Data'!$L$2:$L$1360,MATCH($A654,'2_Clean_Data'!$A$2:$A$1360,0))</f>
        <v>9.6</v>
      </c>
      <c r="E654" s="9" t="str">
        <f>IF(D654&lt;'3_Summary_Tables'!$C$16,"Low",IF(D654&lt;'3_Summary_Tables'!$C$17,"Medium","High"))</f>
        <v>Low</v>
      </c>
      <c r="F654" s="12">
        <f>INDEX('2_Clean_Data'!$C$2:$C$1360,MATCH($A654,'2_Clean_Data'!$A$2:$A$1360,0))</f>
        <v>0.5</v>
      </c>
      <c r="G654" s="10">
        <f>INDEX('2_Clean_Data'!$H$2:$H$1360,MATCH($A654,'2_Clean_Data'!$A$2:$A$1360,0))</f>
        <v>31</v>
      </c>
      <c r="H654" s="9" t="str">
        <f t="shared" si="41"/>
        <v>Low</v>
      </c>
      <c r="I654" s="9" t="str">
        <f t="shared" si="42"/>
        <v>OK</v>
      </c>
      <c r="J654" s="9" t="str">
        <f t="shared" si="43"/>
        <v>Solid</v>
      </c>
    </row>
    <row r="655" spans="1:10" x14ac:dyDescent="0.3">
      <c r="A655" s="10">
        <f>'2_Clean_Data'!A652</f>
        <v>651</v>
      </c>
      <c r="B655" s="10">
        <f>INDEX('2_Clean_Data'!$M$2:$M$1360,MATCH($A655,'2_Clean_Data'!$A$2:$A$1360,0))</f>
        <v>5</v>
      </c>
      <c r="C655" s="9" t="str">
        <f t="shared" si="40"/>
        <v>Average</v>
      </c>
      <c r="D655" s="11">
        <f>INDEX('2_Clean_Data'!$L$2:$L$1360,MATCH($A655,'2_Clean_Data'!$A$2:$A$1360,0))</f>
        <v>9.5</v>
      </c>
      <c r="E655" s="9" t="str">
        <f>IF(D655&lt;'3_Summary_Tables'!$C$16,"Low",IF(D655&lt;'3_Summary_Tables'!$C$17,"Medium","High"))</f>
        <v>Low</v>
      </c>
      <c r="F655" s="12">
        <f>INDEX('2_Clean_Data'!$C$2:$C$1360,MATCH($A655,'2_Clean_Data'!$A$2:$A$1360,0))</f>
        <v>0.65</v>
      </c>
      <c r="G655" s="10">
        <f>INDEX('2_Clean_Data'!$H$2:$H$1360,MATCH($A655,'2_Clean_Data'!$A$2:$A$1360,0))</f>
        <v>40</v>
      </c>
      <c r="H655" s="9" t="str">
        <f t="shared" si="41"/>
        <v>Low</v>
      </c>
      <c r="I655" s="9" t="str">
        <f t="shared" si="42"/>
        <v>OK</v>
      </c>
      <c r="J655" s="9" t="str">
        <f t="shared" si="43"/>
        <v>Standard</v>
      </c>
    </row>
    <row r="656" spans="1:10" x14ac:dyDescent="0.3">
      <c r="A656" s="10">
        <f>'2_Clean_Data'!A653</f>
        <v>652</v>
      </c>
      <c r="B656" s="10">
        <f>INDEX('2_Clean_Data'!$M$2:$M$1360,MATCH($A656,'2_Clean_Data'!$A$2:$A$1360,0))</f>
        <v>5</v>
      </c>
      <c r="C656" s="9" t="str">
        <f t="shared" si="40"/>
        <v>Average</v>
      </c>
      <c r="D656" s="11">
        <f>INDEX('2_Clean_Data'!$L$2:$L$1360,MATCH($A656,'2_Clean_Data'!$A$2:$A$1360,0))</f>
        <v>9.4</v>
      </c>
      <c r="E656" s="9" t="str">
        <f>IF(D656&lt;'3_Summary_Tables'!$C$16,"Low",IF(D656&lt;'3_Summary_Tables'!$C$17,"Medium","High"))</f>
        <v>Low</v>
      </c>
      <c r="F656" s="12">
        <f>INDEX('2_Clean_Data'!$C$2:$C$1360,MATCH($A656,'2_Clean_Data'!$A$2:$A$1360,0))</f>
        <v>0.54</v>
      </c>
      <c r="G656" s="10">
        <f>INDEX('2_Clean_Data'!$H$2:$H$1360,MATCH($A656,'2_Clean_Data'!$A$2:$A$1360,0))</f>
        <v>66</v>
      </c>
      <c r="H656" s="9" t="str">
        <f t="shared" si="41"/>
        <v>Moderate</v>
      </c>
      <c r="I656" s="9" t="str">
        <f t="shared" si="42"/>
        <v>OK</v>
      </c>
      <c r="J656" s="9" t="str">
        <f t="shared" si="43"/>
        <v>Standard</v>
      </c>
    </row>
    <row r="657" spans="1:10" x14ac:dyDescent="0.3">
      <c r="A657" s="10">
        <f>'2_Clean_Data'!A654</f>
        <v>653</v>
      </c>
      <c r="B657" s="10">
        <f>INDEX('2_Clean_Data'!$M$2:$M$1360,MATCH($A657,'2_Clean_Data'!$A$2:$A$1360,0))</f>
        <v>6</v>
      </c>
      <c r="C657" s="9" t="str">
        <f t="shared" si="40"/>
        <v>Above Average</v>
      </c>
      <c r="D657" s="11">
        <f>INDEX('2_Clean_Data'!$L$2:$L$1360,MATCH($A657,'2_Clean_Data'!$A$2:$A$1360,0))</f>
        <v>9.1</v>
      </c>
      <c r="E657" s="9" t="str">
        <f>IF(D657&lt;'3_Summary_Tables'!$C$16,"Low",IF(D657&lt;'3_Summary_Tables'!$C$17,"Medium","High"))</f>
        <v>Low</v>
      </c>
      <c r="F657" s="12">
        <f>INDEX('2_Clean_Data'!$C$2:$C$1360,MATCH($A657,'2_Clean_Data'!$A$2:$A$1360,0))</f>
        <v>0.48</v>
      </c>
      <c r="G657" s="10">
        <f>INDEX('2_Clean_Data'!$H$2:$H$1360,MATCH($A657,'2_Clean_Data'!$A$2:$A$1360,0))</f>
        <v>32</v>
      </c>
      <c r="H657" s="9" t="str">
        <f t="shared" si="41"/>
        <v>Low</v>
      </c>
      <c r="I657" s="9" t="str">
        <f t="shared" si="42"/>
        <v>OK</v>
      </c>
      <c r="J657" s="9" t="str">
        <f t="shared" si="43"/>
        <v>Solid</v>
      </c>
    </row>
    <row r="658" spans="1:10" x14ac:dyDescent="0.3">
      <c r="A658" s="10">
        <f>'2_Clean_Data'!A655</f>
        <v>654</v>
      </c>
      <c r="B658" s="10">
        <f>INDEX('2_Clean_Data'!$M$2:$M$1360,MATCH($A658,'2_Clean_Data'!$A$2:$A$1360,0))</f>
        <v>6</v>
      </c>
      <c r="C658" s="9" t="str">
        <f t="shared" si="40"/>
        <v>Above Average</v>
      </c>
      <c r="D658" s="11">
        <f>INDEX('2_Clean_Data'!$L$2:$L$1360,MATCH($A658,'2_Clean_Data'!$A$2:$A$1360,0))</f>
        <v>10.7</v>
      </c>
      <c r="E658" s="9" t="str">
        <f>IF(D658&lt;'3_Summary_Tables'!$C$16,"Low",IF(D658&lt;'3_Summary_Tables'!$C$17,"Medium","High"))</f>
        <v>Medium</v>
      </c>
      <c r="F658" s="12">
        <f>INDEX('2_Clean_Data'!$C$2:$C$1360,MATCH($A658,'2_Clean_Data'!$A$2:$A$1360,0))</f>
        <v>0.91</v>
      </c>
      <c r="G658" s="10">
        <f>INDEX('2_Clean_Data'!$H$2:$H$1360,MATCH($A658,'2_Clean_Data'!$A$2:$A$1360,0))</f>
        <v>47</v>
      </c>
      <c r="H658" s="9" t="str">
        <f t="shared" si="41"/>
        <v>Low</v>
      </c>
      <c r="I658" s="9" t="str">
        <f t="shared" si="42"/>
        <v>Above limit</v>
      </c>
      <c r="J658" s="9" t="str">
        <f t="shared" si="43"/>
        <v>Standard</v>
      </c>
    </row>
    <row r="659" spans="1:10" x14ac:dyDescent="0.3">
      <c r="A659" s="10">
        <f>'2_Clean_Data'!A656</f>
        <v>655</v>
      </c>
      <c r="B659" s="10">
        <f>INDEX('2_Clean_Data'!$M$2:$M$1360,MATCH($A659,'2_Clean_Data'!$A$2:$A$1360,0))</f>
        <v>6</v>
      </c>
      <c r="C659" s="9" t="str">
        <f t="shared" si="40"/>
        <v>Above Average</v>
      </c>
      <c r="D659" s="11">
        <f>INDEX('2_Clean_Data'!$L$2:$L$1360,MATCH($A659,'2_Clean_Data'!$A$2:$A$1360,0))</f>
        <v>11.2</v>
      </c>
      <c r="E659" s="9" t="str">
        <f>IF(D659&lt;'3_Summary_Tables'!$C$16,"Low",IF(D659&lt;'3_Summary_Tables'!$C$17,"Medium","High"))</f>
        <v>Medium</v>
      </c>
      <c r="F659" s="12">
        <f>INDEX('2_Clean_Data'!$C$2:$C$1360,MATCH($A659,'2_Clean_Data'!$A$2:$A$1360,0))</f>
        <v>0.98</v>
      </c>
      <c r="G659" s="10">
        <f>INDEX('2_Clean_Data'!$H$2:$H$1360,MATCH($A659,'2_Clean_Data'!$A$2:$A$1360,0))</f>
        <v>33</v>
      </c>
      <c r="H659" s="9" t="str">
        <f t="shared" si="41"/>
        <v>Low</v>
      </c>
      <c r="I659" s="9" t="str">
        <f t="shared" si="42"/>
        <v>Above limit</v>
      </c>
      <c r="J659" s="9" t="str">
        <f t="shared" si="43"/>
        <v>Standard</v>
      </c>
    </row>
    <row r="660" spans="1:10" x14ac:dyDescent="0.3">
      <c r="A660" s="10">
        <f>'2_Clean_Data'!A657</f>
        <v>656</v>
      </c>
      <c r="B660" s="10">
        <f>INDEX('2_Clean_Data'!$M$2:$M$1360,MATCH($A660,'2_Clean_Data'!$A$2:$A$1360,0))</f>
        <v>5</v>
      </c>
      <c r="C660" s="9" t="str">
        <f t="shared" si="40"/>
        <v>Average</v>
      </c>
      <c r="D660" s="11">
        <f>INDEX('2_Clean_Data'!$L$2:$L$1360,MATCH($A660,'2_Clean_Data'!$A$2:$A$1360,0))</f>
        <v>9.8000000000000007</v>
      </c>
      <c r="E660" s="9" t="str">
        <f>IF(D660&lt;'3_Summary_Tables'!$C$16,"Low",IF(D660&lt;'3_Summary_Tables'!$C$17,"Medium","High"))</f>
        <v>Low</v>
      </c>
      <c r="F660" s="12">
        <f>INDEX('2_Clean_Data'!$C$2:$C$1360,MATCH($A660,'2_Clean_Data'!$A$2:$A$1360,0))</f>
        <v>0.87</v>
      </c>
      <c r="G660" s="10">
        <f>INDEX('2_Clean_Data'!$H$2:$H$1360,MATCH($A660,'2_Clean_Data'!$A$2:$A$1360,0))</f>
        <v>31</v>
      </c>
      <c r="H660" s="9" t="str">
        <f t="shared" si="41"/>
        <v>Low</v>
      </c>
      <c r="I660" s="9" t="str">
        <f t="shared" si="42"/>
        <v>Above limit</v>
      </c>
      <c r="J660" s="9" t="str">
        <f t="shared" si="43"/>
        <v>Standard</v>
      </c>
    </row>
    <row r="661" spans="1:10" x14ac:dyDescent="0.3">
      <c r="A661" s="10">
        <f>'2_Clean_Data'!A658</f>
        <v>657</v>
      </c>
      <c r="B661" s="10">
        <f>INDEX('2_Clean_Data'!$M$2:$M$1360,MATCH($A661,'2_Clean_Data'!$A$2:$A$1360,0))</f>
        <v>5</v>
      </c>
      <c r="C661" s="9" t="str">
        <f t="shared" si="40"/>
        <v>Average</v>
      </c>
      <c r="D661" s="11">
        <f>INDEX('2_Clean_Data'!$L$2:$L$1360,MATCH($A661,'2_Clean_Data'!$A$2:$A$1360,0))</f>
        <v>9.1999999999999993</v>
      </c>
      <c r="E661" s="9" t="str">
        <f>IF(D661&lt;'3_Summary_Tables'!$C$16,"Low",IF(D661&lt;'3_Summary_Tables'!$C$17,"Medium","High"))</f>
        <v>Low</v>
      </c>
      <c r="F661" s="12">
        <f>INDEX('2_Clean_Data'!$C$2:$C$1360,MATCH($A661,'2_Clean_Data'!$A$2:$A$1360,0))</f>
        <v>0.42</v>
      </c>
      <c r="G661" s="10">
        <f>INDEX('2_Clean_Data'!$H$2:$H$1360,MATCH($A661,'2_Clean_Data'!$A$2:$A$1360,0))</f>
        <v>88</v>
      </c>
      <c r="H661" s="9" t="str">
        <f t="shared" si="41"/>
        <v>Moderate</v>
      </c>
      <c r="I661" s="9" t="str">
        <f t="shared" si="42"/>
        <v>OK</v>
      </c>
      <c r="J661" s="9" t="str">
        <f t="shared" si="43"/>
        <v>Standard</v>
      </c>
    </row>
    <row r="662" spans="1:10" x14ac:dyDescent="0.3">
      <c r="A662" s="10">
        <f>'2_Clean_Data'!A659</f>
        <v>658</v>
      </c>
      <c r="B662" s="10">
        <f>INDEX('2_Clean_Data'!$M$2:$M$1360,MATCH($A662,'2_Clean_Data'!$A$2:$A$1360,0))</f>
        <v>5</v>
      </c>
      <c r="C662" s="9" t="str">
        <f t="shared" si="40"/>
        <v>Average</v>
      </c>
      <c r="D662" s="11">
        <f>INDEX('2_Clean_Data'!$L$2:$L$1360,MATCH($A662,'2_Clean_Data'!$A$2:$A$1360,0))</f>
        <v>9.6999999999999993</v>
      </c>
      <c r="E662" s="9" t="str">
        <f>IF(D662&lt;'3_Summary_Tables'!$C$16,"Low",IF(D662&lt;'3_Summary_Tables'!$C$17,"Medium","High"))</f>
        <v>Low</v>
      </c>
      <c r="F662" s="12">
        <f>INDEX('2_Clean_Data'!$C$2:$C$1360,MATCH($A662,'2_Clean_Data'!$A$2:$A$1360,0))</f>
        <v>0.57999999999999996</v>
      </c>
      <c r="G662" s="10">
        <f>INDEX('2_Clean_Data'!$H$2:$H$1360,MATCH($A662,'2_Clean_Data'!$A$2:$A$1360,0))</f>
        <v>104</v>
      </c>
      <c r="H662" s="9" t="str">
        <f t="shared" si="41"/>
        <v>High</v>
      </c>
      <c r="I662" s="9" t="str">
        <f t="shared" si="42"/>
        <v>OK</v>
      </c>
      <c r="J662" s="9" t="str">
        <f t="shared" si="43"/>
        <v>Standard</v>
      </c>
    </row>
    <row r="663" spans="1:10" x14ac:dyDescent="0.3">
      <c r="A663" s="10">
        <f>'2_Clean_Data'!A660</f>
        <v>659</v>
      </c>
      <c r="B663" s="10">
        <f>INDEX('2_Clean_Data'!$M$2:$M$1360,MATCH($A663,'2_Clean_Data'!$A$2:$A$1360,0))</f>
        <v>5</v>
      </c>
      <c r="C663" s="9" t="str">
        <f t="shared" si="40"/>
        <v>Average</v>
      </c>
      <c r="D663" s="11">
        <f>INDEX('2_Clean_Data'!$L$2:$L$1360,MATCH($A663,'2_Clean_Data'!$A$2:$A$1360,0))</f>
        <v>9.6</v>
      </c>
      <c r="E663" s="9" t="str">
        <f>IF(D663&lt;'3_Summary_Tables'!$C$16,"Low",IF(D663&lt;'3_Summary_Tables'!$C$17,"Medium","High"))</f>
        <v>Low</v>
      </c>
      <c r="F663" s="12">
        <f>INDEX('2_Clean_Data'!$C$2:$C$1360,MATCH($A663,'2_Clean_Data'!$A$2:$A$1360,0))</f>
        <v>0.65500000000000003</v>
      </c>
      <c r="G663" s="10">
        <f>INDEX('2_Clean_Data'!$H$2:$H$1360,MATCH($A663,'2_Clean_Data'!$A$2:$A$1360,0))</f>
        <v>35</v>
      </c>
      <c r="H663" s="9" t="str">
        <f t="shared" si="41"/>
        <v>Low</v>
      </c>
      <c r="I663" s="9" t="str">
        <f t="shared" si="42"/>
        <v>OK</v>
      </c>
      <c r="J663" s="9" t="str">
        <f t="shared" si="43"/>
        <v>Standard</v>
      </c>
    </row>
    <row r="664" spans="1:10" x14ac:dyDescent="0.3">
      <c r="A664" s="10">
        <f>'2_Clean_Data'!A661</f>
        <v>660</v>
      </c>
      <c r="B664" s="10">
        <f>INDEX('2_Clean_Data'!$M$2:$M$1360,MATCH($A664,'2_Clean_Data'!$A$2:$A$1360,0))</f>
        <v>6</v>
      </c>
      <c r="C664" s="9" t="str">
        <f t="shared" si="40"/>
        <v>Above Average</v>
      </c>
      <c r="D664" s="11">
        <f>INDEX('2_Clean_Data'!$L$2:$L$1360,MATCH($A664,'2_Clean_Data'!$A$2:$A$1360,0))</f>
        <v>10</v>
      </c>
      <c r="E664" s="9" t="str">
        <f>IF(D664&lt;'3_Summary_Tables'!$C$16,"Low",IF(D664&lt;'3_Summary_Tables'!$C$17,"Medium","High"))</f>
        <v>Medium</v>
      </c>
      <c r="F664" s="12">
        <f>INDEX('2_Clean_Data'!$C$2:$C$1360,MATCH($A664,'2_Clean_Data'!$A$2:$A$1360,0))</f>
        <v>0.7</v>
      </c>
      <c r="G664" s="10">
        <f>INDEX('2_Clean_Data'!$H$2:$H$1360,MATCH($A664,'2_Clean_Data'!$A$2:$A$1360,0))</f>
        <v>19</v>
      </c>
      <c r="H664" s="9" t="str">
        <f t="shared" si="41"/>
        <v>Low</v>
      </c>
      <c r="I664" s="9" t="str">
        <f t="shared" si="42"/>
        <v>OK</v>
      </c>
      <c r="J664" s="9" t="str">
        <f t="shared" si="43"/>
        <v>Solid</v>
      </c>
    </row>
    <row r="665" spans="1:10" x14ac:dyDescent="0.3">
      <c r="A665" s="10">
        <f>'2_Clean_Data'!A662</f>
        <v>661</v>
      </c>
      <c r="B665" s="10">
        <f>INDEX('2_Clean_Data'!$M$2:$M$1360,MATCH($A665,'2_Clean_Data'!$A$2:$A$1360,0))</f>
        <v>6</v>
      </c>
      <c r="C665" s="9" t="str">
        <f t="shared" si="40"/>
        <v>Above Average</v>
      </c>
      <c r="D665" s="11">
        <f>INDEX('2_Clean_Data'!$L$2:$L$1360,MATCH($A665,'2_Clean_Data'!$A$2:$A$1360,0))</f>
        <v>9.5</v>
      </c>
      <c r="E665" s="9" t="str">
        <f>IF(D665&lt;'3_Summary_Tables'!$C$16,"Low",IF(D665&lt;'3_Summary_Tables'!$C$17,"Medium","High"))</f>
        <v>Low</v>
      </c>
      <c r="F665" s="12">
        <f>INDEX('2_Clean_Data'!$C$2:$C$1360,MATCH($A665,'2_Clean_Data'!$A$2:$A$1360,0))</f>
        <v>0.68</v>
      </c>
      <c r="G665" s="10">
        <f>INDEX('2_Clean_Data'!$H$2:$H$1360,MATCH($A665,'2_Clean_Data'!$A$2:$A$1360,0))</f>
        <v>44</v>
      </c>
      <c r="H665" s="9" t="str">
        <f t="shared" si="41"/>
        <v>Low</v>
      </c>
      <c r="I665" s="9" t="str">
        <f t="shared" si="42"/>
        <v>OK</v>
      </c>
      <c r="J665" s="9" t="str">
        <f t="shared" si="43"/>
        <v>Solid</v>
      </c>
    </row>
    <row r="666" spans="1:10" x14ac:dyDescent="0.3">
      <c r="A666" s="10">
        <f>'2_Clean_Data'!A663</f>
        <v>662</v>
      </c>
      <c r="B666" s="10">
        <f>INDEX('2_Clean_Data'!$M$2:$M$1360,MATCH($A666,'2_Clean_Data'!$A$2:$A$1360,0))</f>
        <v>6</v>
      </c>
      <c r="C666" s="9" t="str">
        <f t="shared" si="40"/>
        <v>Above Average</v>
      </c>
      <c r="D666" s="11">
        <f>INDEX('2_Clean_Data'!$L$2:$L$1360,MATCH($A666,'2_Clean_Data'!$A$2:$A$1360,0))</f>
        <v>9.5</v>
      </c>
      <c r="E666" s="9" t="str">
        <f>IF(D666&lt;'3_Summary_Tables'!$C$16,"Low",IF(D666&lt;'3_Summary_Tables'!$C$17,"Medium","High"))</f>
        <v>Low</v>
      </c>
      <c r="F666" s="12">
        <f>INDEX('2_Clean_Data'!$C$2:$C$1360,MATCH($A666,'2_Clean_Data'!$A$2:$A$1360,0))</f>
        <v>0.67</v>
      </c>
      <c r="G666" s="10">
        <f>INDEX('2_Clean_Data'!$H$2:$H$1360,MATCH($A666,'2_Clean_Data'!$A$2:$A$1360,0))</f>
        <v>48</v>
      </c>
      <c r="H666" s="9" t="str">
        <f t="shared" si="41"/>
        <v>Low</v>
      </c>
      <c r="I666" s="9" t="str">
        <f t="shared" si="42"/>
        <v>OK</v>
      </c>
      <c r="J666" s="9" t="str">
        <f t="shared" si="43"/>
        <v>Solid</v>
      </c>
    </row>
    <row r="667" spans="1:10" x14ac:dyDescent="0.3">
      <c r="A667" s="10">
        <f>'2_Clean_Data'!A664</f>
        <v>663</v>
      </c>
      <c r="B667" s="10">
        <f>INDEX('2_Clean_Data'!$M$2:$M$1360,MATCH($A667,'2_Clean_Data'!$A$2:$A$1360,0))</f>
        <v>5</v>
      </c>
      <c r="C667" s="9" t="str">
        <f t="shared" si="40"/>
        <v>Average</v>
      </c>
      <c r="D667" s="11">
        <f>INDEX('2_Clean_Data'!$L$2:$L$1360,MATCH($A667,'2_Clean_Data'!$A$2:$A$1360,0))</f>
        <v>9.4</v>
      </c>
      <c r="E667" s="9" t="str">
        <f>IF(D667&lt;'3_Summary_Tables'!$C$16,"Low",IF(D667&lt;'3_Summary_Tables'!$C$17,"Medium","High"))</f>
        <v>Low</v>
      </c>
      <c r="F667" s="12">
        <f>INDEX('2_Clean_Data'!$C$2:$C$1360,MATCH($A667,'2_Clean_Data'!$A$2:$A$1360,0))</f>
        <v>0.59</v>
      </c>
      <c r="G667" s="10">
        <f>INDEX('2_Clean_Data'!$H$2:$H$1360,MATCH($A667,'2_Clean_Data'!$A$2:$A$1360,0))</f>
        <v>74</v>
      </c>
      <c r="H667" s="9" t="str">
        <f t="shared" si="41"/>
        <v>Moderate</v>
      </c>
      <c r="I667" s="9" t="str">
        <f t="shared" si="42"/>
        <v>OK</v>
      </c>
      <c r="J667" s="9" t="str">
        <f t="shared" si="43"/>
        <v>Standard</v>
      </c>
    </row>
    <row r="668" spans="1:10" x14ac:dyDescent="0.3">
      <c r="A668" s="10">
        <f>'2_Clean_Data'!A665</f>
        <v>664</v>
      </c>
      <c r="B668" s="10">
        <f>INDEX('2_Clean_Data'!$M$2:$M$1360,MATCH($A668,'2_Clean_Data'!$A$2:$A$1360,0))</f>
        <v>5</v>
      </c>
      <c r="C668" s="9" t="str">
        <f t="shared" si="40"/>
        <v>Average</v>
      </c>
      <c r="D668" s="11">
        <f>INDEX('2_Clean_Data'!$L$2:$L$1360,MATCH($A668,'2_Clean_Data'!$A$2:$A$1360,0))</f>
        <v>9.5</v>
      </c>
      <c r="E668" s="9" t="str">
        <f>IF(D668&lt;'3_Summary_Tables'!$C$16,"Low",IF(D668&lt;'3_Summary_Tables'!$C$17,"Medium","High"))</f>
        <v>Low</v>
      </c>
      <c r="F668" s="12">
        <f>INDEX('2_Clean_Data'!$C$2:$C$1360,MATCH($A668,'2_Clean_Data'!$A$2:$A$1360,0))</f>
        <v>0.6</v>
      </c>
      <c r="G668" s="10">
        <f>INDEX('2_Clean_Data'!$H$2:$H$1360,MATCH($A668,'2_Clean_Data'!$A$2:$A$1360,0))</f>
        <v>98</v>
      </c>
      <c r="H668" s="9" t="str">
        <f t="shared" si="41"/>
        <v>Moderate</v>
      </c>
      <c r="I668" s="9" t="str">
        <f t="shared" si="42"/>
        <v>OK</v>
      </c>
      <c r="J668" s="9" t="str">
        <f t="shared" si="43"/>
        <v>Standard</v>
      </c>
    </row>
    <row r="669" spans="1:10" x14ac:dyDescent="0.3">
      <c r="A669" s="10">
        <f>'2_Clean_Data'!A666</f>
        <v>665</v>
      </c>
      <c r="B669" s="10">
        <f>INDEX('2_Clean_Data'!$M$2:$M$1360,MATCH($A669,'2_Clean_Data'!$A$2:$A$1360,0))</f>
        <v>6</v>
      </c>
      <c r="C669" s="9" t="str">
        <f t="shared" si="40"/>
        <v>Above Average</v>
      </c>
      <c r="D669" s="11">
        <f>INDEX('2_Clean_Data'!$L$2:$L$1360,MATCH($A669,'2_Clean_Data'!$A$2:$A$1360,0))</f>
        <v>9.6999999999999993</v>
      </c>
      <c r="E669" s="9" t="str">
        <f>IF(D669&lt;'3_Summary_Tables'!$C$16,"Low",IF(D669&lt;'3_Summary_Tables'!$C$17,"Medium","High"))</f>
        <v>Low</v>
      </c>
      <c r="F669" s="12">
        <f>INDEX('2_Clean_Data'!$C$2:$C$1360,MATCH($A669,'2_Clean_Data'!$A$2:$A$1360,0))</f>
        <v>0.59</v>
      </c>
      <c r="G669" s="10">
        <f>INDEX('2_Clean_Data'!$H$2:$H$1360,MATCH($A669,'2_Clean_Data'!$A$2:$A$1360,0))</f>
        <v>94</v>
      </c>
      <c r="H669" s="9" t="str">
        <f t="shared" si="41"/>
        <v>Moderate</v>
      </c>
      <c r="I669" s="9" t="str">
        <f t="shared" si="42"/>
        <v>OK</v>
      </c>
      <c r="J669" s="9" t="str">
        <f t="shared" si="43"/>
        <v>Solid</v>
      </c>
    </row>
    <row r="670" spans="1:10" x14ac:dyDescent="0.3">
      <c r="A670" s="10">
        <f>'2_Clean_Data'!A667</f>
        <v>666</v>
      </c>
      <c r="B670" s="10">
        <f>INDEX('2_Clean_Data'!$M$2:$M$1360,MATCH($A670,'2_Clean_Data'!$A$2:$A$1360,0))</f>
        <v>5</v>
      </c>
      <c r="C670" s="9" t="str">
        <f t="shared" si="40"/>
        <v>Average</v>
      </c>
      <c r="D670" s="11">
        <f>INDEX('2_Clean_Data'!$L$2:$L$1360,MATCH($A670,'2_Clean_Data'!$A$2:$A$1360,0))</f>
        <v>9.6</v>
      </c>
      <c r="E670" s="9" t="str">
        <f>IF(D670&lt;'3_Summary_Tables'!$C$16,"Low",IF(D670&lt;'3_Summary_Tables'!$C$17,"Medium","High"))</f>
        <v>Low</v>
      </c>
      <c r="F670" s="12">
        <f>INDEX('2_Clean_Data'!$C$2:$C$1360,MATCH($A670,'2_Clean_Data'!$A$2:$A$1360,0))</f>
        <v>0.72</v>
      </c>
      <c r="G670" s="10">
        <f>INDEX('2_Clean_Data'!$H$2:$H$1360,MATCH($A670,'2_Clean_Data'!$A$2:$A$1360,0))</f>
        <v>32</v>
      </c>
      <c r="H670" s="9" t="str">
        <f t="shared" si="41"/>
        <v>Low</v>
      </c>
      <c r="I670" s="9" t="str">
        <f t="shared" si="42"/>
        <v>Above limit</v>
      </c>
      <c r="J670" s="9" t="str">
        <f t="shared" si="43"/>
        <v>Standard</v>
      </c>
    </row>
    <row r="671" spans="1:10" x14ac:dyDescent="0.3">
      <c r="A671" s="10">
        <f>'2_Clean_Data'!A668</f>
        <v>667</v>
      </c>
      <c r="B671" s="10">
        <f>INDEX('2_Clean_Data'!$M$2:$M$1360,MATCH($A671,'2_Clean_Data'!$A$2:$A$1360,0))</f>
        <v>5</v>
      </c>
      <c r="C671" s="9" t="str">
        <f t="shared" si="40"/>
        <v>Average</v>
      </c>
      <c r="D671" s="11">
        <f>INDEX('2_Clean_Data'!$L$2:$L$1360,MATCH($A671,'2_Clean_Data'!$A$2:$A$1360,0))</f>
        <v>9.4</v>
      </c>
      <c r="E671" s="9" t="str">
        <f>IF(D671&lt;'3_Summary_Tables'!$C$16,"Low",IF(D671&lt;'3_Summary_Tables'!$C$17,"Medium","High"))</f>
        <v>Low</v>
      </c>
      <c r="F671" s="12">
        <f>INDEX('2_Clean_Data'!$C$2:$C$1360,MATCH($A671,'2_Clean_Data'!$A$2:$A$1360,0))</f>
        <v>0.68500000000000005</v>
      </c>
      <c r="G671" s="10">
        <f>INDEX('2_Clean_Data'!$H$2:$H$1360,MATCH($A671,'2_Clean_Data'!$A$2:$A$1360,0))</f>
        <v>143</v>
      </c>
      <c r="H671" s="9" t="str">
        <f t="shared" si="41"/>
        <v>High</v>
      </c>
      <c r="I671" s="9" t="str">
        <f t="shared" si="42"/>
        <v>OK</v>
      </c>
      <c r="J671" s="9" t="str">
        <f t="shared" si="43"/>
        <v>Standard</v>
      </c>
    </row>
    <row r="672" spans="1:10" x14ac:dyDescent="0.3">
      <c r="A672" s="10">
        <f>'2_Clean_Data'!A669</f>
        <v>668</v>
      </c>
      <c r="B672" s="10">
        <f>INDEX('2_Clean_Data'!$M$2:$M$1360,MATCH($A672,'2_Clean_Data'!$A$2:$A$1360,0))</f>
        <v>5</v>
      </c>
      <c r="C672" s="9" t="str">
        <f t="shared" si="40"/>
        <v>Average</v>
      </c>
      <c r="D672" s="11">
        <f>INDEX('2_Clean_Data'!$L$2:$L$1360,MATCH($A672,'2_Clean_Data'!$A$2:$A$1360,0))</f>
        <v>9.4</v>
      </c>
      <c r="E672" s="9" t="str">
        <f>IF(D672&lt;'3_Summary_Tables'!$C$16,"Low",IF(D672&lt;'3_Summary_Tables'!$C$17,"Medium","High"))</f>
        <v>Low</v>
      </c>
      <c r="F672" s="12">
        <f>INDEX('2_Clean_Data'!$C$2:$C$1360,MATCH($A672,'2_Clean_Data'!$A$2:$A$1360,0))</f>
        <v>0.56999999999999995</v>
      </c>
      <c r="G672" s="10">
        <f>INDEX('2_Clean_Data'!$H$2:$H$1360,MATCH($A672,'2_Clean_Data'!$A$2:$A$1360,0))</f>
        <v>144</v>
      </c>
      <c r="H672" s="9" t="str">
        <f t="shared" si="41"/>
        <v>High</v>
      </c>
      <c r="I672" s="9" t="str">
        <f t="shared" si="42"/>
        <v>OK</v>
      </c>
      <c r="J672" s="9" t="str">
        <f t="shared" si="43"/>
        <v>Standard</v>
      </c>
    </row>
    <row r="673" spans="1:10" x14ac:dyDescent="0.3">
      <c r="A673" s="10">
        <f>'2_Clean_Data'!A670</f>
        <v>669</v>
      </c>
      <c r="B673" s="10">
        <f>INDEX('2_Clean_Data'!$M$2:$M$1360,MATCH($A673,'2_Clean_Data'!$A$2:$A$1360,0))</f>
        <v>6</v>
      </c>
      <c r="C673" s="9" t="str">
        <f t="shared" si="40"/>
        <v>Above Average</v>
      </c>
      <c r="D673" s="11">
        <f>INDEX('2_Clean_Data'!$L$2:$L$1360,MATCH($A673,'2_Clean_Data'!$A$2:$A$1360,0))</f>
        <v>9.5</v>
      </c>
      <c r="E673" s="9" t="str">
        <f>IF(D673&lt;'3_Summary_Tables'!$C$16,"Low",IF(D673&lt;'3_Summary_Tables'!$C$17,"Medium","High"))</f>
        <v>Low</v>
      </c>
      <c r="F673" s="12">
        <f>INDEX('2_Clean_Data'!$C$2:$C$1360,MATCH($A673,'2_Clean_Data'!$A$2:$A$1360,0))</f>
        <v>0.4</v>
      </c>
      <c r="G673" s="10">
        <f>INDEX('2_Clean_Data'!$H$2:$H$1360,MATCH($A673,'2_Clean_Data'!$A$2:$A$1360,0))</f>
        <v>44</v>
      </c>
      <c r="H673" s="9" t="str">
        <f t="shared" si="41"/>
        <v>Low</v>
      </c>
      <c r="I673" s="9" t="str">
        <f t="shared" si="42"/>
        <v>OK</v>
      </c>
      <c r="J673" s="9" t="str">
        <f t="shared" si="43"/>
        <v>Solid</v>
      </c>
    </row>
    <row r="674" spans="1:10" x14ac:dyDescent="0.3">
      <c r="A674" s="10">
        <f>'2_Clean_Data'!A671</f>
        <v>670</v>
      </c>
      <c r="B674" s="10">
        <f>INDEX('2_Clean_Data'!$M$2:$M$1360,MATCH($A674,'2_Clean_Data'!$A$2:$A$1360,0))</f>
        <v>6</v>
      </c>
      <c r="C674" s="9" t="str">
        <f t="shared" si="40"/>
        <v>Above Average</v>
      </c>
      <c r="D674" s="11">
        <f>INDEX('2_Clean_Data'!$L$2:$L$1360,MATCH($A674,'2_Clean_Data'!$A$2:$A$1360,0))</f>
        <v>9.5</v>
      </c>
      <c r="E674" s="9" t="str">
        <f>IF(D674&lt;'3_Summary_Tables'!$C$16,"Low",IF(D674&lt;'3_Summary_Tables'!$C$17,"Medium","High"))</f>
        <v>Low</v>
      </c>
      <c r="F674" s="12">
        <f>INDEX('2_Clean_Data'!$C$2:$C$1360,MATCH($A674,'2_Clean_Data'!$A$2:$A$1360,0))</f>
        <v>0.4</v>
      </c>
      <c r="G674" s="10">
        <f>INDEX('2_Clean_Data'!$H$2:$H$1360,MATCH($A674,'2_Clean_Data'!$A$2:$A$1360,0))</f>
        <v>45</v>
      </c>
      <c r="H674" s="9" t="str">
        <f t="shared" si="41"/>
        <v>Low</v>
      </c>
      <c r="I674" s="9" t="str">
        <f t="shared" si="42"/>
        <v>OK</v>
      </c>
      <c r="J674" s="9" t="str">
        <f t="shared" si="43"/>
        <v>Solid</v>
      </c>
    </row>
    <row r="675" spans="1:10" x14ac:dyDescent="0.3">
      <c r="A675" s="10">
        <f>'2_Clean_Data'!A672</f>
        <v>671</v>
      </c>
      <c r="B675" s="10">
        <f>INDEX('2_Clean_Data'!$M$2:$M$1360,MATCH($A675,'2_Clean_Data'!$A$2:$A$1360,0))</f>
        <v>5</v>
      </c>
      <c r="C675" s="9" t="str">
        <f t="shared" si="40"/>
        <v>Average</v>
      </c>
      <c r="D675" s="11">
        <f>INDEX('2_Clean_Data'!$L$2:$L$1360,MATCH($A675,'2_Clean_Data'!$A$2:$A$1360,0))</f>
        <v>10</v>
      </c>
      <c r="E675" s="9" t="str">
        <f>IF(D675&lt;'3_Summary_Tables'!$C$16,"Low",IF(D675&lt;'3_Summary_Tables'!$C$17,"Medium","High"))</f>
        <v>Medium</v>
      </c>
      <c r="F675" s="12">
        <f>INDEX('2_Clean_Data'!$C$2:$C$1360,MATCH($A675,'2_Clean_Data'!$A$2:$A$1360,0))</f>
        <v>1</v>
      </c>
      <c r="G675" s="10">
        <f>INDEX('2_Clean_Data'!$H$2:$H$1360,MATCH($A675,'2_Clean_Data'!$A$2:$A$1360,0))</f>
        <v>16</v>
      </c>
      <c r="H675" s="9" t="str">
        <f t="shared" si="41"/>
        <v>Low</v>
      </c>
      <c r="I675" s="9" t="str">
        <f t="shared" si="42"/>
        <v>Above limit</v>
      </c>
      <c r="J675" s="9" t="str">
        <f t="shared" si="43"/>
        <v>Standard</v>
      </c>
    </row>
    <row r="676" spans="1:10" x14ac:dyDescent="0.3">
      <c r="A676" s="10">
        <f>'2_Clean_Data'!A673</f>
        <v>672</v>
      </c>
      <c r="B676" s="10">
        <f>INDEX('2_Clean_Data'!$M$2:$M$1360,MATCH($A676,'2_Clean_Data'!$A$2:$A$1360,0))</f>
        <v>6</v>
      </c>
      <c r="C676" s="9" t="str">
        <f t="shared" si="40"/>
        <v>Above Average</v>
      </c>
      <c r="D676" s="11">
        <f>INDEX('2_Clean_Data'!$L$2:$L$1360,MATCH($A676,'2_Clean_Data'!$A$2:$A$1360,0))</f>
        <v>10.3</v>
      </c>
      <c r="E676" s="9" t="str">
        <f>IF(D676&lt;'3_Summary_Tables'!$C$16,"Low",IF(D676&lt;'3_Summary_Tables'!$C$17,"Medium","High"))</f>
        <v>Medium</v>
      </c>
      <c r="F676" s="12">
        <f>INDEX('2_Clean_Data'!$C$2:$C$1360,MATCH($A676,'2_Clean_Data'!$A$2:$A$1360,0))</f>
        <v>0.76500000000000001</v>
      </c>
      <c r="G676" s="10">
        <f>INDEX('2_Clean_Data'!$H$2:$H$1360,MATCH($A676,'2_Clean_Data'!$A$2:$A$1360,0))</f>
        <v>48</v>
      </c>
      <c r="H676" s="9" t="str">
        <f t="shared" si="41"/>
        <v>Low</v>
      </c>
      <c r="I676" s="9" t="str">
        <f t="shared" si="42"/>
        <v>Above limit</v>
      </c>
      <c r="J676" s="9" t="str">
        <f t="shared" si="43"/>
        <v>Standard</v>
      </c>
    </row>
    <row r="677" spans="1:10" x14ac:dyDescent="0.3">
      <c r="A677" s="10">
        <f>'2_Clean_Data'!A674</f>
        <v>673</v>
      </c>
      <c r="B677" s="10">
        <f>INDEX('2_Clean_Data'!$M$2:$M$1360,MATCH($A677,'2_Clean_Data'!$A$2:$A$1360,0))</f>
        <v>6</v>
      </c>
      <c r="C677" s="9" t="str">
        <f t="shared" si="40"/>
        <v>Above Average</v>
      </c>
      <c r="D677" s="11">
        <f>INDEX('2_Clean_Data'!$L$2:$L$1360,MATCH($A677,'2_Clean_Data'!$A$2:$A$1360,0))</f>
        <v>10.3</v>
      </c>
      <c r="E677" s="9" t="str">
        <f>IF(D677&lt;'3_Summary_Tables'!$C$16,"Low",IF(D677&lt;'3_Summary_Tables'!$C$17,"Medium","High"))</f>
        <v>Medium</v>
      </c>
      <c r="F677" s="12">
        <f>INDEX('2_Clean_Data'!$C$2:$C$1360,MATCH($A677,'2_Clean_Data'!$A$2:$A$1360,0))</f>
        <v>0.63500000000000001</v>
      </c>
      <c r="G677" s="10">
        <f>INDEX('2_Clean_Data'!$H$2:$H$1360,MATCH($A677,'2_Clean_Data'!$A$2:$A$1360,0))</f>
        <v>18</v>
      </c>
      <c r="H677" s="9" t="str">
        <f t="shared" si="41"/>
        <v>Low</v>
      </c>
      <c r="I677" s="9" t="str">
        <f t="shared" si="42"/>
        <v>OK</v>
      </c>
      <c r="J677" s="9" t="str">
        <f t="shared" si="43"/>
        <v>Solid</v>
      </c>
    </row>
    <row r="678" spans="1:10" x14ac:dyDescent="0.3">
      <c r="A678" s="10">
        <f>'2_Clean_Data'!A675</f>
        <v>674</v>
      </c>
      <c r="B678" s="10">
        <f>INDEX('2_Clean_Data'!$M$2:$M$1360,MATCH($A678,'2_Clean_Data'!$A$2:$A$1360,0))</f>
        <v>5</v>
      </c>
      <c r="C678" s="9" t="str">
        <f t="shared" si="40"/>
        <v>Average</v>
      </c>
      <c r="D678" s="11">
        <f>INDEX('2_Clean_Data'!$L$2:$L$1360,MATCH($A678,'2_Clean_Data'!$A$2:$A$1360,0))</f>
        <v>10.5</v>
      </c>
      <c r="E678" s="9" t="str">
        <f>IF(D678&lt;'3_Summary_Tables'!$C$16,"Low",IF(D678&lt;'3_Summary_Tables'!$C$17,"Medium","High"))</f>
        <v>Medium</v>
      </c>
      <c r="F678" s="12">
        <f>INDEX('2_Clean_Data'!$C$2:$C$1360,MATCH($A678,'2_Clean_Data'!$A$2:$A$1360,0))</f>
        <v>0.43</v>
      </c>
      <c r="G678" s="10">
        <f>INDEX('2_Clean_Data'!$H$2:$H$1360,MATCH($A678,'2_Clean_Data'!$A$2:$A$1360,0))</f>
        <v>34</v>
      </c>
      <c r="H678" s="9" t="str">
        <f t="shared" si="41"/>
        <v>Low</v>
      </c>
      <c r="I678" s="9" t="str">
        <f t="shared" si="42"/>
        <v>OK</v>
      </c>
      <c r="J678" s="9" t="str">
        <f t="shared" si="43"/>
        <v>Standard</v>
      </c>
    </row>
    <row r="679" spans="1:10" x14ac:dyDescent="0.3">
      <c r="A679" s="10">
        <f>'2_Clean_Data'!A676</f>
        <v>675</v>
      </c>
      <c r="B679" s="10">
        <f>INDEX('2_Clean_Data'!$M$2:$M$1360,MATCH($A679,'2_Clean_Data'!$A$2:$A$1360,0))</f>
        <v>5</v>
      </c>
      <c r="C679" s="9" t="str">
        <f t="shared" si="40"/>
        <v>Average</v>
      </c>
      <c r="D679" s="11">
        <f>INDEX('2_Clean_Data'!$L$2:$L$1360,MATCH($A679,'2_Clean_Data'!$A$2:$A$1360,0))</f>
        <v>9.8000000000000007</v>
      </c>
      <c r="E679" s="9" t="str">
        <f>IF(D679&lt;'3_Summary_Tables'!$C$16,"Low",IF(D679&lt;'3_Summary_Tables'!$C$17,"Medium","High"))</f>
        <v>Low</v>
      </c>
      <c r="F679" s="12">
        <f>INDEX('2_Clean_Data'!$C$2:$C$1360,MATCH($A679,'2_Clean_Data'!$A$2:$A$1360,0))</f>
        <v>0.52</v>
      </c>
      <c r="G679" s="10">
        <f>INDEX('2_Clean_Data'!$H$2:$H$1360,MATCH($A679,'2_Clean_Data'!$A$2:$A$1360,0))</f>
        <v>92</v>
      </c>
      <c r="H679" s="9" t="str">
        <f t="shared" si="41"/>
        <v>Moderate</v>
      </c>
      <c r="I679" s="9" t="str">
        <f t="shared" si="42"/>
        <v>OK</v>
      </c>
      <c r="J679" s="9" t="str">
        <f t="shared" si="43"/>
        <v>Standard</v>
      </c>
    </row>
    <row r="680" spans="1:10" x14ac:dyDescent="0.3">
      <c r="A680" s="10">
        <f>'2_Clean_Data'!A677</f>
        <v>676</v>
      </c>
      <c r="B680" s="10">
        <f>INDEX('2_Clean_Data'!$M$2:$M$1360,MATCH($A680,'2_Clean_Data'!$A$2:$A$1360,0))</f>
        <v>6</v>
      </c>
      <c r="C680" s="9" t="str">
        <f t="shared" si="40"/>
        <v>Above Average</v>
      </c>
      <c r="D680" s="11">
        <f>INDEX('2_Clean_Data'!$L$2:$L$1360,MATCH($A680,'2_Clean_Data'!$A$2:$A$1360,0))</f>
        <v>9.4</v>
      </c>
      <c r="E680" s="9" t="str">
        <f>IF(D680&lt;'3_Summary_Tables'!$C$16,"Low",IF(D680&lt;'3_Summary_Tables'!$C$17,"Medium","High"))</f>
        <v>Low</v>
      </c>
      <c r="F680" s="12">
        <f>INDEX('2_Clean_Data'!$C$2:$C$1360,MATCH($A680,'2_Clean_Data'!$A$2:$A$1360,0))</f>
        <v>0.56999999999999995</v>
      </c>
      <c r="G680" s="10">
        <f>INDEX('2_Clean_Data'!$H$2:$H$1360,MATCH($A680,'2_Clean_Data'!$A$2:$A$1360,0))</f>
        <v>45</v>
      </c>
      <c r="H680" s="9" t="str">
        <f t="shared" si="41"/>
        <v>Low</v>
      </c>
      <c r="I680" s="9" t="str">
        <f t="shared" si="42"/>
        <v>OK</v>
      </c>
      <c r="J680" s="9" t="str">
        <f t="shared" si="43"/>
        <v>Solid</v>
      </c>
    </row>
    <row r="681" spans="1:10" x14ac:dyDescent="0.3">
      <c r="A681" s="10">
        <f>'2_Clean_Data'!A678</f>
        <v>677</v>
      </c>
      <c r="B681" s="10">
        <f>INDEX('2_Clean_Data'!$M$2:$M$1360,MATCH($A681,'2_Clean_Data'!$A$2:$A$1360,0))</f>
        <v>5</v>
      </c>
      <c r="C681" s="9" t="str">
        <f t="shared" si="40"/>
        <v>Average</v>
      </c>
      <c r="D681" s="11">
        <f>INDEX('2_Clean_Data'!$L$2:$L$1360,MATCH($A681,'2_Clean_Data'!$A$2:$A$1360,0))</f>
        <v>9.8000000000000007</v>
      </c>
      <c r="E681" s="9" t="str">
        <f>IF(D681&lt;'3_Summary_Tables'!$C$16,"Low",IF(D681&lt;'3_Summary_Tables'!$C$17,"Medium","High"))</f>
        <v>Low</v>
      </c>
      <c r="F681" s="12">
        <f>INDEX('2_Clean_Data'!$C$2:$C$1360,MATCH($A681,'2_Clean_Data'!$A$2:$A$1360,0))</f>
        <v>0.46</v>
      </c>
      <c r="G681" s="10">
        <f>INDEX('2_Clean_Data'!$H$2:$H$1360,MATCH($A681,'2_Clean_Data'!$A$2:$A$1360,0))</f>
        <v>37</v>
      </c>
      <c r="H681" s="9" t="str">
        <f t="shared" si="41"/>
        <v>Low</v>
      </c>
      <c r="I681" s="9" t="str">
        <f t="shared" si="42"/>
        <v>OK</v>
      </c>
      <c r="J681" s="9" t="str">
        <f t="shared" si="43"/>
        <v>Standard</v>
      </c>
    </row>
    <row r="682" spans="1:10" x14ac:dyDescent="0.3">
      <c r="A682" s="10">
        <f>'2_Clean_Data'!A679</f>
        <v>678</v>
      </c>
      <c r="B682" s="10">
        <f>INDEX('2_Clean_Data'!$M$2:$M$1360,MATCH($A682,'2_Clean_Data'!$A$2:$A$1360,0))</f>
        <v>5</v>
      </c>
      <c r="C682" s="9" t="str">
        <f t="shared" si="40"/>
        <v>Average</v>
      </c>
      <c r="D682" s="11">
        <f>INDEX('2_Clean_Data'!$L$2:$L$1360,MATCH($A682,'2_Clean_Data'!$A$2:$A$1360,0))</f>
        <v>10</v>
      </c>
      <c r="E682" s="9" t="str">
        <f>IF(D682&lt;'3_Summary_Tables'!$C$16,"Low",IF(D682&lt;'3_Summary_Tables'!$C$17,"Medium","High"))</f>
        <v>Medium</v>
      </c>
      <c r="F682" s="12">
        <f>INDEX('2_Clean_Data'!$C$2:$C$1360,MATCH($A682,'2_Clean_Data'!$A$2:$A$1360,0))</f>
        <v>0.82</v>
      </c>
      <c r="G682" s="10">
        <f>INDEX('2_Clean_Data'!$H$2:$H$1360,MATCH($A682,'2_Clean_Data'!$A$2:$A$1360,0))</f>
        <v>96</v>
      </c>
      <c r="H682" s="9" t="str">
        <f t="shared" si="41"/>
        <v>Moderate</v>
      </c>
      <c r="I682" s="9" t="str">
        <f t="shared" si="42"/>
        <v>Above limit</v>
      </c>
      <c r="J682" s="9" t="str">
        <f t="shared" si="43"/>
        <v>Standard</v>
      </c>
    </row>
    <row r="683" spans="1:10" x14ac:dyDescent="0.3">
      <c r="A683" s="10">
        <f>'2_Clean_Data'!A680</f>
        <v>679</v>
      </c>
      <c r="B683" s="10">
        <f>INDEX('2_Clean_Data'!$M$2:$M$1360,MATCH($A683,'2_Clean_Data'!$A$2:$A$1360,0))</f>
        <v>5</v>
      </c>
      <c r="C683" s="9" t="str">
        <f t="shared" si="40"/>
        <v>Average</v>
      </c>
      <c r="D683" s="11">
        <f>INDEX('2_Clean_Data'!$L$2:$L$1360,MATCH($A683,'2_Clean_Data'!$A$2:$A$1360,0))</f>
        <v>9.8000000000000007</v>
      </c>
      <c r="E683" s="9" t="str">
        <f>IF(D683&lt;'3_Summary_Tables'!$C$16,"Low",IF(D683&lt;'3_Summary_Tables'!$C$17,"Medium","High"))</f>
        <v>Low</v>
      </c>
      <c r="F683" s="12">
        <f>INDEX('2_Clean_Data'!$C$2:$C$1360,MATCH($A683,'2_Clean_Data'!$A$2:$A$1360,0))</f>
        <v>0.59</v>
      </c>
      <c r="G683" s="10">
        <f>INDEX('2_Clean_Data'!$H$2:$H$1360,MATCH($A683,'2_Clean_Data'!$A$2:$A$1360,0))</f>
        <v>85</v>
      </c>
      <c r="H683" s="9" t="str">
        <f t="shared" si="41"/>
        <v>Moderate</v>
      </c>
      <c r="I683" s="9" t="str">
        <f t="shared" si="42"/>
        <v>OK</v>
      </c>
      <c r="J683" s="9" t="str">
        <f t="shared" si="43"/>
        <v>Standard</v>
      </c>
    </row>
    <row r="684" spans="1:10" x14ac:dyDescent="0.3">
      <c r="A684" s="10">
        <f>'2_Clean_Data'!A681</f>
        <v>680</v>
      </c>
      <c r="B684" s="10">
        <f>INDEX('2_Clean_Data'!$M$2:$M$1360,MATCH($A684,'2_Clean_Data'!$A$2:$A$1360,0))</f>
        <v>5</v>
      </c>
      <c r="C684" s="9" t="str">
        <f t="shared" si="40"/>
        <v>Average</v>
      </c>
      <c r="D684" s="11">
        <f>INDEX('2_Clean_Data'!$L$2:$L$1360,MATCH($A684,'2_Clean_Data'!$A$2:$A$1360,0))</f>
        <v>9.5</v>
      </c>
      <c r="E684" s="9" t="str">
        <f>IF(D684&lt;'3_Summary_Tables'!$C$16,"Low",IF(D684&lt;'3_Summary_Tables'!$C$17,"Medium","High"))</f>
        <v>Low</v>
      </c>
      <c r="F684" s="12">
        <f>INDEX('2_Clean_Data'!$C$2:$C$1360,MATCH($A684,'2_Clean_Data'!$A$2:$A$1360,0))</f>
        <v>0.35</v>
      </c>
      <c r="G684" s="10">
        <f>INDEX('2_Clean_Data'!$H$2:$H$1360,MATCH($A684,'2_Clean_Data'!$A$2:$A$1360,0))</f>
        <v>61</v>
      </c>
      <c r="H684" s="9" t="str">
        <f t="shared" si="41"/>
        <v>Moderate</v>
      </c>
      <c r="I684" s="9" t="str">
        <f t="shared" si="42"/>
        <v>OK</v>
      </c>
      <c r="J684" s="9" t="str">
        <f t="shared" si="43"/>
        <v>Standard</v>
      </c>
    </row>
    <row r="685" spans="1:10" x14ac:dyDescent="0.3">
      <c r="A685" s="10">
        <f>'2_Clean_Data'!A682</f>
        <v>681</v>
      </c>
      <c r="B685" s="10">
        <f>INDEX('2_Clean_Data'!$M$2:$M$1360,MATCH($A685,'2_Clean_Data'!$A$2:$A$1360,0))</f>
        <v>6</v>
      </c>
      <c r="C685" s="9" t="str">
        <f t="shared" si="40"/>
        <v>Above Average</v>
      </c>
      <c r="D685" s="11">
        <f>INDEX('2_Clean_Data'!$L$2:$L$1360,MATCH($A685,'2_Clean_Data'!$A$2:$A$1360,0))</f>
        <v>10.1</v>
      </c>
      <c r="E685" s="9" t="str">
        <f>IF(D685&lt;'3_Summary_Tables'!$C$16,"Low",IF(D685&lt;'3_Summary_Tables'!$C$17,"Medium","High"))</f>
        <v>Medium</v>
      </c>
      <c r="F685" s="12">
        <f>INDEX('2_Clean_Data'!$C$2:$C$1360,MATCH($A685,'2_Clean_Data'!$A$2:$A$1360,0))</f>
        <v>0.56000000000000005</v>
      </c>
      <c r="G685" s="10">
        <f>INDEX('2_Clean_Data'!$H$2:$H$1360,MATCH($A685,'2_Clean_Data'!$A$2:$A$1360,0))</f>
        <v>58</v>
      </c>
      <c r="H685" s="9" t="str">
        <f t="shared" si="41"/>
        <v>Moderate</v>
      </c>
      <c r="I685" s="9" t="str">
        <f t="shared" si="42"/>
        <v>OK</v>
      </c>
      <c r="J685" s="9" t="str">
        <f t="shared" si="43"/>
        <v>Solid</v>
      </c>
    </row>
    <row r="686" spans="1:10" x14ac:dyDescent="0.3">
      <c r="A686" s="10">
        <f>'2_Clean_Data'!A683</f>
        <v>682</v>
      </c>
      <c r="B686" s="10">
        <f>INDEX('2_Clean_Data'!$M$2:$M$1360,MATCH($A686,'2_Clean_Data'!$A$2:$A$1360,0))</f>
        <v>5</v>
      </c>
      <c r="C686" s="9" t="str">
        <f t="shared" si="40"/>
        <v>Average</v>
      </c>
      <c r="D686" s="11">
        <f>INDEX('2_Clean_Data'!$L$2:$L$1360,MATCH($A686,'2_Clean_Data'!$A$2:$A$1360,0))</f>
        <v>9.3000000000000007</v>
      </c>
      <c r="E686" s="9" t="str">
        <f>IF(D686&lt;'3_Summary_Tables'!$C$16,"Low",IF(D686&lt;'3_Summary_Tables'!$C$17,"Medium","High"))</f>
        <v>Low</v>
      </c>
      <c r="F686" s="12">
        <f>INDEX('2_Clean_Data'!$C$2:$C$1360,MATCH($A686,'2_Clean_Data'!$A$2:$A$1360,0))</f>
        <v>0.63</v>
      </c>
      <c r="G686" s="10">
        <f>INDEX('2_Clean_Data'!$H$2:$H$1360,MATCH($A686,'2_Clean_Data'!$A$2:$A$1360,0))</f>
        <v>119</v>
      </c>
      <c r="H686" s="9" t="str">
        <f t="shared" si="41"/>
        <v>High</v>
      </c>
      <c r="I686" s="9" t="str">
        <f t="shared" si="42"/>
        <v>OK</v>
      </c>
      <c r="J686" s="9" t="str">
        <f t="shared" si="43"/>
        <v>Standard</v>
      </c>
    </row>
    <row r="687" spans="1:10" x14ac:dyDescent="0.3">
      <c r="A687" s="10">
        <f>'2_Clean_Data'!A684</f>
        <v>683</v>
      </c>
      <c r="B687" s="10">
        <f>INDEX('2_Clean_Data'!$M$2:$M$1360,MATCH($A687,'2_Clean_Data'!$A$2:$A$1360,0))</f>
        <v>6</v>
      </c>
      <c r="C687" s="9" t="str">
        <f t="shared" si="40"/>
        <v>Above Average</v>
      </c>
      <c r="D687" s="11">
        <f>INDEX('2_Clean_Data'!$L$2:$L$1360,MATCH($A687,'2_Clean_Data'!$A$2:$A$1360,0))</f>
        <v>9.6999999999999993</v>
      </c>
      <c r="E687" s="9" t="str">
        <f>IF(D687&lt;'3_Summary_Tables'!$C$16,"Low",IF(D687&lt;'3_Summary_Tables'!$C$17,"Medium","High"))</f>
        <v>Low</v>
      </c>
      <c r="F687" s="12">
        <f>INDEX('2_Clean_Data'!$C$2:$C$1360,MATCH($A687,'2_Clean_Data'!$A$2:$A$1360,0))</f>
        <v>0.37</v>
      </c>
      <c r="G687" s="10">
        <f>INDEX('2_Clean_Data'!$H$2:$H$1360,MATCH($A687,'2_Clean_Data'!$A$2:$A$1360,0))</f>
        <v>82</v>
      </c>
      <c r="H687" s="9" t="str">
        <f t="shared" si="41"/>
        <v>Moderate</v>
      </c>
      <c r="I687" s="9" t="str">
        <f t="shared" si="42"/>
        <v>OK</v>
      </c>
      <c r="J687" s="9" t="str">
        <f t="shared" si="43"/>
        <v>Solid</v>
      </c>
    </row>
    <row r="688" spans="1:10" x14ac:dyDescent="0.3">
      <c r="A688" s="10">
        <f>'2_Clean_Data'!A685</f>
        <v>684</v>
      </c>
      <c r="B688" s="10">
        <f>INDEX('2_Clean_Data'!$M$2:$M$1360,MATCH($A688,'2_Clean_Data'!$A$2:$A$1360,0))</f>
        <v>5</v>
      </c>
      <c r="C688" s="9" t="str">
        <f t="shared" si="40"/>
        <v>Average</v>
      </c>
      <c r="D688" s="11">
        <f>INDEX('2_Clean_Data'!$L$2:$L$1360,MATCH($A688,'2_Clean_Data'!$A$2:$A$1360,0))</f>
        <v>9.6</v>
      </c>
      <c r="E688" s="9" t="str">
        <f>IF(D688&lt;'3_Summary_Tables'!$C$16,"Low",IF(D688&lt;'3_Summary_Tables'!$C$17,"Medium","High"))</f>
        <v>Low</v>
      </c>
      <c r="F688" s="12">
        <f>INDEX('2_Clean_Data'!$C$2:$C$1360,MATCH($A688,'2_Clean_Data'!$A$2:$A$1360,0))</f>
        <v>0.64</v>
      </c>
      <c r="G688" s="10">
        <f>INDEX('2_Clean_Data'!$H$2:$H$1360,MATCH($A688,'2_Clean_Data'!$A$2:$A$1360,0))</f>
        <v>130</v>
      </c>
      <c r="H688" s="9" t="str">
        <f t="shared" si="41"/>
        <v>High</v>
      </c>
      <c r="I688" s="9" t="str">
        <f t="shared" si="42"/>
        <v>OK</v>
      </c>
      <c r="J688" s="9" t="str">
        <f t="shared" si="43"/>
        <v>Standard</v>
      </c>
    </row>
    <row r="689" spans="1:10" x14ac:dyDescent="0.3">
      <c r="A689" s="10">
        <f>'2_Clean_Data'!A686</f>
        <v>685</v>
      </c>
      <c r="B689" s="10">
        <f>INDEX('2_Clean_Data'!$M$2:$M$1360,MATCH($A689,'2_Clean_Data'!$A$2:$A$1360,0))</f>
        <v>6</v>
      </c>
      <c r="C689" s="9" t="str">
        <f t="shared" si="40"/>
        <v>Above Average</v>
      </c>
      <c r="D689" s="11">
        <f>INDEX('2_Clean_Data'!$L$2:$L$1360,MATCH($A689,'2_Clean_Data'!$A$2:$A$1360,0))</f>
        <v>9.6999999999999993</v>
      </c>
      <c r="E689" s="9" t="str">
        <f>IF(D689&lt;'3_Summary_Tables'!$C$16,"Low",IF(D689&lt;'3_Summary_Tables'!$C$17,"Medium","High"))</f>
        <v>Low</v>
      </c>
      <c r="F689" s="12">
        <f>INDEX('2_Clean_Data'!$C$2:$C$1360,MATCH($A689,'2_Clean_Data'!$A$2:$A$1360,0))</f>
        <v>0.61</v>
      </c>
      <c r="G689" s="10">
        <f>INDEX('2_Clean_Data'!$H$2:$H$1360,MATCH($A689,'2_Clean_Data'!$A$2:$A$1360,0))</f>
        <v>87</v>
      </c>
      <c r="H689" s="9" t="str">
        <f t="shared" si="41"/>
        <v>Moderate</v>
      </c>
      <c r="I689" s="9" t="str">
        <f t="shared" si="42"/>
        <v>OK</v>
      </c>
      <c r="J689" s="9" t="str">
        <f t="shared" si="43"/>
        <v>Solid</v>
      </c>
    </row>
    <row r="690" spans="1:10" x14ac:dyDescent="0.3">
      <c r="A690" s="10">
        <f>'2_Clean_Data'!A687</f>
        <v>686</v>
      </c>
      <c r="B690" s="10">
        <f>INDEX('2_Clean_Data'!$M$2:$M$1360,MATCH($A690,'2_Clean_Data'!$A$2:$A$1360,0))</f>
        <v>5</v>
      </c>
      <c r="C690" s="9" t="str">
        <f t="shared" si="40"/>
        <v>Average</v>
      </c>
      <c r="D690" s="11">
        <f>INDEX('2_Clean_Data'!$L$2:$L$1360,MATCH($A690,'2_Clean_Data'!$A$2:$A$1360,0))</f>
        <v>10.8</v>
      </c>
      <c r="E690" s="9" t="str">
        <f>IF(D690&lt;'3_Summary_Tables'!$C$16,"Low",IF(D690&lt;'3_Summary_Tables'!$C$17,"Medium","High"))</f>
        <v>Medium</v>
      </c>
      <c r="F690" s="12">
        <f>INDEX('2_Clean_Data'!$C$2:$C$1360,MATCH($A690,'2_Clean_Data'!$A$2:$A$1360,0))</f>
        <v>0.6</v>
      </c>
      <c r="G690" s="10">
        <f>INDEX('2_Clean_Data'!$H$2:$H$1360,MATCH($A690,'2_Clean_Data'!$A$2:$A$1360,0))</f>
        <v>13</v>
      </c>
      <c r="H690" s="9" t="str">
        <f t="shared" si="41"/>
        <v>Low</v>
      </c>
      <c r="I690" s="9" t="str">
        <f t="shared" si="42"/>
        <v>OK</v>
      </c>
      <c r="J690" s="9" t="str">
        <f t="shared" si="43"/>
        <v>Standard</v>
      </c>
    </row>
    <row r="691" spans="1:10" x14ac:dyDescent="0.3">
      <c r="A691" s="10">
        <f>'2_Clean_Data'!A688</f>
        <v>687</v>
      </c>
      <c r="B691" s="10">
        <f>INDEX('2_Clean_Data'!$M$2:$M$1360,MATCH($A691,'2_Clean_Data'!$A$2:$A$1360,0))</f>
        <v>6</v>
      </c>
      <c r="C691" s="9" t="str">
        <f t="shared" si="40"/>
        <v>Above Average</v>
      </c>
      <c r="D691" s="11">
        <f>INDEX('2_Clean_Data'!$L$2:$L$1360,MATCH($A691,'2_Clean_Data'!$A$2:$A$1360,0))</f>
        <v>12.5</v>
      </c>
      <c r="E691" s="9" t="str">
        <f>IF(D691&lt;'3_Summary_Tables'!$C$16,"Low",IF(D691&lt;'3_Summary_Tables'!$C$17,"Medium","High"))</f>
        <v>High</v>
      </c>
      <c r="F691" s="12">
        <f>INDEX('2_Clean_Data'!$C$2:$C$1360,MATCH($A691,'2_Clean_Data'!$A$2:$A$1360,0))</f>
        <v>0.27</v>
      </c>
      <c r="G691" s="10">
        <f>INDEX('2_Clean_Data'!$H$2:$H$1360,MATCH($A691,'2_Clean_Data'!$A$2:$A$1360,0))</f>
        <v>26</v>
      </c>
      <c r="H691" s="9" t="str">
        <f t="shared" si="41"/>
        <v>Low</v>
      </c>
      <c r="I691" s="9" t="str">
        <f t="shared" si="42"/>
        <v>OK</v>
      </c>
      <c r="J691" s="9" t="str">
        <f t="shared" si="43"/>
        <v>Solid</v>
      </c>
    </row>
    <row r="692" spans="1:10" x14ac:dyDescent="0.3">
      <c r="A692" s="10">
        <f>'2_Clean_Data'!A689</f>
        <v>688</v>
      </c>
      <c r="B692" s="10">
        <f>INDEX('2_Clean_Data'!$M$2:$M$1360,MATCH($A692,'2_Clean_Data'!$A$2:$A$1360,0))</f>
        <v>5</v>
      </c>
      <c r="C692" s="9" t="str">
        <f t="shared" si="40"/>
        <v>Average</v>
      </c>
      <c r="D692" s="11">
        <f>INDEX('2_Clean_Data'!$L$2:$L$1360,MATCH($A692,'2_Clean_Data'!$A$2:$A$1360,0))</f>
        <v>10.199999999999999</v>
      </c>
      <c r="E692" s="9" t="str">
        <f>IF(D692&lt;'3_Summary_Tables'!$C$16,"Low",IF(D692&lt;'3_Summary_Tables'!$C$17,"Medium","High"))</f>
        <v>Medium</v>
      </c>
      <c r="F692" s="12">
        <f>INDEX('2_Clean_Data'!$C$2:$C$1360,MATCH($A692,'2_Clean_Data'!$A$2:$A$1360,0))</f>
        <v>0.89</v>
      </c>
      <c r="G692" s="10">
        <f>INDEX('2_Clean_Data'!$H$2:$H$1360,MATCH($A692,'2_Clean_Data'!$A$2:$A$1360,0))</f>
        <v>60</v>
      </c>
      <c r="H692" s="9" t="str">
        <f t="shared" si="41"/>
        <v>Moderate</v>
      </c>
      <c r="I692" s="9" t="str">
        <f t="shared" si="42"/>
        <v>Above limit</v>
      </c>
      <c r="J692" s="9" t="str">
        <f t="shared" si="43"/>
        <v>Standard</v>
      </c>
    </row>
    <row r="693" spans="1:10" x14ac:dyDescent="0.3">
      <c r="A693" s="10">
        <f>'2_Clean_Data'!A690</f>
        <v>689</v>
      </c>
      <c r="B693" s="10">
        <f>INDEX('2_Clean_Data'!$M$2:$M$1360,MATCH($A693,'2_Clean_Data'!$A$2:$A$1360,0))</f>
        <v>5</v>
      </c>
      <c r="C693" s="9" t="str">
        <f t="shared" si="40"/>
        <v>Average</v>
      </c>
      <c r="D693" s="11">
        <f>INDEX('2_Clean_Data'!$L$2:$L$1360,MATCH($A693,'2_Clean_Data'!$A$2:$A$1360,0))</f>
        <v>9.6</v>
      </c>
      <c r="E693" s="9" t="str">
        <f>IF(D693&lt;'3_Summary_Tables'!$C$16,"Low",IF(D693&lt;'3_Summary_Tables'!$C$17,"Medium","High"))</f>
        <v>Low</v>
      </c>
      <c r="F693" s="12">
        <f>INDEX('2_Clean_Data'!$C$2:$C$1360,MATCH($A693,'2_Clean_Data'!$A$2:$A$1360,0))</f>
        <v>0.46</v>
      </c>
      <c r="G693" s="10">
        <f>INDEX('2_Clean_Data'!$H$2:$H$1360,MATCH($A693,'2_Clean_Data'!$A$2:$A$1360,0))</f>
        <v>64</v>
      </c>
      <c r="H693" s="9" t="str">
        <f t="shared" si="41"/>
        <v>Moderate</v>
      </c>
      <c r="I693" s="9" t="str">
        <f t="shared" si="42"/>
        <v>OK</v>
      </c>
      <c r="J693" s="9" t="str">
        <f t="shared" si="43"/>
        <v>Standard</v>
      </c>
    </row>
    <row r="694" spans="1:10" x14ac:dyDescent="0.3">
      <c r="A694" s="10">
        <f>'2_Clean_Data'!A691</f>
        <v>690</v>
      </c>
      <c r="B694" s="10">
        <f>INDEX('2_Clean_Data'!$M$2:$M$1360,MATCH($A694,'2_Clean_Data'!$A$2:$A$1360,0))</f>
        <v>7</v>
      </c>
      <c r="C694" s="9" t="str">
        <f t="shared" si="40"/>
        <v>Good</v>
      </c>
      <c r="D694" s="11">
        <f>INDEX('2_Clean_Data'!$L$2:$L$1360,MATCH($A694,'2_Clean_Data'!$A$2:$A$1360,0))</f>
        <v>10.8</v>
      </c>
      <c r="E694" s="9" t="str">
        <f>IF(D694&lt;'3_Summary_Tables'!$C$16,"Low",IF(D694&lt;'3_Summary_Tables'!$C$17,"Medium","High"))</f>
        <v>Medium</v>
      </c>
      <c r="F694" s="12">
        <f>INDEX('2_Clean_Data'!$C$2:$C$1360,MATCH($A694,'2_Clean_Data'!$A$2:$A$1360,0))</f>
        <v>0.37</v>
      </c>
      <c r="G694" s="10">
        <f>INDEX('2_Clean_Data'!$H$2:$H$1360,MATCH($A694,'2_Clean_Data'!$A$2:$A$1360,0))</f>
        <v>42</v>
      </c>
      <c r="H694" s="9" t="str">
        <f t="shared" si="41"/>
        <v>Low</v>
      </c>
      <c r="I694" s="9" t="str">
        <f t="shared" si="42"/>
        <v>OK</v>
      </c>
      <c r="J694" s="9" t="str">
        <f t="shared" si="43"/>
        <v>Solid</v>
      </c>
    </row>
    <row r="695" spans="1:10" x14ac:dyDescent="0.3">
      <c r="A695" s="10">
        <f>'2_Clean_Data'!A692</f>
        <v>691</v>
      </c>
      <c r="B695" s="10">
        <f>INDEX('2_Clean_Data'!$M$2:$M$1360,MATCH($A695,'2_Clean_Data'!$A$2:$A$1360,0))</f>
        <v>6</v>
      </c>
      <c r="C695" s="9" t="str">
        <f t="shared" si="40"/>
        <v>Above Average</v>
      </c>
      <c r="D695" s="11">
        <f>INDEX('2_Clean_Data'!$L$2:$L$1360,MATCH($A695,'2_Clean_Data'!$A$2:$A$1360,0))</f>
        <v>10.7</v>
      </c>
      <c r="E695" s="9" t="str">
        <f>IF(D695&lt;'3_Summary_Tables'!$C$16,"Low",IF(D695&lt;'3_Summary_Tables'!$C$17,"Medium","High"))</f>
        <v>Medium</v>
      </c>
      <c r="F695" s="12">
        <f>INDEX('2_Clean_Data'!$C$2:$C$1360,MATCH($A695,'2_Clean_Data'!$A$2:$A$1360,0))</f>
        <v>0.5</v>
      </c>
      <c r="G695" s="10">
        <f>INDEX('2_Clean_Data'!$H$2:$H$1360,MATCH($A695,'2_Clean_Data'!$A$2:$A$1360,0))</f>
        <v>14</v>
      </c>
      <c r="H695" s="9" t="str">
        <f t="shared" si="41"/>
        <v>Low</v>
      </c>
      <c r="I695" s="9" t="str">
        <f t="shared" si="42"/>
        <v>OK</v>
      </c>
      <c r="J695" s="9" t="str">
        <f t="shared" si="43"/>
        <v>Solid</v>
      </c>
    </row>
    <row r="696" spans="1:10" x14ac:dyDescent="0.3">
      <c r="A696" s="10">
        <f>'2_Clean_Data'!A693</f>
        <v>692</v>
      </c>
      <c r="B696" s="10">
        <f>INDEX('2_Clean_Data'!$M$2:$M$1360,MATCH($A696,'2_Clean_Data'!$A$2:$A$1360,0))</f>
        <v>5</v>
      </c>
      <c r="C696" s="9" t="str">
        <f t="shared" si="40"/>
        <v>Average</v>
      </c>
      <c r="D696" s="11">
        <f>INDEX('2_Clean_Data'!$L$2:$L$1360,MATCH($A696,'2_Clean_Data'!$A$2:$A$1360,0))</f>
        <v>9.4</v>
      </c>
      <c r="E696" s="9" t="str">
        <f>IF(D696&lt;'3_Summary_Tables'!$C$16,"Low",IF(D696&lt;'3_Summary_Tables'!$C$17,"Medium","High"))</f>
        <v>Low</v>
      </c>
      <c r="F696" s="12">
        <f>INDEX('2_Clean_Data'!$C$2:$C$1360,MATCH($A696,'2_Clean_Data'!$A$2:$A$1360,0))</f>
        <v>0.61</v>
      </c>
      <c r="G696" s="10">
        <f>INDEX('2_Clean_Data'!$H$2:$H$1360,MATCH($A696,'2_Clean_Data'!$A$2:$A$1360,0))</f>
        <v>108</v>
      </c>
      <c r="H696" s="9" t="str">
        <f t="shared" si="41"/>
        <v>High</v>
      </c>
      <c r="I696" s="9" t="str">
        <f t="shared" si="42"/>
        <v>OK</v>
      </c>
      <c r="J696" s="9" t="str">
        <f t="shared" si="43"/>
        <v>Standard</v>
      </c>
    </row>
    <row r="697" spans="1:10" x14ac:dyDescent="0.3">
      <c r="A697" s="10">
        <f>'2_Clean_Data'!A694</f>
        <v>693</v>
      </c>
      <c r="B697" s="10">
        <f>INDEX('2_Clean_Data'!$M$2:$M$1360,MATCH($A697,'2_Clean_Data'!$A$2:$A$1360,0))</f>
        <v>5</v>
      </c>
      <c r="C697" s="9" t="str">
        <f t="shared" si="40"/>
        <v>Average</v>
      </c>
      <c r="D697" s="11">
        <f>INDEX('2_Clean_Data'!$L$2:$L$1360,MATCH($A697,'2_Clean_Data'!$A$2:$A$1360,0))</f>
        <v>10</v>
      </c>
      <c r="E697" s="9" t="str">
        <f>IF(D697&lt;'3_Summary_Tables'!$C$16,"Low",IF(D697&lt;'3_Summary_Tables'!$C$17,"Medium","High"))</f>
        <v>Medium</v>
      </c>
      <c r="F697" s="12">
        <f>INDEX('2_Clean_Data'!$C$2:$C$1360,MATCH($A697,'2_Clean_Data'!$A$2:$A$1360,0))</f>
        <v>0.55000000000000004</v>
      </c>
      <c r="G697" s="10">
        <f>INDEX('2_Clean_Data'!$H$2:$H$1360,MATCH($A697,'2_Clean_Data'!$A$2:$A$1360,0))</f>
        <v>17</v>
      </c>
      <c r="H697" s="9" t="str">
        <f t="shared" si="41"/>
        <v>Low</v>
      </c>
      <c r="I697" s="9" t="str">
        <f t="shared" si="42"/>
        <v>OK</v>
      </c>
      <c r="J697" s="9" t="str">
        <f t="shared" si="43"/>
        <v>Standard</v>
      </c>
    </row>
    <row r="698" spans="1:10" x14ac:dyDescent="0.3">
      <c r="A698" s="10">
        <f>'2_Clean_Data'!A695</f>
        <v>694</v>
      </c>
      <c r="B698" s="10">
        <f>INDEX('2_Clean_Data'!$M$2:$M$1360,MATCH($A698,'2_Clean_Data'!$A$2:$A$1360,0))</f>
        <v>7</v>
      </c>
      <c r="C698" s="9" t="str">
        <f t="shared" si="40"/>
        <v>Good</v>
      </c>
      <c r="D698" s="11">
        <f>INDEX('2_Clean_Data'!$L$2:$L$1360,MATCH($A698,'2_Clean_Data'!$A$2:$A$1360,0))</f>
        <v>12.9</v>
      </c>
      <c r="E698" s="9" t="str">
        <f>IF(D698&lt;'3_Summary_Tables'!$C$16,"Low",IF(D698&lt;'3_Summary_Tables'!$C$17,"Medium","High"))</f>
        <v>High</v>
      </c>
      <c r="F698" s="12">
        <f>INDEX('2_Clean_Data'!$C$2:$C$1360,MATCH($A698,'2_Clean_Data'!$A$2:$A$1360,0))</f>
        <v>0.58499999999999996</v>
      </c>
      <c r="G698" s="10">
        <f>INDEX('2_Clean_Data'!$H$2:$H$1360,MATCH($A698,'2_Clean_Data'!$A$2:$A$1360,0))</f>
        <v>86</v>
      </c>
      <c r="H698" s="9" t="str">
        <f t="shared" si="41"/>
        <v>Moderate</v>
      </c>
      <c r="I698" s="9" t="str">
        <f t="shared" si="42"/>
        <v>OK</v>
      </c>
      <c r="J698" s="9" t="str">
        <f t="shared" si="43"/>
        <v>Premium</v>
      </c>
    </row>
    <row r="699" spans="1:10" x14ac:dyDescent="0.3">
      <c r="A699" s="10">
        <f>'2_Clean_Data'!A696</f>
        <v>695</v>
      </c>
      <c r="B699" s="10">
        <f>INDEX('2_Clean_Data'!$M$2:$M$1360,MATCH($A699,'2_Clean_Data'!$A$2:$A$1360,0))</f>
        <v>6</v>
      </c>
      <c r="C699" s="9" t="str">
        <f t="shared" si="40"/>
        <v>Above Average</v>
      </c>
      <c r="D699" s="11">
        <f>INDEX('2_Clean_Data'!$L$2:$L$1360,MATCH($A699,'2_Clean_Data'!$A$2:$A$1360,0))</f>
        <v>9.6</v>
      </c>
      <c r="E699" s="9" t="str">
        <f>IF(D699&lt;'3_Summary_Tables'!$C$16,"Low",IF(D699&lt;'3_Summary_Tables'!$C$17,"Medium","High"))</f>
        <v>Low</v>
      </c>
      <c r="F699" s="12">
        <f>INDEX('2_Clean_Data'!$C$2:$C$1360,MATCH($A699,'2_Clean_Data'!$A$2:$A$1360,0))</f>
        <v>0.56000000000000005</v>
      </c>
      <c r="G699" s="10">
        <f>INDEX('2_Clean_Data'!$H$2:$H$1360,MATCH($A699,'2_Clean_Data'!$A$2:$A$1360,0))</f>
        <v>46</v>
      </c>
      <c r="H699" s="9" t="str">
        <f t="shared" si="41"/>
        <v>Low</v>
      </c>
      <c r="I699" s="9" t="str">
        <f t="shared" si="42"/>
        <v>OK</v>
      </c>
      <c r="J699" s="9" t="str">
        <f t="shared" si="43"/>
        <v>Solid</v>
      </c>
    </row>
    <row r="700" spans="1:10" x14ac:dyDescent="0.3">
      <c r="A700" s="10">
        <f>'2_Clean_Data'!A697</f>
        <v>696</v>
      </c>
      <c r="B700" s="10">
        <f>INDEX('2_Clean_Data'!$M$2:$M$1360,MATCH($A700,'2_Clean_Data'!$A$2:$A$1360,0))</f>
        <v>6</v>
      </c>
      <c r="C700" s="9" t="str">
        <f t="shared" si="40"/>
        <v>Above Average</v>
      </c>
      <c r="D700" s="11">
        <f>INDEX('2_Clean_Data'!$L$2:$L$1360,MATCH($A700,'2_Clean_Data'!$A$2:$A$1360,0))</f>
        <v>9.9</v>
      </c>
      <c r="E700" s="9" t="str">
        <f>IF(D700&lt;'3_Summary_Tables'!$C$16,"Low",IF(D700&lt;'3_Summary_Tables'!$C$17,"Medium","High"))</f>
        <v>Low</v>
      </c>
      <c r="F700" s="12">
        <f>INDEX('2_Clean_Data'!$C$2:$C$1360,MATCH($A700,'2_Clean_Data'!$A$2:$A$1360,0))</f>
        <v>0.52</v>
      </c>
      <c r="G700" s="10">
        <f>INDEX('2_Clean_Data'!$H$2:$H$1360,MATCH($A700,'2_Clean_Data'!$A$2:$A$1360,0))</f>
        <v>18</v>
      </c>
      <c r="H700" s="9" t="str">
        <f t="shared" si="41"/>
        <v>Low</v>
      </c>
      <c r="I700" s="9" t="str">
        <f t="shared" si="42"/>
        <v>OK</v>
      </c>
      <c r="J700" s="9" t="str">
        <f t="shared" si="43"/>
        <v>Solid</v>
      </c>
    </row>
    <row r="701" spans="1:10" x14ac:dyDescent="0.3">
      <c r="A701" s="10">
        <f>'2_Clean_Data'!A698</f>
        <v>697</v>
      </c>
      <c r="B701" s="10">
        <f>INDEX('2_Clean_Data'!$M$2:$M$1360,MATCH($A701,'2_Clean_Data'!$A$2:$A$1360,0))</f>
        <v>7</v>
      </c>
      <c r="C701" s="9" t="str">
        <f t="shared" si="40"/>
        <v>Good</v>
      </c>
      <c r="D701" s="11">
        <f>INDEX('2_Clean_Data'!$L$2:$L$1360,MATCH($A701,'2_Clean_Data'!$A$2:$A$1360,0))</f>
        <v>12.8</v>
      </c>
      <c r="E701" s="9" t="str">
        <f>IF(D701&lt;'3_Summary_Tables'!$C$16,"Low",IF(D701&lt;'3_Summary_Tables'!$C$17,"Medium","High"))</f>
        <v>High</v>
      </c>
      <c r="F701" s="12">
        <f>INDEX('2_Clean_Data'!$C$2:$C$1360,MATCH($A701,'2_Clean_Data'!$A$2:$A$1360,0))</f>
        <v>0.28000000000000003</v>
      </c>
      <c r="G701" s="10">
        <f>INDEX('2_Clean_Data'!$H$2:$H$1360,MATCH($A701,'2_Clean_Data'!$A$2:$A$1360,0))</f>
        <v>10</v>
      </c>
      <c r="H701" s="9" t="str">
        <f t="shared" si="41"/>
        <v>Low</v>
      </c>
      <c r="I701" s="9" t="str">
        <f t="shared" si="42"/>
        <v>OK</v>
      </c>
      <c r="J701" s="9" t="str">
        <f t="shared" si="43"/>
        <v>Premium</v>
      </c>
    </row>
    <row r="702" spans="1:10" x14ac:dyDescent="0.3">
      <c r="A702" s="10">
        <f>'2_Clean_Data'!A699</f>
        <v>698</v>
      </c>
      <c r="B702" s="10">
        <f>INDEX('2_Clean_Data'!$M$2:$M$1360,MATCH($A702,'2_Clean_Data'!$A$2:$A$1360,0))</f>
        <v>7</v>
      </c>
      <c r="C702" s="9" t="str">
        <f t="shared" si="40"/>
        <v>Good</v>
      </c>
      <c r="D702" s="11">
        <f>INDEX('2_Clean_Data'!$L$2:$L$1360,MATCH($A702,'2_Clean_Data'!$A$2:$A$1360,0))</f>
        <v>12.5</v>
      </c>
      <c r="E702" s="9" t="str">
        <f>IF(D702&lt;'3_Summary_Tables'!$C$16,"Low",IF(D702&lt;'3_Summary_Tables'!$C$17,"Medium","High"))</f>
        <v>High</v>
      </c>
      <c r="F702" s="12">
        <f>INDEX('2_Clean_Data'!$C$2:$C$1360,MATCH($A702,'2_Clean_Data'!$A$2:$A$1360,0))</f>
        <v>0.25</v>
      </c>
      <c r="G702" s="10">
        <f>INDEX('2_Clean_Data'!$H$2:$H$1360,MATCH($A702,'2_Clean_Data'!$A$2:$A$1360,0))</f>
        <v>10</v>
      </c>
      <c r="H702" s="9" t="str">
        <f t="shared" si="41"/>
        <v>Low</v>
      </c>
      <c r="I702" s="9" t="str">
        <f t="shared" si="42"/>
        <v>OK</v>
      </c>
      <c r="J702" s="9" t="str">
        <f t="shared" si="43"/>
        <v>Premium</v>
      </c>
    </row>
    <row r="703" spans="1:10" x14ac:dyDescent="0.3">
      <c r="A703" s="10">
        <f>'2_Clean_Data'!A700</f>
        <v>699</v>
      </c>
      <c r="B703" s="10">
        <f>INDEX('2_Clean_Data'!$M$2:$M$1360,MATCH($A703,'2_Clean_Data'!$A$2:$A$1360,0))</f>
        <v>5</v>
      </c>
      <c r="C703" s="9" t="str">
        <f t="shared" si="40"/>
        <v>Average</v>
      </c>
      <c r="D703" s="11">
        <f>INDEX('2_Clean_Data'!$L$2:$L$1360,MATCH($A703,'2_Clean_Data'!$A$2:$A$1360,0))</f>
        <v>9.1999999999999993</v>
      </c>
      <c r="E703" s="9" t="str">
        <f>IF(D703&lt;'3_Summary_Tables'!$C$16,"Low",IF(D703&lt;'3_Summary_Tables'!$C$17,"Medium","High"))</f>
        <v>Low</v>
      </c>
      <c r="F703" s="12">
        <f>INDEX('2_Clean_Data'!$C$2:$C$1360,MATCH($A703,'2_Clean_Data'!$A$2:$A$1360,0))</f>
        <v>0.53</v>
      </c>
      <c r="G703" s="10">
        <f>INDEX('2_Clean_Data'!$H$2:$H$1360,MATCH($A703,'2_Clean_Data'!$A$2:$A$1360,0))</f>
        <v>12</v>
      </c>
      <c r="H703" s="9" t="str">
        <f t="shared" si="41"/>
        <v>Low</v>
      </c>
      <c r="I703" s="9" t="str">
        <f t="shared" si="42"/>
        <v>OK</v>
      </c>
      <c r="J703" s="9" t="str">
        <f t="shared" si="43"/>
        <v>Standard</v>
      </c>
    </row>
    <row r="704" spans="1:10" x14ac:dyDescent="0.3">
      <c r="A704" s="10">
        <f>'2_Clean_Data'!A701</f>
        <v>700</v>
      </c>
      <c r="B704" s="10">
        <f>INDEX('2_Clean_Data'!$M$2:$M$1360,MATCH($A704,'2_Clean_Data'!$A$2:$A$1360,0))</f>
        <v>6</v>
      </c>
      <c r="C704" s="9" t="str">
        <f t="shared" si="40"/>
        <v>Above Average</v>
      </c>
      <c r="D704" s="11">
        <f>INDEX('2_Clean_Data'!$L$2:$L$1360,MATCH($A704,'2_Clean_Data'!$A$2:$A$1360,0))</f>
        <v>10.3</v>
      </c>
      <c r="E704" s="9" t="str">
        <f>IF(D704&lt;'3_Summary_Tables'!$C$16,"Low",IF(D704&lt;'3_Summary_Tables'!$C$17,"Medium","High"))</f>
        <v>Medium</v>
      </c>
      <c r="F704" s="12">
        <f>INDEX('2_Clean_Data'!$C$2:$C$1360,MATCH($A704,'2_Clean_Data'!$A$2:$A$1360,0))</f>
        <v>0.48</v>
      </c>
      <c r="G704" s="10">
        <f>INDEX('2_Clean_Data'!$H$2:$H$1360,MATCH($A704,'2_Clean_Data'!$A$2:$A$1360,0))</f>
        <v>15</v>
      </c>
      <c r="H704" s="9" t="str">
        <f t="shared" si="41"/>
        <v>Low</v>
      </c>
      <c r="I704" s="9" t="str">
        <f t="shared" si="42"/>
        <v>OK</v>
      </c>
      <c r="J704" s="9" t="str">
        <f t="shared" si="43"/>
        <v>Solid</v>
      </c>
    </row>
    <row r="705" spans="1:10" x14ac:dyDescent="0.3">
      <c r="A705" s="10">
        <f>'2_Clean_Data'!A702</f>
        <v>701</v>
      </c>
      <c r="B705" s="10">
        <f>INDEX('2_Clean_Data'!$M$2:$M$1360,MATCH($A705,'2_Clean_Data'!$A$2:$A$1360,0))</f>
        <v>5</v>
      </c>
      <c r="C705" s="9" t="str">
        <f t="shared" si="40"/>
        <v>Average</v>
      </c>
      <c r="D705" s="11">
        <f>INDEX('2_Clean_Data'!$L$2:$L$1360,MATCH($A705,'2_Clean_Data'!$A$2:$A$1360,0))</f>
        <v>10.5</v>
      </c>
      <c r="E705" s="9" t="str">
        <f>IF(D705&lt;'3_Summary_Tables'!$C$16,"Low",IF(D705&lt;'3_Summary_Tables'!$C$17,"Medium","High"))</f>
        <v>Medium</v>
      </c>
      <c r="F705" s="12">
        <f>INDEX('2_Clean_Data'!$C$2:$C$1360,MATCH($A705,'2_Clean_Data'!$A$2:$A$1360,0))</f>
        <v>0.49</v>
      </c>
      <c r="G705" s="10">
        <f>INDEX('2_Clean_Data'!$H$2:$H$1360,MATCH($A705,'2_Clean_Data'!$A$2:$A$1360,0))</f>
        <v>14</v>
      </c>
      <c r="H705" s="9" t="str">
        <f t="shared" si="41"/>
        <v>Low</v>
      </c>
      <c r="I705" s="9" t="str">
        <f t="shared" si="42"/>
        <v>OK</v>
      </c>
      <c r="J705" s="9" t="str">
        <f t="shared" si="43"/>
        <v>Standard</v>
      </c>
    </row>
    <row r="706" spans="1:10" x14ac:dyDescent="0.3">
      <c r="A706" s="10">
        <f>'2_Clean_Data'!A703</f>
        <v>702</v>
      </c>
      <c r="B706" s="10">
        <f>INDEX('2_Clean_Data'!$M$2:$M$1360,MATCH($A706,'2_Clean_Data'!$A$2:$A$1360,0))</f>
        <v>6</v>
      </c>
      <c r="C706" s="9" t="str">
        <f t="shared" si="40"/>
        <v>Above Average</v>
      </c>
      <c r="D706" s="11">
        <f>INDEX('2_Clean_Data'!$L$2:$L$1360,MATCH($A706,'2_Clean_Data'!$A$2:$A$1360,0))</f>
        <v>10.9</v>
      </c>
      <c r="E706" s="9" t="str">
        <f>IF(D706&lt;'3_Summary_Tables'!$C$16,"Low",IF(D706&lt;'3_Summary_Tables'!$C$17,"Medium","High"))</f>
        <v>Medium</v>
      </c>
      <c r="F706" s="12">
        <f>INDEX('2_Clean_Data'!$C$2:$C$1360,MATCH($A706,'2_Clean_Data'!$A$2:$A$1360,0))</f>
        <v>0.5</v>
      </c>
      <c r="G706" s="10">
        <f>INDEX('2_Clean_Data'!$H$2:$H$1360,MATCH($A706,'2_Clean_Data'!$A$2:$A$1360,0))</f>
        <v>24</v>
      </c>
      <c r="H706" s="9" t="str">
        <f t="shared" si="41"/>
        <v>Low</v>
      </c>
      <c r="I706" s="9" t="str">
        <f t="shared" si="42"/>
        <v>OK</v>
      </c>
      <c r="J706" s="9" t="str">
        <f t="shared" si="43"/>
        <v>Solid</v>
      </c>
    </row>
    <row r="707" spans="1:10" x14ac:dyDescent="0.3">
      <c r="A707" s="10">
        <f>'2_Clean_Data'!A704</f>
        <v>703</v>
      </c>
      <c r="B707" s="10">
        <f>INDEX('2_Clean_Data'!$M$2:$M$1360,MATCH($A707,'2_Clean_Data'!$A$2:$A$1360,0))</f>
        <v>5</v>
      </c>
      <c r="C707" s="9" t="str">
        <f t="shared" si="40"/>
        <v>Average</v>
      </c>
      <c r="D707" s="11">
        <f>INDEX('2_Clean_Data'!$L$2:$L$1360,MATCH($A707,'2_Clean_Data'!$A$2:$A$1360,0))</f>
        <v>10.8</v>
      </c>
      <c r="E707" s="9" t="str">
        <f>IF(D707&lt;'3_Summary_Tables'!$C$16,"Low",IF(D707&lt;'3_Summary_Tables'!$C$17,"Medium","High"))</f>
        <v>Medium</v>
      </c>
      <c r="F707" s="12">
        <f>INDEX('2_Clean_Data'!$C$2:$C$1360,MATCH($A707,'2_Clean_Data'!$A$2:$A$1360,0))</f>
        <v>0.45</v>
      </c>
      <c r="G707" s="10">
        <f>INDEX('2_Clean_Data'!$H$2:$H$1360,MATCH($A707,'2_Clean_Data'!$A$2:$A$1360,0))</f>
        <v>38</v>
      </c>
      <c r="H707" s="9" t="str">
        <f t="shared" si="41"/>
        <v>Low</v>
      </c>
      <c r="I707" s="9" t="str">
        <f t="shared" si="42"/>
        <v>OK</v>
      </c>
      <c r="J707" s="9" t="str">
        <f t="shared" si="43"/>
        <v>Standard</v>
      </c>
    </row>
    <row r="708" spans="1:10" x14ac:dyDescent="0.3">
      <c r="A708" s="10">
        <f>'2_Clean_Data'!A705</f>
        <v>704</v>
      </c>
      <c r="B708" s="10">
        <f>INDEX('2_Clean_Data'!$M$2:$M$1360,MATCH($A708,'2_Clean_Data'!$A$2:$A$1360,0))</f>
        <v>4</v>
      </c>
      <c r="C708" s="9" t="str">
        <f t="shared" si="40"/>
        <v>Poor</v>
      </c>
      <c r="D708" s="11">
        <f>INDEX('2_Clean_Data'!$L$2:$L$1360,MATCH($A708,'2_Clean_Data'!$A$2:$A$1360,0))</f>
        <v>11.4</v>
      </c>
      <c r="E708" s="9" t="str">
        <f>IF(D708&lt;'3_Summary_Tables'!$C$16,"Low",IF(D708&lt;'3_Summary_Tables'!$C$17,"Medium","High"))</f>
        <v>Medium</v>
      </c>
      <c r="F708" s="12">
        <f>INDEX('2_Clean_Data'!$C$2:$C$1360,MATCH($A708,'2_Clean_Data'!$A$2:$A$1360,0))</f>
        <v>0.39</v>
      </c>
      <c r="G708" s="10">
        <f>INDEX('2_Clean_Data'!$H$2:$H$1360,MATCH($A708,'2_Clean_Data'!$A$2:$A$1360,0))</f>
        <v>7</v>
      </c>
      <c r="H708" s="9" t="str">
        <f t="shared" si="41"/>
        <v>Low</v>
      </c>
      <c r="I708" s="9" t="str">
        <f t="shared" si="42"/>
        <v>OK</v>
      </c>
      <c r="J708" s="9" t="str">
        <f t="shared" si="43"/>
        <v>Poor</v>
      </c>
    </row>
    <row r="709" spans="1:10" x14ac:dyDescent="0.3">
      <c r="A709" s="10">
        <f>'2_Clean_Data'!A706</f>
        <v>705</v>
      </c>
      <c r="B709" s="10">
        <f>INDEX('2_Clean_Data'!$M$2:$M$1360,MATCH($A709,'2_Clean_Data'!$A$2:$A$1360,0))</f>
        <v>6</v>
      </c>
      <c r="C709" s="9" t="str">
        <f t="shared" ref="C709:C772" si="44">VLOOKUP(B709,$L$12:$N$17,2,FALSE())</f>
        <v>Above Average</v>
      </c>
      <c r="D709" s="11">
        <f>INDEX('2_Clean_Data'!$L$2:$L$1360,MATCH($A709,'2_Clean_Data'!$A$2:$A$1360,0))</f>
        <v>11.3</v>
      </c>
      <c r="E709" s="9" t="str">
        <f>IF(D709&lt;'3_Summary_Tables'!$C$16,"Low",IF(D709&lt;'3_Summary_Tables'!$C$17,"Medium","High"))</f>
        <v>Medium</v>
      </c>
      <c r="F709" s="12">
        <f>INDEX('2_Clean_Data'!$C$2:$C$1360,MATCH($A709,'2_Clean_Data'!$A$2:$A$1360,0))</f>
        <v>0.41</v>
      </c>
      <c r="G709" s="10">
        <f>INDEX('2_Clean_Data'!$H$2:$H$1360,MATCH($A709,'2_Clean_Data'!$A$2:$A$1360,0))</f>
        <v>41</v>
      </c>
      <c r="H709" s="9" t="str">
        <f t="shared" ref="H709:H772" si="45">IF(G709&gt;$M$8,"High",IF(G709&gt;$M$7,"Moderate","Low"))</f>
        <v>Low</v>
      </c>
      <c r="I709" s="9" t="str">
        <f t="shared" ref="I709:I772" si="46">IF(F709&gt;$M$6,"Above limit","OK")</f>
        <v>OK</v>
      </c>
      <c r="J709" s="9" t="str">
        <f t="shared" ref="J709:J772" si="47">IF(AND(B709&gt;=7,E709="High"),"Premium",IF(AND(B709&gt;=6,I709="OK"),"Solid",IF(B709&lt;=4,"Poor","Standard")))</f>
        <v>Solid</v>
      </c>
    </row>
    <row r="710" spans="1:10" x14ac:dyDescent="0.3">
      <c r="A710" s="10">
        <f>'2_Clean_Data'!A707</f>
        <v>706</v>
      </c>
      <c r="B710" s="10">
        <f>INDEX('2_Clean_Data'!$M$2:$M$1360,MATCH($A710,'2_Clean_Data'!$A$2:$A$1360,0))</f>
        <v>6</v>
      </c>
      <c r="C710" s="9" t="str">
        <f t="shared" si="44"/>
        <v>Above Average</v>
      </c>
      <c r="D710" s="11">
        <f>INDEX('2_Clean_Data'!$L$2:$L$1360,MATCH($A710,'2_Clean_Data'!$A$2:$A$1360,0))</f>
        <v>10.5</v>
      </c>
      <c r="E710" s="9" t="str">
        <f>IF(D710&lt;'3_Summary_Tables'!$C$16,"Low",IF(D710&lt;'3_Summary_Tables'!$C$17,"Medium","High"))</f>
        <v>Medium</v>
      </c>
      <c r="F710" s="12">
        <f>INDEX('2_Clean_Data'!$C$2:$C$1360,MATCH($A710,'2_Clean_Data'!$A$2:$A$1360,0))</f>
        <v>0.51</v>
      </c>
      <c r="G710" s="10">
        <f>INDEX('2_Clean_Data'!$H$2:$H$1360,MATCH($A710,'2_Clean_Data'!$A$2:$A$1360,0))</f>
        <v>30</v>
      </c>
      <c r="H710" s="9" t="str">
        <f t="shared" si="45"/>
        <v>Low</v>
      </c>
      <c r="I710" s="9" t="str">
        <f t="shared" si="46"/>
        <v>OK</v>
      </c>
      <c r="J710" s="9" t="str">
        <f t="shared" si="47"/>
        <v>Solid</v>
      </c>
    </row>
    <row r="711" spans="1:10" x14ac:dyDescent="0.3">
      <c r="A711" s="10">
        <f>'2_Clean_Data'!A708</f>
        <v>707</v>
      </c>
      <c r="B711" s="10">
        <f>INDEX('2_Clean_Data'!$M$2:$M$1360,MATCH($A711,'2_Clean_Data'!$A$2:$A$1360,0))</f>
        <v>6</v>
      </c>
      <c r="C711" s="9" t="str">
        <f t="shared" si="44"/>
        <v>Above Average</v>
      </c>
      <c r="D711" s="11">
        <f>INDEX('2_Clean_Data'!$L$2:$L$1360,MATCH($A711,'2_Clean_Data'!$A$2:$A$1360,0))</f>
        <v>11.9</v>
      </c>
      <c r="E711" s="9" t="str">
        <f>IF(D711&lt;'3_Summary_Tables'!$C$16,"Low",IF(D711&lt;'3_Summary_Tables'!$C$17,"Medium","High"))</f>
        <v>High</v>
      </c>
      <c r="F711" s="12">
        <f>INDEX('2_Clean_Data'!$C$2:$C$1360,MATCH($A711,'2_Clean_Data'!$A$2:$A$1360,0))</f>
        <v>0.28999999999999998</v>
      </c>
      <c r="G711" s="10">
        <f>INDEX('2_Clean_Data'!$H$2:$H$1360,MATCH($A711,'2_Clean_Data'!$A$2:$A$1360,0))</f>
        <v>27</v>
      </c>
      <c r="H711" s="9" t="str">
        <f t="shared" si="45"/>
        <v>Low</v>
      </c>
      <c r="I711" s="9" t="str">
        <f t="shared" si="46"/>
        <v>OK</v>
      </c>
      <c r="J711" s="9" t="str">
        <f t="shared" si="47"/>
        <v>Solid</v>
      </c>
    </row>
    <row r="712" spans="1:10" x14ac:dyDescent="0.3">
      <c r="A712" s="10">
        <f>'2_Clean_Data'!A709</f>
        <v>708</v>
      </c>
      <c r="B712" s="10">
        <f>INDEX('2_Clean_Data'!$M$2:$M$1360,MATCH($A712,'2_Clean_Data'!$A$2:$A$1360,0))</f>
        <v>5</v>
      </c>
      <c r="C712" s="9" t="str">
        <f t="shared" si="44"/>
        <v>Average</v>
      </c>
      <c r="D712" s="11">
        <f>INDEX('2_Clean_Data'!$L$2:$L$1360,MATCH($A712,'2_Clean_Data'!$A$2:$A$1360,0))</f>
        <v>9.4</v>
      </c>
      <c r="E712" s="9" t="str">
        <f>IF(D712&lt;'3_Summary_Tables'!$C$16,"Low",IF(D712&lt;'3_Summary_Tables'!$C$17,"Medium","High"))</f>
        <v>Low</v>
      </c>
      <c r="F712" s="12">
        <f>INDEX('2_Clean_Data'!$C$2:$C$1360,MATCH($A712,'2_Clean_Data'!$A$2:$A$1360,0))</f>
        <v>0.71499999999999997</v>
      </c>
      <c r="G712" s="10">
        <f>INDEX('2_Clean_Data'!$H$2:$H$1360,MATCH($A712,'2_Clean_Data'!$A$2:$A$1360,0))</f>
        <v>47</v>
      </c>
      <c r="H712" s="9" t="str">
        <f t="shared" si="45"/>
        <v>Low</v>
      </c>
      <c r="I712" s="9" t="str">
        <f t="shared" si="46"/>
        <v>Above limit</v>
      </c>
      <c r="J712" s="9" t="str">
        <f t="shared" si="47"/>
        <v>Standard</v>
      </c>
    </row>
    <row r="713" spans="1:10" x14ac:dyDescent="0.3">
      <c r="A713" s="10">
        <f>'2_Clean_Data'!A710</f>
        <v>709</v>
      </c>
      <c r="B713" s="10">
        <f>INDEX('2_Clean_Data'!$M$2:$M$1360,MATCH($A713,'2_Clean_Data'!$A$2:$A$1360,0))</f>
        <v>5</v>
      </c>
      <c r="C713" s="9" t="str">
        <f t="shared" si="44"/>
        <v>Average</v>
      </c>
      <c r="D713" s="11">
        <f>INDEX('2_Clean_Data'!$L$2:$L$1360,MATCH($A713,'2_Clean_Data'!$A$2:$A$1360,0))</f>
        <v>9.6</v>
      </c>
      <c r="E713" s="9" t="str">
        <f>IF(D713&lt;'3_Summary_Tables'!$C$16,"Low",IF(D713&lt;'3_Summary_Tables'!$C$17,"Medium","High"))</f>
        <v>Low</v>
      </c>
      <c r="F713" s="12">
        <f>INDEX('2_Clean_Data'!$C$2:$C$1360,MATCH($A713,'2_Clean_Data'!$A$2:$A$1360,0))</f>
        <v>0.66</v>
      </c>
      <c r="G713" s="10">
        <f>INDEX('2_Clean_Data'!$H$2:$H$1360,MATCH($A713,'2_Clean_Data'!$A$2:$A$1360,0))</f>
        <v>59</v>
      </c>
      <c r="H713" s="9" t="str">
        <f t="shared" si="45"/>
        <v>Moderate</v>
      </c>
      <c r="I713" s="9" t="str">
        <f t="shared" si="46"/>
        <v>OK</v>
      </c>
      <c r="J713" s="9" t="str">
        <f t="shared" si="47"/>
        <v>Standard</v>
      </c>
    </row>
    <row r="714" spans="1:10" x14ac:dyDescent="0.3">
      <c r="A714" s="10">
        <f>'2_Clean_Data'!A711</f>
        <v>710</v>
      </c>
      <c r="B714" s="10">
        <f>INDEX('2_Clean_Data'!$M$2:$M$1360,MATCH($A714,'2_Clean_Data'!$A$2:$A$1360,0))</f>
        <v>5</v>
      </c>
      <c r="C714" s="9" t="str">
        <f t="shared" si="44"/>
        <v>Average</v>
      </c>
      <c r="D714" s="11">
        <f>INDEX('2_Clean_Data'!$L$2:$L$1360,MATCH($A714,'2_Clean_Data'!$A$2:$A$1360,0))</f>
        <v>9.6999999999999993</v>
      </c>
      <c r="E714" s="9" t="str">
        <f>IF(D714&lt;'3_Summary_Tables'!$C$16,"Low",IF(D714&lt;'3_Summary_Tables'!$C$17,"Medium","High"))</f>
        <v>Low</v>
      </c>
      <c r="F714" s="12">
        <f>INDEX('2_Clean_Data'!$C$2:$C$1360,MATCH($A714,'2_Clean_Data'!$A$2:$A$1360,0))</f>
        <v>0.68500000000000005</v>
      </c>
      <c r="G714" s="10">
        <f>INDEX('2_Clean_Data'!$H$2:$H$1360,MATCH($A714,'2_Clean_Data'!$A$2:$A$1360,0))</f>
        <v>22</v>
      </c>
      <c r="H714" s="9" t="str">
        <f t="shared" si="45"/>
        <v>Low</v>
      </c>
      <c r="I714" s="9" t="str">
        <f t="shared" si="46"/>
        <v>OK</v>
      </c>
      <c r="J714" s="9" t="str">
        <f t="shared" si="47"/>
        <v>Standard</v>
      </c>
    </row>
    <row r="715" spans="1:10" x14ac:dyDescent="0.3">
      <c r="A715" s="10">
        <f>'2_Clean_Data'!A712</f>
        <v>711</v>
      </c>
      <c r="B715" s="10">
        <f>INDEX('2_Clean_Data'!$M$2:$M$1360,MATCH($A715,'2_Clean_Data'!$A$2:$A$1360,0))</f>
        <v>7</v>
      </c>
      <c r="C715" s="9" t="str">
        <f t="shared" si="44"/>
        <v>Good</v>
      </c>
      <c r="D715" s="11">
        <f>INDEX('2_Clean_Data'!$L$2:$L$1360,MATCH($A715,'2_Clean_Data'!$A$2:$A$1360,0))</f>
        <v>14</v>
      </c>
      <c r="E715" s="9" t="str">
        <f>IF(D715&lt;'3_Summary_Tables'!$C$16,"Low",IF(D715&lt;'3_Summary_Tables'!$C$17,"Medium","High"))</f>
        <v>High</v>
      </c>
      <c r="F715" s="12">
        <f>INDEX('2_Clean_Data'!$C$2:$C$1360,MATCH($A715,'2_Clean_Data'!$A$2:$A$1360,0))</f>
        <v>0.42</v>
      </c>
      <c r="G715" s="10">
        <f>INDEX('2_Clean_Data'!$H$2:$H$1360,MATCH($A715,'2_Clean_Data'!$A$2:$A$1360,0))</f>
        <v>42</v>
      </c>
      <c r="H715" s="9" t="str">
        <f t="shared" si="45"/>
        <v>Low</v>
      </c>
      <c r="I715" s="9" t="str">
        <f t="shared" si="46"/>
        <v>OK</v>
      </c>
      <c r="J715" s="9" t="str">
        <f t="shared" si="47"/>
        <v>Premium</v>
      </c>
    </row>
    <row r="716" spans="1:10" x14ac:dyDescent="0.3">
      <c r="A716" s="10">
        <f>'2_Clean_Data'!A713</f>
        <v>712</v>
      </c>
      <c r="B716" s="10">
        <f>INDEX('2_Clean_Data'!$M$2:$M$1360,MATCH($A716,'2_Clean_Data'!$A$2:$A$1360,0))</f>
        <v>5</v>
      </c>
      <c r="C716" s="9" t="str">
        <f t="shared" si="44"/>
        <v>Average</v>
      </c>
      <c r="D716" s="11">
        <f>INDEX('2_Clean_Data'!$L$2:$L$1360,MATCH($A716,'2_Clean_Data'!$A$2:$A$1360,0))</f>
        <v>9.8000000000000007</v>
      </c>
      <c r="E716" s="9" t="str">
        <f>IF(D716&lt;'3_Summary_Tables'!$C$16,"Low",IF(D716&lt;'3_Summary_Tables'!$C$17,"Medium","High"))</f>
        <v>Low</v>
      </c>
      <c r="F716" s="12">
        <f>INDEX('2_Clean_Data'!$C$2:$C$1360,MATCH($A716,'2_Clean_Data'!$A$2:$A$1360,0))</f>
        <v>0.54</v>
      </c>
      <c r="G716" s="10">
        <f>INDEX('2_Clean_Data'!$H$2:$H$1360,MATCH($A716,'2_Clean_Data'!$A$2:$A$1360,0))</f>
        <v>36</v>
      </c>
      <c r="H716" s="9" t="str">
        <f t="shared" si="45"/>
        <v>Low</v>
      </c>
      <c r="I716" s="9" t="str">
        <f t="shared" si="46"/>
        <v>OK</v>
      </c>
      <c r="J716" s="9" t="str">
        <f t="shared" si="47"/>
        <v>Standard</v>
      </c>
    </row>
    <row r="717" spans="1:10" x14ac:dyDescent="0.3">
      <c r="A717" s="10">
        <f>'2_Clean_Data'!A714</f>
        <v>713</v>
      </c>
      <c r="B717" s="10">
        <f>INDEX('2_Clean_Data'!$M$2:$M$1360,MATCH($A717,'2_Clean_Data'!$A$2:$A$1360,0))</f>
        <v>5</v>
      </c>
      <c r="C717" s="9" t="str">
        <f t="shared" si="44"/>
        <v>Average</v>
      </c>
      <c r="D717" s="11">
        <f>INDEX('2_Clean_Data'!$L$2:$L$1360,MATCH($A717,'2_Clean_Data'!$A$2:$A$1360,0))</f>
        <v>10.3</v>
      </c>
      <c r="E717" s="9" t="str">
        <f>IF(D717&lt;'3_Summary_Tables'!$C$16,"Low",IF(D717&lt;'3_Summary_Tables'!$C$17,"Medium","High"))</f>
        <v>Medium</v>
      </c>
      <c r="F717" s="12">
        <f>INDEX('2_Clean_Data'!$C$2:$C$1360,MATCH($A717,'2_Clean_Data'!$A$2:$A$1360,0))</f>
        <v>0.48</v>
      </c>
      <c r="G717" s="10">
        <f>INDEX('2_Clean_Data'!$H$2:$H$1360,MATCH($A717,'2_Clean_Data'!$A$2:$A$1360,0))</f>
        <v>16</v>
      </c>
      <c r="H717" s="9" t="str">
        <f t="shared" si="45"/>
        <v>Low</v>
      </c>
      <c r="I717" s="9" t="str">
        <f t="shared" si="46"/>
        <v>OK</v>
      </c>
      <c r="J717" s="9" t="str">
        <f t="shared" si="47"/>
        <v>Standard</v>
      </c>
    </row>
    <row r="718" spans="1:10" x14ac:dyDescent="0.3">
      <c r="A718" s="10">
        <f>'2_Clean_Data'!A715</f>
        <v>714</v>
      </c>
      <c r="B718" s="10">
        <f>INDEX('2_Clean_Data'!$M$2:$M$1360,MATCH($A718,'2_Clean_Data'!$A$2:$A$1360,0))</f>
        <v>5</v>
      </c>
      <c r="C718" s="9" t="str">
        <f t="shared" si="44"/>
        <v>Average</v>
      </c>
      <c r="D718" s="11">
        <f>INDEX('2_Clean_Data'!$L$2:$L$1360,MATCH($A718,'2_Clean_Data'!$A$2:$A$1360,0))</f>
        <v>10.7</v>
      </c>
      <c r="E718" s="9" t="str">
        <f>IF(D718&lt;'3_Summary_Tables'!$C$16,"Low",IF(D718&lt;'3_Summary_Tables'!$C$17,"Medium","High"))</f>
        <v>Medium</v>
      </c>
      <c r="F718" s="12">
        <f>INDEX('2_Clean_Data'!$C$2:$C$1360,MATCH($A718,'2_Clean_Data'!$A$2:$A$1360,0))</f>
        <v>0.46</v>
      </c>
      <c r="G718" s="10">
        <f>INDEX('2_Clean_Data'!$H$2:$H$1360,MATCH($A718,'2_Clean_Data'!$A$2:$A$1360,0))</f>
        <v>37</v>
      </c>
      <c r="H718" s="9" t="str">
        <f t="shared" si="45"/>
        <v>Low</v>
      </c>
      <c r="I718" s="9" t="str">
        <f t="shared" si="46"/>
        <v>OK</v>
      </c>
      <c r="J718" s="9" t="str">
        <f t="shared" si="47"/>
        <v>Standard</v>
      </c>
    </row>
    <row r="719" spans="1:10" x14ac:dyDescent="0.3">
      <c r="A719" s="10">
        <f>'2_Clean_Data'!A716</f>
        <v>715</v>
      </c>
      <c r="B719" s="10">
        <f>INDEX('2_Clean_Data'!$M$2:$M$1360,MATCH($A719,'2_Clean_Data'!$A$2:$A$1360,0))</f>
        <v>7</v>
      </c>
      <c r="C719" s="9" t="str">
        <f t="shared" si="44"/>
        <v>Good</v>
      </c>
      <c r="D719" s="11">
        <f>INDEX('2_Clean_Data'!$L$2:$L$1360,MATCH($A719,'2_Clean_Data'!$A$2:$A$1360,0))</f>
        <v>11</v>
      </c>
      <c r="E719" s="9" t="str">
        <f>IF(D719&lt;'3_Summary_Tables'!$C$16,"Low",IF(D719&lt;'3_Summary_Tables'!$C$17,"Medium","High"))</f>
        <v>Medium</v>
      </c>
      <c r="F719" s="12">
        <f>INDEX('2_Clean_Data'!$C$2:$C$1360,MATCH($A719,'2_Clean_Data'!$A$2:$A$1360,0))</f>
        <v>0.27</v>
      </c>
      <c r="G719" s="10">
        <f>INDEX('2_Clean_Data'!$H$2:$H$1360,MATCH($A719,'2_Clean_Data'!$A$2:$A$1360,0))</f>
        <v>8</v>
      </c>
      <c r="H719" s="9" t="str">
        <f t="shared" si="45"/>
        <v>Low</v>
      </c>
      <c r="I719" s="9" t="str">
        <f t="shared" si="46"/>
        <v>OK</v>
      </c>
      <c r="J719" s="9" t="str">
        <f t="shared" si="47"/>
        <v>Solid</v>
      </c>
    </row>
    <row r="720" spans="1:10" x14ac:dyDescent="0.3">
      <c r="A720" s="10">
        <f>'2_Clean_Data'!A717</f>
        <v>716</v>
      </c>
      <c r="B720" s="10">
        <f>INDEX('2_Clean_Data'!$M$2:$M$1360,MATCH($A720,'2_Clean_Data'!$A$2:$A$1360,0))</f>
        <v>8</v>
      </c>
      <c r="C720" s="9" t="str">
        <f t="shared" si="44"/>
        <v>Excellent</v>
      </c>
      <c r="D720" s="11">
        <f>INDEX('2_Clean_Data'!$L$2:$L$1360,MATCH($A720,'2_Clean_Data'!$A$2:$A$1360,0))</f>
        <v>12.7</v>
      </c>
      <c r="E720" s="9" t="str">
        <f>IF(D720&lt;'3_Summary_Tables'!$C$16,"Low",IF(D720&lt;'3_Summary_Tables'!$C$17,"Medium","High"))</f>
        <v>High</v>
      </c>
      <c r="F720" s="12">
        <f>INDEX('2_Clean_Data'!$C$2:$C$1360,MATCH($A720,'2_Clean_Data'!$A$2:$A$1360,0))</f>
        <v>0.56999999999999995</v>
      </c>
      <c r="G720" s="10">
        <f>INDEX('2_Clean_Data'!$H$2:$H$1360,MATCH($A720,'2_Clean_Data'!$A$2:$A$1360,0))</f>
        <v>45</v>
      </c>
      <c r="H720" s="9" t="str">
        <f t="shared" si="45"/>
        <v>Low</v>
      </c>
      <c r="I720" s="9" t="str">
        <f t="shared" si="46"/>
        <v>OK</v>
      </c>
      <c r="J720" s="9" t="str">
        <f t="shared" si="47"/>
        <v>Premium</v>
      </c>
    </row>
    <row r="721" spans="1:10" x14ac:dyDescent="0.3">
      <c r="A721" s="10">
        <f>'2_Clean_Data'!A718</f>
        <v>717</v>
      </c>
      <c r="B721" s="10">
        <f>INDEX('2_Clean_Data'!$M$2:$M$1360,MATCH($A721,'2_Clean_Data'!$A$2:$A$1360,0))</f>
        <v>6</v>
      </c>
      <c r="C721" s="9" t="str">
        <f t="shared" si="44"/>
        <v>Above Average</v>
      </c>
      <c r="D721" s="11">
        <f>INDEX('2_Clean_Data'!$L$2:$L$1360,MATCH($A721,'2_Clean_Data'!$A$2:$A$1360,0))</f>
        <v>11.1</v>
      </c>
      <c r="E721" s="9" t="str">
        <f>IF(D721&lt;'3_Summary_Tables'!$C$16,"Low",IF(D721&lt;'3_Summary_Tables'!$C$17,"Medium","High"))</f>
        <v>Medium</v>
      </c>
      <c r="F721" s="12">
        <f>INDEX('2_Clean_Data'!$C$2:$C$1360,MATCH($A721,'2_Clean_Data'!$A$2:$A$1360,0))</f>
        <v>0.61</v>
      </c>
      <c r="G721" s="10">
        <f>INDEX('2_Clean_Data'!$H$2:$H$1360,MATCH($A721,'2_Clean_Data'!$A$2:$A$1360,0))</f>
        <v>24</v>
      </c>
      <c r="H721" s="9" t="str">
        <f t="shared" si="45"/>
        <v>Low</v>
      </c>
      <c r="I721" s="9" t="str">
        <f t="shared" si="46"/>
        <v>OK</v>
      </c>
      <c r="J721" s="9" t="str">
        <f t="shared" si="47"/>
        <v>Solid</v>
      </c>
    </row>
    <row r="722" spans="1:10" x14ac:dyDescent="0.3">
      <c r="A722" s="10">
        <f>'2_Clean_Data'!A719</f>
        <v>718</v>
      </c>
      <c r="B722" s="10">
        <f>INDEX('2_Clean_Data'!$M$2:$M$1360,MATCH($A722,'2_Clean_Data'!$A$2:$A$1360,0))</f>
        <v>4</v>
      </c>
      <c r="C722" s="9" t="str">
        <f t="shared" si="44"/>
        <v>Poor</v>
      </c>
      <c r="D722" s="11">
        <f>INDEX('2_Clean_Data'!$L$2:$L$1360,MATCH($A722,'2_Clean_Data'!$A$2:$A$1360,0))</f>
        <v>10.9</v>
      </c>
      <c r="E722" s="9" t="str">
        <f>IF(D722&lt;'3_Summary_Tables'!$C$16,"Low",IF(D722&lt;'3_Summary_Tables'!$C$17,"Medium","High"))</f>
        <v>Medium</v>
      </c>
      <c r="F722" s="12">
        <f>INDEX('2_Clean_Data'!$C$2:$C$1360,MATCH($A722,'2_Clean_Data'!$A$2:$A$1360,0))</f>
        <v>0.68500000000000005</v>
      </c>
      <c r="G722" s="10">
        <f>INDEX('2_Clean_Data'!$H$2:$H$1360,MATCH($A722,'2_Clean_Data'!$A$2:$A$1360,0))</f>
        <v>9</v>
      </c>
      <c r="H722" s="9" t="str">
        <f t="shared" si="45"/>
        <v>Low</v>
      </c>
      <c r="I722" s="9" t="str">
        <f t="shared" si="46"/>
        <v>OK</v>
      </c>
      <c r="J722" s="9" t="str">
        <f t="shared" si="47"/>
        <v>Poor</v>
      </c>
    </row>
    <row r="723" spans="1:10" x14ac:dyDescent="0.3">
      <c r="A723" s="10">
        <f>'2_Clean_Data'!A720</f>
        <v>719</v>
      </c>
      <c r="B723" s="10">
        <f>INDEX('2_Clean_Data'!$M$2:$M$1360,MATCH($A723,'2_Clean_Data'!$A$2:$A$1360,0))</f>
        <v>3</v>
      </c>
      <c r="C723" s="9" t="str">
        <f t="shared" si="44"/>
        <v>Poor</v>
      </c>
      <c r="D723" s="11">
        <f>INDEX('2_Clean_Data'!$L$2:$L$1360,MATCH($A723,'2_Clean_Data'!$A$2:$A$1360,0))</f>
        <v>9.9</v>
      </c>
      <c r="E723" s="9" t="str">
        <f>IF(D723&lt;'3_Summary_Tables'!$C$16,"Low",IF(D723&lt;'3_Summary_Tables'!$C$17,"Medium","High"))</f>
        <v>Low</v>
      </c>
      <c r="F723" s="12">
        <f>INDEX('2_Clean_Data'!$C$2:$C$1360,MATCH($A723,'2_Clean_Data'!$A$2:$A$1360,0))</f>
        <v>0.44</v>
      </c>
      <c r="G723" s="10">
        <f>INDEX('2_Clean_Data'!$H$2:$H$1360,MATCH($A723,'2_Clean_Data'!$A$2:$A$1360,0))</f>
        <v>48</v>
      </c>
      <c r="H723" s="9" t="str">
        <f t="shared" si="45"/>
        <v>Low</v>
      </c>
      <c r="I723" s="9" t="str">
        <f t="shared" si="46"/>
        <v>OK</v>
      </c>
      <c r="J723" s="9" t="str">
        <f t="shared" si="47"/>
        <v>Poor</v>
      </c>
    </row>
    <row r="724" spans="1:10" x14ac:dyDescent="0.3">
      <c r="A724" s="10">
        <f>'2_Clean_Data'!A721</f>
        <v>720</v>
      </c>
      <c r="B724" s="10">
        <f>INDEX('2_Clean_Data'!$M$2:$M$1360,MATCH($A724,'2_Clean_Data'!$A$2:$A$1360,0))</f>
        <v>4</v>
      </c>
      <c r="C724" s="9" t="str">
        <f t="shared" si="44"/>
        <v>Poor</v>
      </c>
      <c r="D724" s="11">
        <f>INDEX('2_Clean_Data'!$L$2:$L$1360,MATCH($A724,'2_Clean_Data'!$A$2:$A$1360,0))</f>
        <v>9.9</v>
      </c>
      <c r="E724" s="9" t="str">
        <f>IF(D724&lt;'3_Summary_Tables'!$C$16,"Low",IF(D724&lt;'3_Summary_Tables'!$C$17,"Medium","High"))</f>
        <v>Low</v>
      </c>
      <c r="F724" s="12">
        <f>INDEX('2_Clean_Data'!$C$2:$C$1360,MATCH($A724,'2_Clean_Data'!$A$2:$A$1360,0))</f>
        <v>0.47</v>
      </c>
      <c r="G724" s="10">
        <f>INDEX('2_Clean_Data'!$H$2:$H$1360,MATCH($A724,'2_Clean_Data'!$A$2:$A$1360,0))</f>
        <v>51</v>
      </c>
      <c r="H724" s="9" t="str">
        <f t="shared" si="45"/>
        <v>Moderate</v>
      </c>
      <c r="I724" s="9" t="str">
        <f t="shared" si="46"/>
        <v>OK</v>
      </c>
      <c r="J724" s="9" t="str">
        <f t="shared" si="47"/>
        <v>Poor</v>
      </c>
    </row>
    <row r="725" spans="1:10" x14ac:dyDescent="0.3">
      <c r="A725" s="10">
        <f>'2_Clean_Data'!A722</f>
        <v>721</v>
      </c>
      <c r="B725" s="10">
        <f>INDEX('2_Clean_Data'!$M$2:$M$1360,MATCH($A725,'2_Clean_Data'!$A$2:$A$1360,0))</f>
        <v>5</v>
      </c>
      <c r="C725" s="9" t="str">
        <f t="shared" si="44"/>
        <v>Average</v>
      </c>
      <c r="D725" s="11">
        <f>INDEX('2_Clean_Data'!$L$2:$L$1360,MATCH($A725,'2_Clean_Data'!$A$2:$A$1360,0))</f>
        <v>9.4</v>
      </c>
      <c r="E725" s="9" t="str">
        <f>IF(D725&lt;'3_Summary_Tables'!$C$16,"Low",IF(D725&lt;'3_Summary_Tables'!$C$17,"Medium","High"))</f>
        <v>Low</v>
      </c>
      <c r="F725" s="12">
        <f>INDEX('2_Clean_Data'!$C$2:$C$1360,MATCH($A725,'2_Clean_Data'!$A$2:$A$1360,0))</f>
        <v>0.68500000000000005</v>
      </c>
      <c r="G725" s="10">
        <f>INDEX('2_Clean_Data'!$H$2:$H$1360,MATCH($A725,'2_Clean_Data'!$A$2:$A$1360,0))</f>
        <v>23</v>
      </c>
      <c r="H725" s="9" t="str">
        <f t="shared" si="45"/>
        <v>Low</v>
      </c>
      <c r="I725" s="9" t="str">
        <f t="shared" si="46"/>
        <v>OK</v>
      </c>
      <c r="J725" s="9" t="str">
        <f t="shared" si="47"/>
        <v>Standard</v>
      </c>
    </row>
    <row r="726" spans="1:10" x14ac:dyDescent="0.3">
      <c r="A726" s="10">
        <f>'2_Clean_Data'!A723</f>
        <v>722</v>
      </c>
      <c r="B726" s="10">
        <f>INDEX('2_Clean_Data'!$M$2:$M$1360,MATCH($A726,'2_Clean_Data'!$A$2:$A$1360,0))</f>
        <v>5</v>
      </c>
      <c r="C726" s="9" t="str">
        <f t="shared" si="44"/>
        <v>Average</v>
      </c>
      <c r="D726" s="11">
        <f>INDEX('2_Clean_Data'!$L$2:$L$1360,MATCH($A726,'2_Clean_Data'!$A$2:$A$1360,0))</f>
        <v>9.3000000000000007</v>
      </c>
      <c r="E726" s="9" t="str">
        <f>IF(D726&lt;'3_Summary_Tables'!$C$16,"Low",IF(D726&lt;'3_Summary_Tables'!$C$17,"Medium","High"))</f>
        <v>Low</v>
      </c>
      <c r="F726" s="12">
        <f>INDEX('2_Clean_Data'!$C$2:$C$1360,MATCH($A726,'2_Clean_Data'!$A$2:$A$1360,0))</f>
        <v>0.66500000000000004</v>
      </c>
      <c r="G726" s="10">
        <f>INDEX('2_Clean_Data'!$H$2:$H$1360,MATCH($A726,'2_Clean_Data'!$A$2:$A$1360,0))</f>
        <v>55</v>
      </c>
      <c r="H726" s="9" t="str">
        <f t="shared" si="45"/>
        <v>Moderate</v>
      </c>
      <c r="I726" s="9" t="str">
        <f t="shared" si="46"/>
        <v>OK</v>
      </c>
      <c r="J726" s="9" t="str">
        <f t="shared" si="47"/>
        <v>Standard</v>
      </c>
    </row>
    <row r="727" spans="1:10" x14ac:dyDescent="0.3">
      <c r="A727" s="10">
        <f>'2_Clean_Data'!A724</f>
        <v>723</v>
      </c>
      <c r="B727" s="10">
        <f>INDEX('2_Clean_Data'!$M$2:$M$1360,MATCH($A727,'2_Clean_Data'!$A$2:$A$1360,0))</f>
        <v>7</v>
      </c>
      <c r="C727" s="9" t="str">
        <f t="shared" si="44"/>
        <v>Good</v>
      </c>
      <c r="D727" s="11">
        <f>INDEX('2_Clean_Data'!$L$2:$L$1360,MATCH($A727,'2_Clean_Data'!$A$2:$A$1360,0))</f>
        <v>11.7</v>
      </c>
      <c r="E727" s="9" t="str">
        <f>IF(D727&lt;'3_Summary_Tables'!$C$16,"Low",IF(D727&lt;'3_Summary_Tables'!$C$17,"Medium","High"))</f>
        <v>High</v>
      </c>
      <c r="F727" s="12">
        <f>INDEX('2_Clean_Data'!$C$2:$C$1360,MATCH($A727,'2_Clean_Data'!$A$2:$A$1360,0))</f>
        <v>0.28000000000000003</v>
      </c>
      <c r="G727" s="10">
        <f>INDEX('2_Clean_Data'!$H$2:$H$1360,MATCH($A727,'2_Clean_Data'!$A$2:$A$1360,0))</f>
        <v>100</v>
      </c>
      <c r="H727" s="9" t="str">
        <f t="shared" si="45"/>
        <v>Moderate</v>
      </c>
      <c r="I727" s="9" t="str">
        <f t="shared" si="46"/>
        <v>OK</v>
      </c>
      <c r="J727" s="9" t="str">
        <f t="shared" si="47"/>
        <v>Premium</v>
      </c>
    </row>
    <row r="728" spans="1:10" x14ac:dyDescent="0.3">
      <c r="A728" s="10">
        <f>'2_Clean_Data'!A725</f>
        <v>724</v>
      </c>
      <c r="B728" s="10">
        <f>INDEX('2_Clean_Data'!$M$2:$M$1360,MATCH($A728,'2_Clean_Data'!$A$2:$A$1360,0))</f>
        <v>7</v>
      </c>
      <c r="C728" s="9" t="str">
        <f t="shared" si="44"/>
        <v>Good</v>
      </c>
      <c r="D728" s="11">
        <f>INDEX('2_Clean_Data'!$L$2:$L$1360,MATCH($A728,'2_Clean_Data'!$A$2:$A$1360,0))</f>
        <v>11.2</v>
      </c>
      <c r="E728" s="9" t="str">
        <f>IF(D728&lt;'3_Summary_Tables'!$C$16,"Low",IF(D728&lt;'3_Summary_Tables'!$C$17,"Medium","High"))</f>
        <v>Medium</v>
      </c>
      <c r="F728" s="12">
        <f>INDEX('2_Clean_Data'!$C$2:$C$1360,MATCH($A728,'2_Clean_Data'!$A$2:$A$1360,0))</f>
        <v>0.31</v>
      </c>
      <c r="G728" s="10">
        <f>INDEX('2_Clean_Data'!$H$2:$H$1360,MATCH($A728,'2_Clean_Data'!$A$2:$A$1360,0))</f>
        <v>28</v>
      </c>
      <c r="H728" s="9" t="str">
        <f t="shared" si="45"/>
        <v>Low</v>
      </c>
      <c r="I728" s="9" t="str">
        <f t="shared" si="46"/>
        <v>OK</v>
      </c>
      <c r="J728" s="9" t="str">
        <f t="shared" si="47"/>
        <v>Solid</v>
      </c>
    </row>
    <row r="729" spans="1:10" x14ac:dyDescent="0.3">
      <c r="A729" s="10">
        <f>'2_Clean_Data'!A726</f>
        <v>725</v>
      </c>
      <c r="B729" s="10">
        <f>INDEX('2_Clean_Data'!$M$2:$M$1360,MATCH($A729,'2_Clean_Data'!$A$2:$A$1360,0))</f>
        <v>5</v>
      </c>
      <c r="C729" s="9" t="str">
        <f t="shared" si="44"/>
        <v>Average</v>
      </c>
      <c r="D729" s="11">
        <f>INDEX('2_Clean_Data'!$L$2:$L$1360,MATCH($A729,'2_Clean_Data'!$A$2:$A$1360,0))</f>
        <v>10</v>
      </c>
      <c r="E729" s="9" t="str">
        <f>IF(D729&lt;'3_Summary_Tables'!$C$16,"Low",IF(D729&lt;'3_Summary_Tables'!$C$17,"Medium","High"))</f>
        <v>Medium</v>
      </c>
      <c r="F729" s="12">
        <f>INDEX('2_Clean_Data'!$C$2:$C$1360,MATCH($A729,'2_Clean_Data'!$A$2:$A$1360,0))</f>
        <v>0.5</v>
      </c>
      <c r="G729" s="10">
        <f>INDEX('2_Clean_Data'!$H$2:$H$1360,MATCH($A729,'2_Clean_Data'!$A$2:$A$1360,0))</f>
        <v>26</v>
      </c>
      <c r="H729" s="9" t="str">
        <f t="shared" si="45"/>
        <v>Low</v>
      </c>
      <c r="I729" s="9" t="str">
        <f t="shared" si="46"/>
        <v>OK</v>
      </c>
      <c r="J729" s="9" t="str">
        <f t="shared" si="47"/>
        <v>Standard</v>
      </c>
    </row>
    <row r="730" spans="1:10" x14ac:dyDescent="0.3">
      <c r="A730" s="10">
        <f>'2_Clean_Data'!A727</f>
        <v>726</v>
      </c>
      <c r="B730" s="10">
        <f>INDEX('2_Clean_Data'!$M$2:$M$1360,MATCH($A730,'2_Clean_Data'!$A$2:$A$1360,0))</f>
        <v>7</v>
      </c>
      <c r="C730" s="9" t="str">
        <f t="shared" si="44"/>
        <v>Good</v>
      </c>
      <c r="D730" s="11">
        <f>INDEX('2_Clean_Data'!$L$2:$L$1360,MATCH($A730,'2_Clean_Data'!$A$2:$A$1360,0))</f>
        <v>12.1</v>
      </c>
      <c r="E730" s="9" t="str">
        <f>IF(D730&lt;'3_Summary_Tables'!$C$16,"Low",IF(D730&lt;'3_Summary_Tables'!$C$17,"Medium","High"))</f>
        <v>High</v>
      </c>
      <c r="F730" s="12">
        <f>INDEX('2_Clean_Data'!$C$2:$C$1360,MATCH($A730,'2_Clean_Data'!$A$2:$A$1360,0))</f>
        <v>0.42</v>
      </c>
      <c r="G730" s="10">
        <f>INDEX('2_Clean_Data'!$H$2:$H$1360,MATCH($A730,'2_Clean_Data'!$A$2:$A$1360,0))</f>
        <v>34</v>
      </c>
      <c r="H730" s="9" t="str">
        <f t="shared" si="45"/>
        <v>Low</v>
      </c>
      <c r="I730" s="9" t="str">
        <f t="shared" si="46"/>
        <v>OK</v>
      </c>
      <c r="J730" s="9" t="str">
        <f t="shared" si="47"/>
        <v>Premium</v>
      </c>
    </row>
    <row r="731" spans="1:10" x14ac:dyDescent="0.3">
      <c r="A731" s="10">
        <f>'2_Clean_Data'!A728</f>
        <v>727</v>
      </c>
      <c r="B731" s="10">
        <f>INDEX('2_Clean_Data'!$M$2:$M$1360,MATCH($A731,'2_Clean_Data'!$A$2:$A$1360,0))</f>
        <v>5</v>
      </c>
      <c r="C731" s="9" t="str">
        <f t="shared" si="44"/>
        <v>Average</v>
      </c>
      <c r="D731" s="11">
        <f>INDEX('2_Clean_Data'!$L$2:$L$1360,MATCH($A731,'2_Clean_Data'!$A$2:$A$1360,0))</f>
        <v>10.3</v>
      </c>
      <c r="E731" s="9" t="str">
        <f>IF(D731&lt;'3_Summary_Tables'!$C$16,"Low",IF(D731&lt;'3_Summary_Tables'!$C$17,"Medium","High"))</f>
        <v>Medium</v>
      </c>
      <c r="F731" s="12">
        <f>INDEX('2_Clean_Data'!$C$2:$C$1360,MATCH($A731,'2_Clean_Data'!$A$2:$A$1360,0))</f>
        <v>0.66</v>
      </c>
      <c r="G731" s="10">
        <f>INDEX('2_Clean_Data'!$H$2:$H$1360,MATCH($A731,'2_Clean_Data'!$A$2:$A$1360,0))</f>
        <v>31</v>
      </c>
      <c r="H731" s="9" t="str">
        <f t="shared" si="45"/>
        <v>Low</v>
      </c>
      <c r="I731" s="9" t="str">
        <f t="shared" si="46"/>
        <v>OK</v>
      </c>
      <c r="J731" s="9" t="str">
        <f t="shared" si="47"/>
        <v>Standard</v>
      </c>
    </row>
    <row r="732" spans="1:10" x14ac:dyDescent="0.3">
      <c r="A732" s="10">
        <f>'2_Clean_Data'!A729</f>
        <v>728</v>
      </c>
      <c r="B732" s="10">
        <f>INDEX('2_Clean_Data'!$M$2:$M$1360,MATCH($A732,'2_Clean_Data'!$A$2:$A$1360,0))</f>
        <v>6</v>
      </c>
      <c r="C732" s="9" t="str">
        <f t="shared" si="44"/>
        <v>Above Average</v>
      </c>
      <c r="D732" s="11">
        <f>INDEX('2_Clean_Data'!$L$2:$L$1360,MATCH($A732,'2_Clean_Data'!$A$2:$A$1360,0))</f>
        <v>10.9</v>
      </c>
      <c r="E732" s="9" t="str">
        <f>IF(D732&lt;'3_Summary_Tables'!$C$16,"Low",IF(D732&lt;'3_Summary_Tables'!$C$17,"Medium","High"))</f>
        <v>Medium</v>
      </c>
      <c r="F732" s="12">
        <f>INDEX('2_Clean_Data'!$C$2:$C$1360,MATCH($A732,'2_Clean_Data'!$A$2:$A$1360,0))</f>
        <v>0.5</v>
      </c>
      <c r="G732" s="10">
        <f>INDEX('2_Clean_Data'!$H$2:$H$1360,MATCH($A732,'2_Clean_Data'!$A$2:$A$1360,0))</f>
        <v>68</v>
      </c>
      <c r="H732" s="9" t="str">
        <f t="shared" si="45"/>
        <v>Moderate</v>
      </c>
      <c r="I732" s="9" t="str">
        <f t="shared" si="46"/>
        <v>OK</v>
      </c>
      <c r="J732" s="9" t="str">
        <f t="shared" si="47"/>
        <v>Solid</v>
      </c>
    </row>
    <row r="733" spans="1:10" x14ac:dyDescent="0.3">
      <c r="A733" s="10">
        <f>'2_Clean_Data'!A730</f>
        <v>729</v>
      </c>
      <c r="B733" s="10">
        <f>INDEX('2_Clean_Data'!$M$2:$M$1360,MATCH($A733,'2_Clean_Data'!$A$2:$A$1360,0))</f>
        <v>5</v>
      </c>
      <c r="C733" s="9" t="str">
        <f t="shared" si="44"/>
        <v>Average</v>
      </c>
      <c r="D733" s="11">
        <f>INDEX('2_Clean_Data'!$L$2:$L$1360,MATCH($A733,'2_Clean_Data'!$A$2:$A$1360,0))</f>
        <v>9.4</v>
      </c>
      <c r="E733" s="9" t="str">
        <f>IF(D733&lt;'3_Summary_Tables'!$C$16,"Low",IF(D733&lt;'3_Summary_Tables'!$C$17,"Medium","High"))</f>
        <v>Low</v>
      </c>
      <c r="F733" s="12">
        <f>INDEX('2_Clean_Data'!$C$2:$C$1360,MATCH($A733,'2_Clean_Data'!$A$2:$A$1360,0))</f>
        <v>0.68500000000000005</v>
      </c>
      <c r="G733" s="10">
        <f>INDEX('2_Clean_Data'!$H$2:$H$1360,MATCH($A733,'2_Clean_Data'!$A$2:$A$1360,0))</f>
        <v>92</v>
      </c>
      <c r="H733" s="9" t="str">
        <f t="shared" si="45"/>
        <v>Moderate</v>
      </c>
      <c r="I733" s="9" t="str">
        <f t="shared" si="46"/>
        <v>OK</v>
      </c>
      <c r="J733" s="9" t="str">
        <f t="shared" si="47"/>
        <v>Standard</v>
      </c>
    </row>
    <row r="734" spans="1:10" x14ac:dyDescent="0.3">
      <c r="A734" s="10">
        <f>'2_Clean_Data'!A731</f>
        <v>730</v>
      </c>
      <c r="B734" s="10">
        <f>INDEX('2_Clean_Data'!$M$2:$M$1360,MATCH($A734,'2_Clean_Data'!$A$2:$A$1360,0))</f>
        <v>6</v>
      </c>
      <c r="C734" s="9" t="str">
        <f t="shared" si="44"/>
        <v>Above Average</v>
      </c>
      <c r="D734" s="11">
        <f>INDEX('2_Clean_Data'!$L$2:$L$1360,MATCH($A734,'2_Clean_Data'!$A$2:$A$1360,0))</f>
        <v>10.6</v>
      </c>
      <c r="E734" s="9" t="str">
        <f>IF(D734&lt;'3_Summary_Tables'!$C$16,"Low",IF(D734&lt;'3_Summary_Tables'!$C$17,"Medium","High"))</f>
        <v>Medium</v>
      </c>
      <c r="F734" s="12">
        <f>INDEX('2_Clean_Data'!$C$2:$C$1360,MATCH($A734,'2_Clean_Data'!$A$2:$A$1360,0))</f>
        <v>0.25</v>
      </c>
      <c r="G734" s="10">
        <f>INDEX('2_Clean_Data'!$H$2:$H$1360,MATCH($A734,'2_Clean_Data'!$A$2:$A$1360,0))</f>
        <v>42</v>
      </c>
      <c r="H734" s="9" t="str">
        <f t="shared" si="45"/>
        <v>Low</v>
      </c>
      <c r="I734" s="9" t="str">
        <f t="shared" si="46"/>
        <v>OK</v>
      </c>
      <c r="J734" s="9" t="str">
        <f t="shared" si="47"/>
        <v>Solid</v>
      </c>
    </row>
    <row r="735" spans="1:10" x14ac:dyDescent="0.3">
      <c r="A735" s="10">
        <f>'2_Clean_Data'!A732</f>
        <v>731</v>
      </c>
      <c r="B735" s="10">
        <f>INDEX('2_Clean_Data'!$M$2:$M$1360,MATCH($A735,'2_Clean_Data'!$A$2:$A$1360,0))</f>
        <v>5</v>
      </c>
      <c r="C735" s="9" t="str">
        <f t="shared" si="44"/>
        <v>Average</v>
      </c>
      <c r="D735" s="11">
        <f>INDEX('2_Clean_Data'!$L$2:$L$1360,MATCH($A735,'2_Clean_Data'!$A$2:$A$1360,0))</f>
        <v>9.8000000000000007</v>
      </c>
      <c r="E735" s="9" t="str">
        <f>IF(D735&lt;'3_Summary_Tables'!$C$16,"Low",IF(D735&lt;'3_Summary_Tables'!$C$17,"Medium","High"))</f>
        <v>Low</v>
      </c>
      <c r="F735" s="12">
        <f>INDEX('2_Clean_Data'!$C$2:$C$1360,MATCH($A735,'2_Clean_Data'!$A$2:$A$1360,0))</f>
        <v>0.64</v>
      </c>
      <c r="G735" s="10">
        <f>INDEX('2_Clean_Data'!$H$2:$H$1360,MATCH($A735,'2_Clean_Data'!$A$2:$A$1360,0))</f>
        <v>31</v>
      </c>
      <c r="H735" s="9" t="str">
        <f t="shared" si="45"/>
        <v>Low</v>
      </c>
      <c r="I735" s="9" t="str">
        <f t="shared" si="46"/>
        <v>OK</v>
      </c>
      <c r="J735" s="9" t="str">
        <f t="shared" si="47"/>
        <v>Standard</v>
      </c>
    </row>
    <row r="736" spans="1:10" x14ac:dyDescent="0.3">
      <c r="A736" s="10">
        <f>'2_Clean_Data'!A733</f>
        <v>732</v>
      </c>
      <c r="B736" s="10">
        <f>INDEX('2_Clean_Data'!$M$2:$M$1360,MATCH($A736,'2_Clean_Data'!$A$2:$A$1360,0))</f>
        <v>6</v>
      </c>
      <c r="C736" s="9" t="str">
        <f t="shared" si="44"/>
        <v>Above Average</v>
      </c>
      <c r="D736" s="11">
        <f>INDEX('2_Clean_Data'!$L$2:$L$1360,MATCH($A736,'2_Clean_Data'!$A$2:$A$1360,0))</f>
        <v>9.9</v>
      </c>
      <c r="E736" s="9" t="str">
        <f>IF(D736&lt;'3_Summary_Tables'!$C$16,"Low",IF(D736&lt;'3_Summary_Tables'!$C$17,"Medium","High"))</f>
        <v>Low</v>
      </c>
      <c r="F736" s="12">
        <f>INDEX('2_Clean_Data'!$C$2:$C$1360,MATCH($A736,'2_Clean_Data'!$A$2:$A$1360,0))</f>
        <v>0.68</v>
      </c>
      <c r="G736" s="10">
        <f>INDEX('2_Clean_Data'!$H$2:$H$1360,MATCH($A736,'2_Clean_Data'!$A$2:$A$1360,0))</f>
        <v>39</v>
      </c>
      <c r="H736" s="9" t="str">
        <f t="shared" si="45"/>
        <v>Low</v>
      </c>
      <c r="I736" s="9" t="str">
        <f t="shared" si="46"/>
        <v>OK</v>
      </c>
      <c r="J736" s="9" t="str">
        <f t="shared" si="47"/>
        <v>Solid</v>
      </c>
    </row>
    <row r="737" spans="1:10" x14ac:dyDescent="0.3">
      <c r="A737" s="10">
        <f>'2_Clean_Data'!A734</f>
        <v>733</v>
      </c>
      <c r="B737" s="10">
        <f>INDEX('2_Clean_Data'!$M$2:$M$1360,MATCH($A737,'2_Clean_Data'!$A$2:$A$1360,0))</f>
        <v>5</v>
      </c>
      <c r="C737" s="9" t="str">
        <f t="shared" si="44"/>
        <v>Average</v>
      </c>
      <c r="D737" s="11">
        <f>INDEX('2_Clean_Data'!$L$2:$L$1360,MATCH($A737,'2_Clean_Data'!$A$2:$A$1360,0))</f>
        <v>9.8000000000000007</v>
      </c>
      <c r="E737" s="9" t="str">
        <f>IF(D737&lt;'3_Summary_Tables'!$C$16,"Low",IF(D737&lt;'3_Summary_Tables'!$C$17,"Medium","High"))</f>
        <v>Low</v>
      </c>
      <c r="F737" s="12">
        <f>INDEX('2_Clean_Data'!$C$2:$C$1360,MATCH($A737,'2_Clean_Data'!$A$2:$A$1360,0))</f>
        <v>0.63</v>
      </c>
      <c r="G737" s="10">
        <f>INDEX('2_Clean_Data'!$H$2:$H$1360,MATCH($A737,'2_Clean_Data'!$A$2:$A$1360,0))</f>
        <v>32</v>
      </c>
      <c r="H737" s="9" t="str">
        <f t="shared" si="45"/>
        <v>Low</v>
      </c>
      <c r="I737" s="9" t="str">
        <f t="shared" si="46"/>
        <v>OK</v>
      </c>
      <c r="J737" s="9" t="str">
        <f t="shared" si="47"/>
        <v>Standard</v>
      </c>
    </row>
    <row r="738" spans="1:10" x14ac:dyDescent="0.3">
      <c r="A738" s="10">
        <f>'2_Clean_Data'!A735</f>
        <v>734</v>
      </c>
      <c r="B738" s="10">
        <f>INDEX('2_Clean_Data'!$M$2:$M$1360,MATCH($A738,'2_Clean_Data'!$A$2:$A$1360,0))</f>
        <v>5</v>
      </c>
      <c r="C738" s="9" t="str">
        <f t="shared" si="44"/>
        <v>Average</v>
      </c>
      <c r="D738" s="11">
        <f>INDEX('2_Clean_Data'!$L$2:$L$1360,MATCH($A738,'2_Clean_Data'!$A$2:$A$1360,0))</f>
        <v>9.5</v>
      </c>
      <c r="E738" s="9" t="str">
        <f>IF(D738&lt;'3_Summary_Tables'!$C$16,"Low",IF(D738&lt;'3_Summary_Tables'!$C$17,"Medium","High"))</f>
        <v>Low</v>
      </c>
      <c r="F738" s="12">
        <f>INDEX('2_Clean_Data'!$C$2:$C$1360,MATCH($A738,'2_Clean_Data'!$A$2:$A$1360,0))</f>
        <v>0.43</v>
      </c>
      <c r="G738" s="10">
        <f>INDEX('2_Clean_Data'!$H$2:$H$1360,MATCH($A738,'2_Clean_Data'!$A$2:$A$1360,0))</f>
        <v>22</v>
      </c>
      <c r="H738" s="9" t="str">
        <f t="shared" si="45"/>
        <v>Low</v>
      </c>
      <c r="I738" s="9" t="str">
        <f t="shared" si="46"/>
        <v>OK</v>
      </c>
      <c r="J738" s="9" t="str">
        <f t="shared" si="47"/>
        <v>Standard</v>
      </c>
    </row>
    <row r="739" spans="1:10" x14ac:dyDescent="0.3">
      <c r="A739" s="10">
        <f>'2_Clean_Data'!A736</f>
        <v>735</v>
      </c>
      <c r="B739" s="10">
        <f>INDEX('2_Clean_Data'!$M$2:$M$1360,MATCH($A739,'2_Clean_Data'!$A$2:$A$1360,0))</f>
        <v>5</v>
      </c>
      <c r="C739" s="9" t="str">
        <f t="shared" si="44"/>
        <v>Average</v>
      </c>
      <c r="D739" s="11">
        <f>INDEX('2_Clean_Data'!$L$2:$L$1360,MATCH($A739,'2_Clean_Data'!$A$2:$A$1360,0))</f>
        <v>9.6999999999999993</v>
      </c>
      <c r="E739" s="9" t="str">
        <f>IF(D739&lt;'3_Summary_Tables'!$C$16,"Low",IF(D739&lt;'3_Summary_Tables'!$C$17,"Medium","High"))</f>
        <v>Low</v>
      </c>
      <c r="F739" s="12">
        <f>INDEX('2_Clean_Data'!$C$2:$C$1360,MATCH($A739,'2_Clean_Data'!$A$2:$A$1360,0))</f>
        <v>0.42</v>
      </c>
      <c r="G739" s="10">
        <f>INDEX('2_Clean_Data'!$H$2:$H$1360,MATCH($A739,'2_Clean_Data'!$A$2:$A$1360,0))</f>
        <v>122</v>
      </c>
      <c r="H739" s="9" t="str">
        <f t="shared" si="45"/>
        <v>High</v>
      </c>
      <c r="I739" s="9" t="str">
        <f t="shared" si="46"/>
        <v>OK</v>
      </c>
      <c r="J739" s="9" t="str">
        <f t="shared" si="47"/>
        <v>Standard</v>
      </c>
    </row>
    <row r="740" spans="1:10" x14ac:dyDescent="0.3">
      <c r="A740" s="10">
        <f>'2_Clean_Data'!A737</f>
        <v>736</v>
      </c>
      <c r="B740" s="10">
        <f>INDEX('2_Clean_Data'!$M$2:$M$1360,MATCH($A740,'2_Clean_Data'!$A$2:$A$1360,0))</f>
        <v>6</v>
      </c>
      <c r="C740" s="9" t="str">
        <f t="shared" si="44"/>
        <v>Above Average</v>
      </c>
      <c r="D740" s="11">
        <f>INDEX('2_Clean_Data'!$L$2:$L$1360,MATCH($A740,'2_Clean_Data'!$A$2:$A$1360,0))</f>
        <v>10.9</v>
      </c>
      <c r="E740" s="9" t="str">
        <f>IF(D740&lt;'3_Summary_Tables'!$C$16,"Low",IF(D740&lt;'3_Summary_Tables'!$C$17,"Medium","High"))</f>
        <v>Medium</v>
      </c>
      <c r="F740" s="12">
        <f>INDEX('2_Clean_Data'!$C$2:$C$1360,MATCH($A740,'2_Clean_Data'!$A$2:$A$1360,0))</f>
        <v>0.36</v>
      </c>
      <c r="G740" s="10">
        <f>INDEX('2_Clean_Data'!$H$2:$H$1360,MATCH($A740,'2_Clean_Data'!$A$2:$A$1360,0))</f>
        <v>55</v>
      </c>
      <c r="H740" s="9" t="str">
        <f t="shared" si="45"/>
        <v>Moderate</v>
      </c>
      <c r="I740" s="9" t="str">
        <f t="shared" si="46"/>
        <v>OK</v>
      </c>
      <c r="J740" s="9" t="str">
        <f t="shared" si="47"/>
        <v>Solid</v>
      </c>
    </row>
    <row r="741" spans="1:10" x14ac:dyDescent="0.3">
      <c r="A741" s="10">
        <f>'2_Clean_Data'!A738</f>
        <v>737</v>
      </c>
      <c r="B741" s="10">
        <f>INDEX('2_Clean_Data'!$M$2:$M$1360,MATCH($A741,'2_Clean_Data'!$A$2:$A$1360,0))</f>
        <v>7</v>
      </c>
      <c r="C741" s="9" t="str">
        <f t="shared" si="44"/>
        <v>Good</v>
      </c>
      <c r="D741" s="11">
        <f>INDEX('2_Clean_Data'!$L$2:$L$1360,MATCH($A741,'2_Clean_Data'!$A$2:$A$1360,0))</f>
        <v>11.7</v>
      </c>
      <c r="E741" s="9" t="str">
        <f>IF(D741&lt;'3_Summary_Tables'!$C$16,"Low",IF(D741&lt;'3_Summary_Tables'!$C$17,"Medium","High"))</f>
        <v>High</v>
      </c>
      <c r="F741" s="12">
        <f>INDEX('2_Clean_Data'!$C$2:$C$1360,MATCH($A741,'2_Clean_Data'!$A$2:$A$1360,0))</f>
        <v>0.73499999999999999</v>
      </c>
      <c r="G741" s="10">
        <f>INDEX('2_Clean_Data'!$H$2:$H$1360,MATCH($A741,'2_Clean_Data'!$A$2:$A$1360,0))</f>
        <v>14</v>
      </c>
      <c r="H741" s="9" t="str">
        <f t="shared" si="45"/>
        <v>Low</v>
      </c>
      <c r="I741" s="9" t="str">
        <f t="shared" si="46"/>
        <v>Above limit</v>
      </c>
      <c r="J741" s="9" t="str">
        <f t="shared" si="47"/>
        <v>Premium</v>
      </c>
    </row>
    <row r="742" spans="1:10" x14ac:dyDescent="0.3">
      <c r="A742" s="10">
        <f>'2_Clean_Data'!A739</f>
        <v>738</v>
      </c>
      <c r="B742" s="10">
        <f>INDEX('2_Clean_Data'!$M$2:$M$1360,MATCH($A742,'2_Clean_Data'!$A$2:$A$1360,0))</f>
        <v>7</v>
      </c>
      <c r="C742" s="9" t="str">
        <f t="shared" si="44"/>
        <v>Good</v>
      </c>
      <c r="D742" s="11">
        <f>INDEX('2_Clean_Data'!$L$2:$L$1360,MATCH($A742,'2_Clean_Data'!$A$2:$A$1360,0))</f>
        <v>11.3</v>
      </c>
      <c r="E742" s="9" t="str">
        <f>IF(D742&lt;'3_Summary_Tables'!$C$16,"Low",IF(D742&lt;'3_Summary_Tables'!$C$17,"Medium","High"))</f>
        <v>Medium</v>
      </c>
      <c r="F742" s="12">
        <f>INDEX('2_Clean_Data'!$C$2:$C$1360,MATCH($A742,'2_Clean_Data'!$A$2:$A$1360,0))</f>
        <v>0.26</v>
      </c>
      <c r="G742" s="10">
        <f>INDEX('2_Clean_Data'!$H$2:$H$1360,MATCH($A742,'2_Clean_Data'!$A$2:$A$1360,0))</f>
        <v>47</v>
      </c>
      <c r="H742" s="9" t="str">
        <f t="shared" si="45"/>
        <v>Low</v>
      </c>
      <c r="I742" s="9" t="str">
        <f t="shared" si="46"/>
        <v>OK</v>
      </c>
      <c r="J742" s="9" t="str">
        <f t="shared" si="47"/>
        <v>Solid</v>
      </c>
    </row>
    <row r="743" spans="1:10" x14ac:dyDescent="0.3">
      <c r="A743" s="10">
        <f>'2_Clean_Data'!A740</f>
        <v>739</v>
      </c>
      <c r="B743" s="10">
        <f>INDEX('2_Clean_Data'!$M$2:$M$1360,MATCH($A743,'2_Clean_Data'!$A$2:$A$1360,0))</f>
        <v>7</v>
      </c>
      <c r="C743" s="9" t="str">
        <f t="shared" si="44"/>
        <v>Good</v>
      </c>
      <c r="D743" s="11">
        <f>INDEX('2_Clean_Data'!$L$2:$L$1360,MATCH($A743,'2_Clean_Data'!$A$2:$A$1360,0))</f>
        <v>10.6</v>
      </c>
      <c r="E743" s="9" t="str">
        <f>IF(D743&lt;'3_Summary_Tables'!$C$16,"Low",IF(D743&lt;'3_Summary_Tables'!$C$17,"Medium","High"))</f>
        <v>Medium</v>
      </c>
      <c r="F743" s="12">
        <f>INDEX('2_Clean_Data'!$C$2:$C$1360,MATCH($A743,'2_Clean_Data'!$A$2:$A$1360,0))</f>
        <v>0.28000000000000003</v>
      </c>
      <c r="G743" s="10">
        <f>INDEX('2_Clean_Data'!$H$2:$H$1360,MATCH($A743,'2_Clean_Data'!$A$2:$A$1360,0))</f>
        <v>32</v>
      </c>
      <c r="H743" s="9" t="str">
        <f t="shared" si="45"/>
        <v>Low</v>
      </c>
      <c r="I743" s="9" t="str">
        <f t="shared" si="46"/>
        <v>OK</v>
      </c>
      <c r="J743" s="9" t="str">
        <f t="shared" si="47"/>
        <v>Solid</v>
      </c>
    </row>
    <row r="744" spans="1:10" x14ac:dyDescent="0.3">
      <c r="A744" s="10">
        <f>'2_Clean_Data'!A741</f>
        <v>740</v>
      </c>
      <c r="B744" s="10">
        <f>INDEX('2_Clean_Data'!$M$2:$M$1360,MATCH($A744,'2_Clean_Data'!$A$2:$A$1360,0))</f>
        <v>6</v>
      </c>
      <c r="C744" s="9" t="str">
        <f t="shared" si="44"/>
        <v>Above Average</v>
      </c>
      <c r="D744" s="11">
        <f>INDEX('2_Clean_Data'!$L$2:$L$1360,MATCH($A744,'2_Clean_Data'!$A$2:$A$1360,0))</f>
        <v>11.2</v>
      </c>
      <c r="E744" s="9" t="str">
        <f>IF(D744&lt;'3_Summary_Tables'!$C$16,"Low",IF(D744&lt;'3_Summary_Tables'!$C$17,"Medium","High"))</f>
        <v>Medium</v>
      </c>
      <c r="F744" s="12">
        <f>INDEX('2_Clean_Data'!$C$2:$C$1360,MATCH($A744,'2_Clean_Data'!$A$2:$A$1360,0))</f>
        <v>0.56000000000000005</v>
      </c>
      <c r="G744" s="10">
        <f>INDEX('2_Clean_Data'!$H$2:$H$1360,MATCH($A744,'2_Clean_Data'!$A$2:$A$1360,0))</f>
        <v>24</v>
      </c>
      <c r="H744" s="9" t="str">
        <f t="shared" si="45"/>
        <v>Low</v>
      </c>
      <c r="I744" s="9" t="str">
        <f t="shared" si="46"/>
        <v>OK</v>
      </c>
      <c r="J744" s="9" t="str">
        <f t="shared" si="47"/>
        <v>Solid</v>
      </c>
    </row>
    <row r="745" spans="1:10" x14ac:dyDescent="0.3">
      <c r="A745" s="10">
        <f>'2_Clean_Data'!A742</f>
        <v>741</v>
      </c>
      <c r="B745" s="10">
        <f>INDEX('2_Clean_Data'!$M$2:$M$1360,MATCH($A745,'2_Clean_Data'!$A$2:$A$1360,0))</f>
        <v>5</v>
      </c>
      <c r="C745" s="9" t="str">
        <f t="shared" si="44"/>
        <v>Average</v>
      </c>
      <c r="D745" s="11">
        <f>INDEX('2_Clean_Data'!$L$2:$L$1360,MATCH($A745,'2_Clean_Data'!$A$2:$A$1360,0))</f>
        <v>9.5</v>
      </c>
      <c r="E745" s="9" t="str">
        <f>IF(D745&lt;'3_Summary_Tables'!$C$16,"Low",IF(D745&lt;'3_Summary_Tables'!$C$17,"Medium","High"))</f>
        <v>Low</v>
      </c>
      <c r="F745" s="12">
        <f>INDEX('2_Clean_Data'!$C$2:$C$1360,MATCH($A745,'2_Clean_Data'!$A$2:$A$1360,0))</f>
        <v>0.62</v>
      </c>
      <c r="G745" s="10">
        <f>INDEX('2_Clean_Data'!$H$2:$H$1360,MATCH($A745,'2_Clean_Data'!$A$2:$A$1360,0))</f>
        <v>85</v>
      </c>
      <c r="H745" s="9" t="str">
        <f t="shared" si="45"/>
        <v>Moderate</v>
      </c>
      <c r="I745" s="9" t="str">
        <f t="shared" si="46"/>
        <v>OK</v>
      </c>
      <c r="J745" s="9" t="str">
        <f t="shared" si="47"/>
        <v>Standard</v>
      </c>
    </row>
    <row r="746" spans="1:10" x14ac:dyDescent="0.3">
      <c r="A746" s="10">
        <f>'2_Clean_Data'!A743</f>
        <v>742</v>
      </c>
      <c r="B746" s="10">
        <f>INDEX('2_Clean_Data'!$M$2:$M$1360,MATCH($A746,'2_Clean_Data'!$A$2:$A$1360,0))</f>
        <v>6</v>
      </c>
      <c r="C746" s="9" t="str">
        <f t="shared" si="44"/>
        <v>Above Average</v>
      </c>
      <c r="D746" s="11">
        <f>INDEX('2_Clean_Data'!$L$2:$L$1360,MATCH($A746,'2_Clean_Data'!$A$2:$A$1360,0))</f>
        <v>11.5</v>
      </c>
      <c r="E746" s="9" t="str">
        <f>IF(D746&lt;'3_Summary_Tables'!$C$16,"Low",IF(D746&lt;'3_Summary_Tables'!$C$17,"Medium","High"))</f>
        <v>High</v>
      </c>
      <c r="F746" s="12">
        <f>INDEX('2_Clean_Data'!$C$2:$C$1360,MATCH($A746,'2_Clean_Data'!$A$2:$A$1360,0))</f>
        <v>1.01</v>
      </c>
      <c r="G746" s="10">
        <f>INDEX('2_Clean_Data'!$H$2:$H$1360,MATCH($A746,'2_Clean_Data'!$A$2:$A$1360,0))</f>
        <v>88</v>
      </c>
      <c r="H746" s="9" t="str">
        <f t="shared" si="45"/>
        <v>Moderate</v>
      </c>
      <c r="I746" s="9" t="str">
        <f t="shared" si="46"/>
        <v>Above limit</v>
      </c>
      <c r="J746" s="9" t="str">
        <f t="shared" si="47"/>
        <v>Standard</v>
      </c>
    </row>
    <row r="747" spans="1:10" x14ac:dyDescent="0.3">
      <c r="A747" s="10">
        <f>'2_Clean_Data'!A744</f>
        <v>743</v>
      </c>
      <c r="B747" s="10">
        <f>INDEX('2_Clean_Data'!$M$2:$M$1360,MATCH($A747,'2_Clean_Data'!$A$2:$A$1360,0))</f>
        <v>5</v>
      </c>
      <c r="C747" s="9" t="str">
        <f t="shared" si="44"/>
        <v>Average</v>
      </c>
      <c r="D747" s="11">
        <f>INDEX('2_Clean_Data'!$L$2:$L$1360,MATCH($A747,'2_Clean_Data'!$A$2:$A$1360,0))</f>
        <v>10.4</v>
      </c>
      <c r="E747" s="9" t="str">
        <f>IF(D747&lt;'3_Summary_Tables'!$C$16,"Low",IF(D747&lt;'3_Summary_Tables'!$C$17,"Medium","High"))</f>
        <v>Medium</v>
      </c>
      <c r="F747" s="12">
        <f>INDEX('2_Clean_Data'!$C$2:$C$1360,MATCH($A747,'2_Clean_Data'!$A$2:$A$1360,0))</f>
        <v>0.42</v>
      </c>
      <c r="G747" s="10">
        <f>INDEX('2_Clean_Data'!$H$2:$H$1360,MATCH($A747,'2_Clean_Data'!$A$2:$A$1360,0))</f>
        <v>25</v>
      </c>
      <c r="H747" s="9" t="str">
        <f t="shared" si="45"/>
        <v>Low</v>
      </c>
      <c r="I747" s="9" t="str">
        <f t="shared" si="46"/>
        <v>OK</v>
      </c>
      <c r="J747" s="9" t="str">
        <f t="shared" si="47"/>
        <v>Standard</v>
      </c>
    </row>
    <row r="748" spans="1:10" x14ac:dyDescent="0.3">
      <c r="A748" s="10">
        <f>'2_Clean_Data'!A745</f>
        <v>744</v>
      </c>
      <c r="B748" s="10">
        <f>INDEX('2_Clean_Data'!$M$2:$M$1360,MATCH($A748,'2_Clean_Data'!$A$2:$A$1360,0))</f>
        <v>5</v>
      </c>
      <c r="C748" s="9" t="str">
        <f t="shared" si="44"/>
        <v>Average</v>
      </c>
      <c r="D748" s="11">
        <f>INDEX('2_Clean_Data'!$L$2:$L$1360,MATCH($A748,'2_Clean_Data'!$A$2:$A$1360,0))</f>
        <v>9.6999999999999993</v>
      </c>
      <c r="E748" s="9" t="str">
        <f>IF(D748&lt;'3_Summary_Tables'!$C$16,"Low",IF(D748&lt;'3_Summary_Tables'!$C$17,"Medium","High"))</f>
        <v>Low</v>
      </c>
      <c r="F748" s="12">
        <f>INDEX('2_Clean_Data'!$C$2:$C$1360,MATCH($A748,'2_Clean_Data'!$A$2:$A$1360,0))</f>
        <v>0.62</v>
      </c>
      <c r="G748" s="10">
        <f>INDEX('2_Clean_Data'!$H$2:$H$1360,MATCH($A748,'2_Clean_Data'!$A$2:$A$1360,0))</f>
        <v>84</v>
      </c>
      <c r="H748" s="9" t="str">
        <f t="shared" si="45"/>
        <v>Moderate</v>
      </c>
      <c r="I748" s="9" t="str">
        <f t="shared" si="46"/>
        <v>OK</v>
      </c>
      <c r="J748" s="9" t="str">
        <f t="shared" si="47"/>
        <v>Standard</v>
      </c>
    </row>
    <row r="749" spans="1:10" x14ac:dyDescent="0.3">
      <c r="A749" s="10">
        <f>'2_Clean_Data'!A746</f>
        <v>745</v>
      </c>
      <c r="B749" s="10">
        <f>INDEX('2_Clean_Data'!$M$2:$M$1360,MATCH($A749,'2_Clean_Data'!$A$2:$A$1360,0))</f>
        <v>5</v>
      </c>
      <c r="C749" s="9" t="str">
        <f t="shared" si="44"/>
        <v>Average</v>
      </c>
      <c r="D749" s="11">
        <f>INDEX('2_Clean_Data'!$L$2:$L$1360,MATCH($A749,'2_Clean_Data'!$A$2:$A$1360,0))</f>
        <v>9.6999999999999993</v>
      </c>
      <c r="E749" s="9" t="str">
        <f>IF(D749&lt;'3_Summary_Tables'!$C$16,"Low",IF(D749&lt;'3_Summary_Tables'!$C$17,"Medium","High"))</f>
        <v>Low</v>
      </c>
      <c r="F749" s="12">
        <f>INDEX('2_Clean_Data'!$C$2:$C$1360,MATCH($A749,'2_Clean_Data'!$A$2:$A$1360,0))</f>
        <v>0.63500000000000001</v>
      </c>
      <c r="G749" s="10">
        <f>INDEX('2_Clean_Data'!$H$2:$H$1360,MATCH($A749,'2_Clean_Data'!$A$2:$A$1360,0))</f>
        <v>86</v>
      </c>
      <c r="H749" s="9" t="str">
        <f t="shared" si="45"/>
        <v>Moderate</v>
      </c>
      <c r="I749" s="9" t="str">
        <f t="shared" si="46"/>
        <v>OK</v>
      </c>
      <c r="J749" s="9" t="str">
        <f t="shared" si="47"/>
        <v>Standard</v>
      </c>
    </row>
    <row r="750" spans="1:10" x14ac:dyDescent="0.3">
      <c r="A750" s="10">
        <f>'2_Clean_Data'!A747</f>
        <v>746</v>
      </c>
      <c r="B750" s="10">
        <f>INDEX('2_Clean_Data'!$M$2:$M$1360,MATCH($A750,'2_Clean_Data'!$A$2:$A$1360,0))</f>
        <v>6</v>
      </c>
      <c r="C750" s="9" t="str">
        <f t="shared" si="44"/>
        <v>Above Average</v>
      </c>
      <c r="D750" s="11">
        <f>INDEX('2_Clean_Data'!$L$2:$L$1360,MATCH($A750,'2_Clean_Data'!$A$2:$A$1360,0))</f>
        <v>11.3</v>
      </c>
      <c r="E750" s="9" t="str">
        <f>IF(D750&lt;'3_Summary_Tables'!$C$16,"Low",IF(D750&lt;'3_Summary_Tables'!$C$17,"Medium","High"))</f>
        <v>Medium</v>
      </c>
      <c r="F750" s="12">
        <f>INDEX('2_Clean_Data'!$C$2:$C$1360,MATCH($A750,'2_Clean_Data'!$A$2:$A$1360,0))</f>
        <v>0.49</v>
      </c>
      <c r="G750" s="10">
        <f>INDEX('2_Clean_Data'!$H$2:$H$1360,MATCH($A750,'2_Clean_Data'!$A$2:$A$1360,0))</f>
        <v>24</v>
      </c>
      <c r="H750" s="9" t="str">
        <f t="shared" si="45"/>
        <v>Low</v>
      </c>
      <c r="I750" s="9" t="str">
        <f t="shared" si="46"/>
        <v>OK</v>
      </c>
      <c r="J750" s="9" t="str">
        <f t="shared" si="47"/>
        <v>Solid</v>
      </c>
    </row>
    <row r="751" spans="1:10" x14ac:dyDescent="0.3">
      <c r="A751" s="10">
        <f>'2_Clean_Data'!A748</f>
        <v>747</v>
      </c>
      <c r="B751" s="10">
        <f>INDEX('2_Clean_Data'!$M$2:$M$1360,MATCH($A751,'2_Clean_Data'!$A$2:$A$1360,0))</f>
        <v>6</v>
      </c>
      <c r="C751" s="9" t="str">
        <f t="shared" si="44"/>
        <v>Above Average</v>
      </c>
      <c r="D751" s="11">
        <f>INDEX('2_Clean_Data'!$L$2:$L$1360,MATCH($A751,'2_Clean_Data'!$A$2:$A$1360,0))</f>
        <v>11.2</v>
      </c>
      <c r="E751" s="9" t="str">
        <f>IF(D751&lt;'3_Summary_Tables'!$C$16,"Low",IF(D751&lt;'3_Summary_Tables'!$C$17,"Medium","High"))</f>
        <v>Medium</v>
      </c>
      <c r="F751" s="12">
        <f>INDEX('2_Clean_Data'!$C$2:$C$1360,MATCH($A751,'2_Clean_Data'!$A$2:$A$1360,0))</f>
        <v>0.51</v>
      </c>
      <c r="G751" s="10">
        <f>INDEX('2_Clean_Data'!$H$2:$H$1360,MATCH($A751,'2_Clean_Data'!$A$2:$A$1360,0))</f>
        <v>22</v>
      </c>
      <c r="H751" s="9" t="str">
        <f t="shared" si="45"/>
        <v>Low</v>
      </c>
      <c r="I751" s="9" t="str">
        <f t="shared" si="46"/>
        <v>OK</v>
      </c>
      <c r="J751" s="9" t="str">
        <f t="shared" si="47"/>
        <v>Solid</v>
      </c>
    </row>
    <row r="752" spans="1:10" x14ac:dyDescent="0.3">
      <c r="A752" s="10">
        <f>'2_Clean_Data'!A749</f>
        <v>748</v>
      </c>
      <c r="B752" s="10">
        <f>INDEX('2_Clean_Data'!$M$2:$M$1360,MATCH($A752,'2_Clean_Data'!$A$2:$A$1360,0))</f>
        <v>6</v>
      </c>
      <c r="C752" s="9" t="str">
        <f t="shared" si="44"/>
        <v>Above Average</v>
      </c>
      <c r="D752" s="11">
        <f>INDEX('2_Clean_Data'!$L$2:$L$1360,MATCH($A752,'2_Clean_Data'!$A$2:$A$1360,0))</f>
        <v>10.9</v>
      </c>
      <c r="E752" s="9" t="str">
        <f>IF(D752&lt;'3_Summary_Tables'!$C$16,"Low",IF(D752&lt;'3_Summary_Tables'!$C$17,"Medium","High"))</f>
        <v>Medium</v>
      </c>
      <c r="F752" s="12">
        <f>INDEX('2_Clean_Data'!$C$2:$C$1360,MATCH($A752,'2_Clean_Data'!$A$2:$A$1360,0))</f>
        <v>0.63</v>
      </c>
      <c r="G752" s="10">
        <f>INDEX('2_Clean_Data'!$H$2:$H$1360,MATCH($A752,'2_Clean_Data'!$A$2:$A$1360,0))</f>
        <v>43</v>
      </c>
      <c r="H752" s="9" t="str">
        <f t="shared" si="45"/>
        <v>Low</v>
      </c>
      <c r="I752" s="9" t="str">
        <f t="shared" si="46"/>
        <v>OK</v>
      </c>
      <c r="J752" s="9" t="str">
        <f t="shared" si="47"/>
        <v>Solid</v>
      </c>
    </row>
    <row r="753" spans="1:10" x14ac:dyDescent="0.3">
      <c r="A753" s="10">
        <f>'2_Clean_Data'!A750</f>
        <v>749</v>
      </c>
      <c r="B753" s="10">
        <f>INDEX('2_Clean_Data'!$M$2:$M$1360,MATCH($A753,'2_Clean_Data'!$A$2:$A$1360,0))</f>
        <v>6</v>
      </c>
      <c r="C753" s="9" t="str">
        <f t="shared" si="44"/>
        <v>Above Average</v>
      </c>
      <c r="D753" s="11">
        <f>INDEX('2_Clean_Data'!$L$2:$L$1360,MATCH($A753,'2_Clean_Data'!$A$2:$A$1360,0))</f>
        <v>11.8</v>
      </c>
      <c r="E753" s="9" t="str">
        <f>IF(D753&lt;'3_Summary_Tables'!$C$16,"Low",IF(D753&lt;'3_Summary_Tables'!$C$17,"Medium","High"))</f>
        <v>High</v>
      </c>
      <c r="F753" s="12">
        <f>INDEX('2_Clean_Data'!$C$2:$C$1360,MATCH($A753,'2_Clean_Data'!$A$2:$A$1360,0))</f>
        <v>0.71499999999999997</v>
      </c>
      <c r="G753" s="10">
        <f>INDEX('2_Clean_Data'!$H$2:$H$1360,MATCH($A753,'2_Clean_Data'!$A$2:$A$1360,0))</f>
        <v>43</v>
      </c>
      <c r="H753" s="9" t="str">
        <f t="shared" si="45"/>
        <v>Low</v>
      </c>
      <c r="I753" s="9" t="str">
        <f t="shared" si="46"/>
        <v>Above limit</v>
      </c>
      <c r="J753" s="9" t="str">
        <f t="shared" si="47"/>
        <v>Standard</v>
      </c>
    </row>
    <row r="754" spans="1:10" x14ac:dyDescent="0.3">
      <c r="A754" s="10">
        <f>'2_Clean_Data'!A751</f>
        <v>750</v>
      </c>
      <c r="B754" s="10">
        <f>INDEX('2_Clean_Data'!$M$2:$M$1360,MATCH($A754,'2_Clean_Data'!$A$2:$A$1360,0))</f>
        <v>5</v>
      </c>
      <c r="C754" s="9" t="str">
        <f t="shared" si="44"/>
        <v>Average</v>
      </c>
      <c r="D754" s="11">
        <f>INDEX('2_Clean_Data'!$L$2:$L$1360,MATCH($A754,'2_Clean_Data'!$A$2:$A$1360,0))</f>
        <v>10.6</v>
      </c>
      <c r="E754" s="9" t="str">
        <f>IF(D754&lt;'3_Summary_Tables'!$C$16,"Low",IF(D754&lt;'3_Summary_Tables'!$C$17,"Medium","High"))</f>
        <v>Medium</v>
      </c>
      <c r="F754" s="12">
        <f>INDEX('2_Clean_Data'!$C$2:$C$1360,MATCH($A754,'2_Clean_Data'!$A$2:$A$1360,0))</f>
        <v>0.56000000000000005</v>
      </c>
      <c r="G754" s="10">
        <f>INDEX('2_Clean_Data'!$H$2:$H$1360,MATCH($A754,'2_Clean_Data'!$A$2:$A$1360,0))</f>
        <v>46</v>
      </c>
      <c r="H754" s="9" t="str">
        <f t="shared" si="45"/>
        <v>Low</v>
      </c>
      <c r="I754" s="9" t="str">
        <f t="shared" si="46"/>
        <v>OK</v>
      </c>
      <c r="J754" s="9" t="str">
        <f t="shared" si="47"/>
        <v>Standard</v>
      </c>
    </row>
    <row r="755" spans="1:10" x14ac:dyDescent="0.3">
      <c r="A755" s="10">
        <f>'2_Clean_Data'!A752</f>
        <v>751</v>
      </c>
      <c r="B755" s="10">
        <f>INDEX('2_Clean_Data'!$M$2:$M$1360,MATCH($A755,'2_Clean_Data'!$A$2:$A$1360,0))</f>
        <v>4</v>
      </c>
      <c r="C755" s="9" t="str">
        <f t="shared" si="44"/>
        <v>Poor</v>
      </c>
      <c r="D755" s="11">
        <f>INDEX('2_Clean_Data'!$L$2:$L$1360,MATCH($A755,'2_Clean_Data'!$A$2:$A$1360,0))</f>
        <v>10</v>
      </c>
      <c r="E755" s="9" t="str">
        <f>IF(D755&lt;'3_Summary_Tables'!$C$16,"Low",IF(D755&lt;'3_Summary_Tables'!$C$17,"Medium","High"))</f>
        <v>Medium</v>
      </c>
      <c r="F755" s="12">
        <f>INDEX('2_Clean_Data'!$C$2:$C$1360,MATCH($A755,'2_Clean_Data'!$A$2:$A$1360,0))</f>
        <v>0.35</v>
      </c>
      <c r="G755" s="10">
        <f>INDEX('2_Clean_Data'!$H$2:$H$1360,MATCH($A755,'2_Clean_Data'!$A$2:$A$1360,0))</f>
        <v>48</v>
      </c>
      <c r="H755" s="9" t="str">
        <f t="shared" si="45"/>
        <v>Low</v>
      </c>
      <c r="I755" s="9" t="str">
        <f t="shared" si="46"/>
        <v>OK</v>
      </c>
      <c r="J755" s="9" t="str">
        <f t="shared" si="47"/>
        <v>Poor</v>
      </c>
    </row>
    <row r="756" spans="1:10" x14ac:dyDescent="0.3">
      <c r="A756" s="10">
        <f>'2_Clean_Data'!A753</f>
        <v>752</v>
      </c>
      <c r="B756" s="10">
        <f>INDEX('2_Clean_Data'!$M$2:$M$1360,MATCH($A756,'2_Clean_Data'!$A$2:$A$1360,0))</f>
        <v>7</v>
      </c>
      <c r="C756" s="9" t="str">
        <f t="shared" si="44"/>
        <v>Good</v>
      </c>
      <c r="D756" s="11">
        <f>INDEX('2_Clean_Data'!$L$2:$L$1360,MATCH($A756,'2_Clean_Data'!$A$2:$A$1360,0))</f>
        <v>11.1</v>
      </c>
      <c r="E756" s="9" t="str">
        <f>IF(D756&lt;'3_Summary_Tables'!$C$16,"Low",IF(D756&lt;'3_Summary_Tables'!$C$17,"Medium","High"))</f>
        <v>Medium</v>
      </c>
      <c r="F756" s="12">
        <f>INDEX('2_Clean_Data'!$C$2:$C$1360,MATCH($A756,'2_Clean_Data'!$A$2:$A$1360,0))</f>
        <v>0.21</v>
      </c>
      <c r="G756" s="10">
        <f>INDEX('2_Clean_Data'!$H$2:$H$1360,MATCH($A756,'2_Clean_Data'!$A$2:$A$1360,0))</f>
        <v>10</v>
      </c>
      <c r="H756" s="9" t="str">
        <f t="shared" si="45"/>
        <v>Low</v>
      </c>
      <c r="I756" s="9" t="str">
        <f t="shared" si="46"/>
        <v>OK</v>
      </c>
      <c r="J756" s="9" t="str">
        <f t="shared" si="47"/>
        <v>Solid</v>
      </c>
    </row>
    <row r="757" spans="1:10" x14ac:dyDescent="0.3">
      <c r="A757" s="10">
        <f>'2_Clean_Data'!A754</f>
        <v>753</v>
      </c>
      <c r="B757" s="10">
        <f>INDEX('2_Clean_Data'!$M$2:$M$1360,MATCH($A757,'2_Clean_Data'!$A$2:$A$1360,0))</f>
        <v>7</v>
      </c>
      <c r="C757" s="9" t="str">
        <f t="shared" si="44"/>
        <v>Good</v>
      </c>
      <c r="D757" s="11">
        <f>INDEX('2_Clean_Data'!$L$2:$L$1360,MATCH($A757,'2_Clean_Data'!$A$2:$A$1360,0))</f>
        <v>11.8</v>
      </c>
      <c r="E757" s="9" t="str">
        <f>IF(D757&lt;'3_Summary_Tables'!$C$16,"Low",IF(D757&lt;'3_Summary_Tables'!$C$17,"Medium","High"))</f>
        <v>High</v>
      </c>
      <c r="F757" s="12">
        <f>INDEX('2_Clean_Data'!$C$2:$C$1360,MATCH($A757,'2_Clean_Data'!$A$2:$A$1360,0))</f>
        <v>0.38</v>
      </c>
      <c r="G757" s="10">
        <f>INDEX('2_Clean_Data'!$H$2:$H$1360,MATCH($A757,'2_Clean_Data'!$A$2:$A$1360,0))</f>
        <v>10</v>
      </c>
      <c r="H757" s="9" t="str">
        <f t="shared" si="45"/>
        <v>Low</v>
      </c>
      <c r="I757" s="9" t="str">
        <f t="shared" si="46"/>
        <v>OK</v>
      </c>
      <c r="J757" s="9" t="str">
        <f t="shared" si="47"/>
        <v>Premium</v>
      </c>
    </row>
    <row r="758" spans="1:10" x14ac:dyDescent="0.3">
      <c r="A758" s="10">
        <f>'2_Clean_Data'!A755</f>
        <v>754</v>
      </c>
      <c r="B758" s="10">
        <f>INDEX('2_Clean_Data'!$M$2:$M$1360,MATCH($A758,'2_Clean_Data'!$A$2:$A$1360,0))</f>
        <v>7</v>
      </c>
      <c r="C758" s="9" t="str">
        <f t="shared" si="44"/>
        <v>Good</v>
      </c>
      <c r="D758" s="11">
        <f>INDEX('2_Clean_Data'!$L$2:$L$1360,MATCH($A758,'2_Clean_Data'!$A$2:$A$1360,0))</f>
        <v>11.8</v>
      </c>
      <c r="E758" s="9" t="str">
        <f>IF(D758&lt;'3_Summary_Tables'!$C$16,"Low",IF(D758&lt;'3_Summary_Tables'!$C$17,"Medium","High"))</f>
        <v>High</v>
      </c>
      <c r="F758" s="12">
        <f>INDEX('2_Clean_Data'!$C$2:$C$1360,MATCH($A758,'2_Clean_Data'!$A$2:$A$1360,0))</f>
        <v>0.31</v>
      </c>
      <c r="G758" s="10">
        <f>INDEX('2_Clean_Data'!$H$2:$H$1360,MATCH($A758,'2_Clean_Data'!$A$2:$A$1360,0))</f>
        <v>16</v>
      </c>
      <c r="H758" s="9" t="str">
        <f t="shared" si="45"/>
        <v>Low</v>
      </c>
      <c r="I758" s="9" t="str">
        <f t="shared" si="46"/>
        <v>OK</v>
      </c>
      <c r="J758" s="9" t="str">
        <f t="shared" si="47"/>
        <v>Premium</v>
      </c>
    </row>
    <row r="759" spans="1:10" x14ac:dyDescent="0.3">
      <c r="A759" s="10">
        <f>'2_Clean_Data'!A756</f>
        <v>755</v>
      </c>
      <c r="B759" s="10">
        <f>INDEX('2_Clean_Data'!$M$2:$M$1360,MATCH($A759,'2_Clean_Data'!$A$2:$A$1360,0))</f>
        <v>4</v>
      </c>
      <c r="C759" s="9" t="str">
        <f t="shared" si="44"/>
        <v>Poor</v>
      </c>
      <c r="D759" s="11">
        <f>INDEX('2_Clean_Data'!$L$2:$L$1360,MATCH($A759,'2_Clean_Data'!$A$2:$A$1360,0))</f>
        <v>10.9</v>
      </c>
      <c r="E759" s="9" t="str">
        <f>IF(D759&lt;'3_Summary_Tables'!$C$16,"Low",IF(D759&lt;'3_Summary_Tables'!$C$17,"Medium","High"))</f>
        <v>Medium</v>
      </c>
      <c r="F759" s="12">
        <f>INDEX('2_Clean_Data'!$C$2:$C$1360,MATCH($A759,'2_Clean_Data'!$A$2:$A$1360,0))</f>
        <v>0.47</v>
      </c>
      <c r="G759" s="10">
        <f>INDEX('2_Clean_Data'!$H$2:$H$1360,MATCH($A759,'2_Clean_Data'!$A$2:$A$1360,0))</f>
        <v>14</v>
      </c>
      <c r="H759" s="9" t="str">
        <f t="shared" si="45"/>
        <v>Low</v>
      </c>
      <c r="I759" s="9" t="str">
        <f t="shared" si="46"/>
        <v>OK</v>
      </c>
      <c r="J759" s="9" t="str">
        <f t="shared" si="47"/>
        <v>Poor</v>
      </c>
    </row>
    <row r="760" spans="1:10" x14ac:dyDescent="0.3">
      <c r="A760" s="10">
        <f>'2_Clean_Data'!A757</f>
        <v>756</v>
      </c>
      <c r="B760" s="10">
        <f>INDEX('2_Clean_Data'!$M$2:$M$1360,MATCH($A760,'2_Clean_Data'!$A$2:$A$1360,0))</f>
        <v>6</v>
      </c>
      <c r="C760" s="9" t="str">
        <f t="shared" si="44"/>
        <v>Above Average</v>
      </c>
      <c r="D760" s="11">
        <f>INDEX('2_Clean_Data'!$L$2:$L$1360,MATCH($A760,'2_Clean_Data'!$A$2:$A$1360,0))</f>
        <v>10</v>
      </c>
      <c r="E760" s="9" t="str">
        <f>IF(D760&lt;'3_Summary_Tables'!$C$16,"Low",IF(D760&lt;'3_Summary_Tables'!$C$17,"Medium","High"))</f>
        <v>Medium</v>
      </c>
      <c r="F760" s="12">
        <f>INDEX('2_Clean_Data'!$C$2:$C$1360,MATCH($A760,'2_Clean_Data'!$A$2:$A$1360,0))</f>
        <v>0.61</v>
      </c>
      <c r="G760" s="10">
        <f>INDEX('2_Clean_Data'!$H$2:$H$1360,MATCH($A760,'2_Clean_Data'!$A$2:$A$1360,0))</f>
        <v>69</v>
      </c>
      <c r="H760" s="9" t="str">
        <f t="shared" si="45"/>
        <v>Moderate</v>
      </c>
      <c r="I760" s="9" t="str">
        <f t="shared" si="46"/>
        <v>OK</v>
      </c>
      <c r="J760" s="9" t="str">
        <f t="shared" si="47"/>
        <v>Solid</v>
      </c>
    </row>
    <row r="761" spans="1:10" x14ac:dyDescent="0.3">
      <c r="A761" s="10">
        <f>'2_Clean_Data'!A758</f>
        <v>757</v>
      </c>
      <c r="B761" s="10">
        <f>INDEX('2_Clean_Data'!$M$2:$M$1360,MATCH($A761,'2_Clean_Data'!$A$2:$A$1360,0))</f>
        <v>5</v>
      </c>
      <c r="C761" s="9" t="str">
        <f t="shared" si="44"/>
        <v>Average</v>
      </c>
      <c r="D761" s="11">
        <f>INDEX('2_Clean_Data'!$L$2:$L$1360,MATCH($A761,'2_Clean_Data'!$A$2:$A$1360,0))</f>
        <v>9.5</v>
      </c>
      <c r="E761" s="9" t="str">
        <f>IF(D761&lt;'3_Summary_Tables'!$C$16,"Low",IF(D761&lt;'3_Summary_Tables'!$C$17,"Medium","High"))</f>
        <v>Low</v>
      </c>
      <c r="F761" s="12">
        <f>INDEX('2_Clean_Data'!$C$2:$C$1360,MATCH($A761,'2_Clean_Data'!$A$2:$A$1360,0))</f>
        <v>0.6</v>
      </c>
      <c r="G761" s="10">
        <f>INDEX('2_Clean_Data'!$H$2:$H$1360,MATCH($A761,'2_Clean_Data'!$A$2:$A$1360,0))</f>
        <v>88</v>
      </c>
      <c r="H761" s="9" t="str">
        <f t="shared" si="45"/>
        <v>Moderate</v>
      </c>
      <c r="I761" s="9" t="str">
        <f t="shared" si="46"/>
        <v>OK</v>
      </c>
      <c r="J761" s="9" t="str">
        <f t="shared" si="47"/>
        <v>Standard</v>
      </c>
    </row>
    <row r="762" spans="1:10" x14ac:dyDescent="0.3">
      <c r="A762" s="10">
        <f>'2_Clean_Data'!A759</f>
        <v>758</v>
      </c>
      <c r="B762" s="10">
        <f>INDEX('2_Clean_Data'!$M$2:$M$1360,MATCH($A762,'2_Clean_Data'!$A$2:$A$1360,0))</f>
        <v>5</v>
      </c>
      <c r="C762" s="9" t="str">
        <f t="shared" si="44"/>
        <v>Average</v>
      </c>
      <c r="D762" s="11">
        <f>INDEX('2_Clean_Data'!$L$2:$L$1360,MATCH($A762,'2_Clean_Data'!$A$2:$A$1360,0))</f>
        <v>9.9</v>
      </c>
      <c r="E762" s="9" t="str">
        <f>IF(D762&lt;'3_Summary_Tables'!$C$16,"Low",IF(D762&lt;'3_Summary_Tables'!$C$17,"Medium","High"))</f>
        <v>Low</v>
      </c>
      <c r="F762" s="12">
        <f>INDEX('2_Clean_Data'!$C$2:$C$1360,MATCH($A762,'2_Clean_Data'!$A$2:$A$1360,0))</f>
        <v>0.56000000000000005</v>
      </c>
      <c r="G762" s="10">
        <f>INDEX('2_Clean_Data'!$H$2:$H$1360,MATCH($A762,'2_Clean_Data'!$A$2:$A$1360,0))</f>
        <v>21</v>
      </c>
      <c r="H762" s="9" t="str">
        <f t="shared" si="45"/>
        <v>Low</v>
      </c>
      <c r="I762" s="9" t="str">
        <f t="shared" si="46"/>
        <v>OK</v>
      </c>
      <c r="J762" s="9" t="str">
        <f t="shared" si="47"/>
        <v>Standard</v>
      </c>
    </row>
    <row r="763" spans="1:10" x14ac:dyDescent="0.3">
      <c r="A763" s="10">
        <f>'2_Clean_Data'!A760</f>
        <v>759</v>
      </c>
      <c r="B763" s="10">
        <f>INDEX('2_Clean_Data'!$M$2:$M$1360,MATCH($A763,'2_Clean_Data'!$A$2:$A$1360,0))</f>
        <v>6</v>
      </c>
      <c r="C763" s="9" t="str">
        <f t="shared" si="44"/>
        <v>Above Average</v>
      </c>
      <c r="D763" s="11">
        <f>INDEX('2_Clean_Data'!$L$2:$L$1360,MATCH($A763,'2_Clean_Data'!$A$2:$A$1360,0))</f>
        <v>11.4</v>
      </c>
      <c r="E763" s="9" t="str">
        <f>IF(D763&lt;'3_Summary_Tables'!$C$16,"Low",IF(D763&lt;'3_Summary_Tables'!$C$17,"Medium","High"))</f>
        <v>Medium</v>
      </c>
      <c r="F763" s="12">
        <f>INDEX('2_Clean_Data'!$C$2:$C$1360,MATCH($A763,'2_Clean_Data'!$A$2:$A$1360,0))</f>
        <v>0.71499999999999997</v>
      </c>
      <c r="G763" s="10">
        <f>INDEX('2_Clean_Data'!$H$2:$H$1360,MATCH($A763,'2_Clean_Data'!$A$2:$A$1360,0))</f>
        <v>35</v>
      </c>
      <c r="H763" s="9" t="str">
        <f t="shared" si="45"/>
        <v>Low</v>
      </c>
      <c r="I763" s="9" t="str">
        <f t="shared" si="46"/>
        <v>Above limit</v>
      </c>
      <c r="J763" s="9" t="str">
        <f t="shared" si="47"/>
        <v>Standard</v>
      </c>
    </row>
    <row r="764" spans="1:10" x14ac:dyDescent="0.3">
      <c r="A764" s="10">
        <f>'2_Clean_Data'!A761</f>
        <v>760</v>
      </c>
      <c r="B764" s="10">
        <f>INDEX('2_Clean_Data'!$M$2:$M$1360,MATCH($A764,'2_Clean_Data'!$A$2:$A$1360,0))</f>
        <v>6</v>
      </c>
      <c r="C764" s="9" t="str">
        <f t="shared" si="44"/>
        <v>Above Average</v>
      </c>
      <c r="D764" s="11">
        <f>INDEX('2_Clean_Data'!$L$2:$L$1360,MATCH($A764,'2_Clean_Data'!$A$2:$A$1360,0))</f>
        <v>12</v>
      </c>
      <c r="E764" s="9" t="str">
        <f>IF(D764&lt;'3_Summary_Tables'!$C$16,"Low",IF(D764&lt;'3_Summary_Tables'!$C$17,"Medium","High"))</f>
        <v>High</v>
      </c>
      <c r="F764" s="12">
        <f>INDEX('2_Clean_Data'!$C$2:$C$1360,MATCH($A764,'2_Clean_Data'!$A$2:$A$1360,0))</f>
        <v>0.31</v>
      </c>
      <c r="G764" s="10">
        <f>INDEX('2_Clean_Data'!$H$2:$H$1360,MATCH($A764,'2_Clean_Data'!$A$2:$A$1360,0))</f>
        <v>26</v>
      </c>
      <c r="H764" s="9" t="str">
        <f t="shared" si="45"/>
        <v>Low</v>
      </c>
      <c r="I764" s="9" t="str">
        <f t="shared" si="46"/>
        <v>OK</v>
      </c>
      <c r="J764" s="9" t="str">
        <f t="shared" si="47"/>
        <v>Solid</v>
      </c>
    </row>
    <row r="765" spans="1:10" x14ac:dyDescent="0.3">
      <c r="A765" s="10">
        <f>'2_Clean_Data'!A762</f>
        <v>761</v>
      </c>
      <c r="B765" s="10">
        <f>INDEX('2_Clean_Data'!$M$2:$M$1360,MATCH($A765,'2_Clean_Data'!$A$2:$A$1360,0))</f>
        <v>5</v>
      </c>
      <c r="C765" s="9" t="str">
        <f t="shared" si="44"/>
        <v>Average</v>
      </c>
      <c r="D765" s="11">
        <f>INDEX('2_Clean_Data'!$L$2:$L$1360,MATCH($A765,'2_Clean_Data'!$A$2:$A$1360,0))</f>
        <v>10.5</v>
      </c>
      <c r="E765" s="9" t="str">
        <f>IF(D765&lt;'3_Summary_Tables'!$C$16,"Low",IF(D765&lt;'3_Summary_Tables'!$C$17,"Medium","High"))</f>
        <v>Medium</v>
      </c>
      <c r="F765" s="12">
        <f>INDEX('2_Clean_Data'!$C$2:$C$1360,MATCH($A765,'2_Clean_Data'!$A$2:$A$1360,0))</f>
        <v>0.75</v>
      </c>
      <c r="G765" s="10">
        <f>INDEX('2_Clean_Data'!$H$2:$H$1360,MATCH($A765,'2_Clean_Data'!$A$2:$A$1360,0))</f>
        <v>30</v>
      </c>
      <c r="H765" s="9" t="str">
        <f t="shared" si="45"/>
        <v>Low</v>
      </c>
      <c r="I765" s="9" t="str">
        <f t="shared" si="46"/>
        <v>Above limit</v>
      </c>
      <c r="J765" s="9" t="str">
        <f t="shared" si="47"/>
        <v>Standard</v>
      </c>
    </row>
    <row r="766" spans="1:10" x14ac:dyDescent="0.3">
      <c r="A766" s="10">
        <f>'2_Clean_Data'!A763</f>
        <v>762</v>
      </c>
      <c r="B766" s="10">
        <f>INDEX('2_Clean_Data'!$M$2:$M$1360,MATCH($A766,'2_Clean_Data'!$A$2:$A$1360,0))</f>
        <v>6</v>
      </c>
      <c r="C766" s="9" t="str">
        <f t="shared" si="44"/>
        <v>Above Average</v>
      </c>
      <c r="D766" s="11">
        <f>INDEX('2_Clean_Data'!$L$2:$L$1360,MATCH($A766,'2_Clean_Data'!$A$2:$A$1360,0))</f>
        <v>10.4</v>
      </c>
      <c r="E766" s="9" t="str">
        <f>IF(D766&lt;'3_Summary_Tables'!$C$16,"Low",IF(D766&lt;'3_Summary_Tables'!$C$17,"Medium","High"))</f>
        <v>Medium</v>
      </c>
      <c r="F766" s="12">
        <f>INDEX('2_Clean_Data'!$C$2:$C$1360,MATCH($A766,'2_Clean_Data'!$A$2:$A$1360,0))</f>
        <v>0.8</v>
      </c>
      <c r="G766" s="10">
        <f>INDEX('2_Clean_Data'!$H$2:$H$1360,MATCH($A766,'2_Clean_Data'!$A$2:$A$1360,0))</f>
        <v>28</v>
      </c>
      <c r="H766" s="9" t="str">
        <f t="shared" si="45"/>
        <v>Low</v>
      </c>
      <c r="I766" s="9" t="str">
        <f t="shared" si="46"/>
        <v>Above limit</v>
      </c>
      <c r="J766" s="9" t="str">
        <f t="shared" si="47"/>
        <v>Standard</v>
      </c>
    </row>
    <row r="767" spans="1:10" x14ac:dyDescent="0.3">
      <c r="A767" s="10">
        <f>'2_Clean_Data'!A764</f>
        <v>763</v>
      </c>
      <c r="B767" s="10">
        <f>INDEX('2_Clean_Data'!$M$2:$M$1360,MATCH($A767,'2_Clean_Data'!$A$2:$A$1360,0))</f>
        <v>7</v>
      </c>
      <c r="C767" s="9" t="str">
        <f t="shared" si="44"/>
        <v>Good</v>
      </c>
      <c r="D767" s="11">
        <f>INDEX('2_Clean_Data'!$L$2:$L$1360,MATCH($A767,'2_Clean_Data'!$A$2:$A$1360,0))</f>
        <v>12.1</v>
      </c>
      <c r="E767" s="9" t="str">
        <f>IF(D767&lt;'3_Summary_Tables'!$C$16,"Low",IF(D767&lt;'3_Summary_Tables'!$C$17,"Medium","High"))</f>
        <v>High</v>
      </c>
      <c r="F767" s="12">
        <f>INDEX('2_Clean_Data'!$C$2:$C$1360,MATCH($A767,'2_Clean_Data'!$A$2:$A$1360,0))</f>
        <v>0.52</v>
      </c>
      <c r="G767" s="10">
        <f>INDEX('2_Clean_Data'!$H$2:$H$1360,MATCH($A767,'2_Clean_Data'!$A$2:$A$1360,0))</f>
        <v>56</v>
      </c>
      <c r="H767" s="9" t="str">
        <f t="shared" si="45"/>
        <v>Moderate</v>
      </c>
      <c r="I767" s="9" t="str">
        <f t="shared" si="46"/>
        <v>OK</v>
      </c>
      <c r="J767" s="9" t="str">
        <f t="shared" si="47"/>
        <v>Premium</v>
      </c>
    </row>
    <row r="768" spans="1:10" x14ac:dyDescent="0.3">
      <c r="A768" s="10">
        <f>'2_Clean_Data'!A765</f>
        <v>764</v>
      </c>
      <c r="B768" s="10">
        <f>INDEX('2_Clean_Data'!$M$2:$M$1360,MATCH($A768,'2_Clean_Data'!$A$2:$A$1360,0))</f>
        <v>6</v>
      </c>
      <c r="C768" s="9" t="str">
        <f t="shared" si="44"/>
        <v>Above Average</v>
      </c>
      <c r="D768" s="11">
        <f>INDEX('2_Clean_Data'!$L$2:$L$1360,MATCH($A768,'2_Clean_Data'!$A$2:$A$1360,0))</f>
        <v>11.2</v>
      </c>
      <c r="E768" s="9" t="str">
        <f>IF(D768&lt;'3_Summary_Tables'!$C$16,"Low",IF(D768&lt;'3_Summary_Tables'!$C$17,"Medium","High"))</f>
        <v>Medium</v>
      </c>
      <c r="F768" s="12">
        <f>INDEX('2_Clean_Data'!$C$2:$C$1360,MATCH($A768,'2_Clean_Data'!$A$2:$A$1360,0))</f>
        <v>0.56999999999999995</v>
      </c>
      <c r="G768" s="10">
        <f>INDEX('2_Clean_Data'!$H$2:$H$1360,MATCH($A768,'2_Clean_Data'!$A$2:$A$1360,0))</f>
        <v>64</v>
      </c>
      <c r="H768" s="9" t="str">
        <f t="shared" si="45"/>
        <v>Moderate</v>
      </c>
      <c r="I768" s="9" t="str">
        <f t="shared" si="46"/>
        <v>OK</v>
      </c>
      <c r="J768" s="9" t="str">
        <f t="shared" si="47"/>
        <v>Solid</v>
      </c>
    </row>
    <row r="769" spans="1:10" x14ac:dyDescent="0.3">
      <c r="A769" s="10">
        <f>'2_Clean_Data'!A766</f>
        <v>765</v>
      </c>
      <c r="B769" s="10">
        <f>INDEX('2_Clean_Data'!$M$2:$M$1360,MATCH($A769,'2_Clean_Data'!$A$2:$A$1360,0))</f>
        <v>5</v>
      </c>
      <c r="C769" s="9" t="str">
        <f t="shared" si="44"/>
        <v>Average</v>
      </c>
      <c r="D769" s="11">
        <f>INDEX('2_Clean_Data'!$L$2:$L$1360,MATCH($A769,'2_Clean_Data'!$A$2:$A$1360,0))</f>
        <v>9.3000000000000007</v>
      </c>
      <c r="E769" s="9" t="str">
        <f>IF(D769&lt;'3_Summary_Tables'!$C$16,"Low",IF(D769&lt;'3_Summary_Tables'!$C$17,"Medium","High"))</f>
        <v>Low</v>
      </c>
      <c r="F769" s="12">
        <f>INDEX('2_Clean_Data'!$C$2:$C$1360,MATCH($A769,'2_Clean_Data'!$A$2:$A$1360,0))</f>
        <v>0.9</v>
      </c>
      <c r="G769" s="10">
        <f>INDEX('2_Clean_Data'!$H$2:$H$1360,MATCH($A769,'2_Clean_Data'!$A$2:$A$1360,0))</f>
        <v>99</v>
      </c>
      <c r="H769" s="9" t="str">
        <f t="shared" si="45"/>
        <v>Moderate</v>
      </c>
      <c r="I769" s="9" t="str">
        <f t="shared" si="46"/>
        <v>Above limit</v>
      </c>
      <c r="J769" s="9" t="str">
        <f t="shared" si="47"/>
        <v>Standard</v>
      </c>
    </row>
    <row r="770" spans="1:10" x14ac:dyDescent="0.3">
      <c r="A770" s="10">
        <f>'2_Clean_Data'!A767</f>
        <v>766</v>
      </c>
      <c r="B770" s="10">
        <f>INDEX('2_Clean_Data'!$M$2:$M$1360,MATCH($A770,'2_Clean_Data'!$A$2:$A$1360,0))</f>
        <v>5</v>
      </c>
      <c r="C770" s="9" t="str">
        <f t="shared" si="44"/>
        <v>Average</v>
      </c>
      <c r="D770" s="11">
        <f>INDEX('2_Clean_Data'!$L$2:$L$1360,MATCH($A770,'2_Clean_Data'!$A$2:$A$1360,0))</f>
        <v>10.1</v>
      </c>
      <c r="E770" s="9" t="str">
        <f>IF(D770&lt;'3_Summary_Tables'!$C$16,"Low",IF(D770&lt;'3_Summary_Tables'!$C$17,"Medium","High"))</f>
        <v>Medium</v>
      </c>
      <c r="F770" s="12">
        <f>INDEX('2_Clean_Data'!$C$2:$C$1360,MATCH($A770,'2_Clean_Data'!$A$2:$A$1360,0))</f>
        <v>0.34</v>
      </c>
      <c r="G770" s="10">
        <f>INDEX('2_Clean_Data'!$H$2:$H$1360,MATCH($A770,'2_Clean_Data'!$A$2:$A$1360,0))</f>
        <v>52</v>
      </c>
      <c r="H770" s="9" t="str">
        <f t="shared" si="45"/>
        <v>Moderate</v>
      </c>
      <c r="I770" s="9" t="str">
        <f t="shared" si="46"/>
        <v>OK</v>
      </c>
      <c r="J770" s="9" t="str">
        <f t="shared" si="47"/>
        <v>Standard</v>
      </c>
    </row>
    <row r="771" spans="1:10" x14ac:dyDescent="0.3">
      <c r="A771" s="10">
        <f>'2_Clean_Data'!A768</f>
        <v>767</v>
      </c>
      <c r="B771" s="10">
        <f>INDEX('2_Clean_Data'!$M$2:$M$1360,MATCH($A771,'2_Clean_Data'!$A$2:$A$1360,0))</f>
        <v>5</v>
      </c>
      <c r="C771" s="9" t="str">
        <f t="shared" si="44"/>
        <v>Average</v>
      </c>
      <c r="D771" s="11">
        <f>INDEX('2_Clean_Data'!$L$2:$L$1360,MATCH($A771,'2_Clean_Data'!$A$2:$A$1360,0))</f>
        <v>9.6999999999999993</v>
      </c>
      <c r="E771" s="9" t="str">
        <f>IF(D771&lt;'3_Summary_Tables'!$C$16,"Low",IF(D771&lt;'3_Summary_Tables'!$C$17,"Medium","High"))</f>
        <v>Low</v>
      </c>
      <c r="F771" s="12">
        <f>INDEX('2_Clean_Data'!$C$2:$C$1360,MATCH($A771,'2_Clean_Data'!$A$2:$A$1360,0))</f>
        <v>0.66</v>
      </c>
      <c r="G771" s="10">
        <f>INDEX('2_Clean_Data'!$H$2:$H$1360,MATCH($A771,'2_Clean_Data'!$A$2:$A$1360,0))</f>
        <v>86</v>
      </c>
      <c r="H771" s="9" t="str">
        <f t="shared" si="45"/>
        <v>Moderate</v>
      </c>
      <c r="I771" s="9" t="str">
        <f t="shared" si="46"/>
        <v>OK</v>
      </c>
      <c r="J771" s="9" t="str">
        <f t="shared" si="47"/>
        <v>Standard</v>
      </c>
    </row>
    <row r="772" spans="1:10" x14ac:dyDescent="0.3">
      <c r="A772" s="10">
        <f>'2_Clean_Data'!A769</f>
        <v>768</v>
      </c>
      <c r="B772" s="10">
        <f>INDEX('2_Clean_Data'!$M$2:$M$1360,MATCH($A772,'2_Clean_Data'!$A$2:$A$1360,0))</f>
        <v>6</v>
      </c>
      <c r="C772" s="9" t="str">
        <f t="shared" si="44"/>
        <v>Above Average</v>
      </c>
      <c r="D772" s="11">
        <f>INDEX('2_Clean_Data'!$L$2:$L$1360,MATCH($A772,'2_Clean_Data'!$A$2:$A$1360,0))</f>
        <v>9.3000000000000007</v>
      </c>
      <c r="E772" s="9" t="str">
        <f>IF(D772&lt;'3_Summary_Tables'!$C$16,"Low",IF(D772&lt;'3_Summary_Tables'!$C$17,"Medium","High"))</f>
        <v>Low</v>
      </c>
      <c r="F772" s="12">
        <f>INDEX('2_Clean_Data'!$C$2:$C$1360,MATCH($A772,'2_Clean_Data'!$A$2:$A$1360,0))</f>
        <v>0.45</v>
      </c>
      <c r="G772" s="10">
        <f>INDEX('2_Clean_Data'!$H$2:$H$1360,MATCH($A772,'2_Clean_Data'!$A$2:$A$1360,0))</f>
        <v>18</v>
      </c>
      <c r="H772" s="9" t="str">
        <f t="shared" si="45"/>
        <v>Low</v>
      </c>
      <c r="I772" s="9" t="str">
        <f t="shared" si="46"/>
        <v>OK</v>
      </c>
      <c r="J772" s="9" t="str">
        <f t="shared" si="47"/>
        <v>Solid</v>
      </c>
    </row>
    <row r="773" spans="1:10" x14ac:dyDescent="0.3">
      <c r="A773" s="10">
        <f>'2_Clean_Data'!A770</f>
        <v>769</v>
      </c>
      <c r="B773" s="10">
        <f>INDEX('2_Clean_Data'!$M$2:$M$1360,MATCH($A773,'2_Clean_Data'!$A$2:$A$1360,0))</f>
        <v>6</v>
      </c>
      <c r="C773" s="9" t="str">
        <f t="shared" ref="C773:C836" si="48">VLOOKUP(B773,$L$12:$N$17,2,FALSE())</f>
        <v>Above Average</v>
      </c>
      <c r="D773" s="11">
        <f>INDEX('2_Clean_Data'!$L$2:$L$1360,MATCH($A773,'2_Clean_Data'!$A$2:$A$1360,0))</f>
        <v>9.8000000000000007</v>
      </c>
      <c r="E773" s="9" t="str">
        <f>IF(D773&lt;'3_Summary_Tables'!$C$16,"Low",IF(D773&lt;'3_Summary_Tables'!$C$17,"Medium","High"))</f>
        <v>Low</v>
      </c>
      <c r="F773" s="12">
        <f>INDEX('2_Clean_Data'!$C$2:$C$1360,MATCH($A773,'2_Clean_Data'!$A$2:$A$1360,0))</f>
        <v>0.63</v>
      </c>
      <c r="G773" s="10">
        <f>INDEX('2_Clean_Data'!$H$2:$H$1360,MATCH($A773,'2_Clean_Data'!$A$2:$A$1360,0))</f>
        <v>88</v>
      </c>
      <c r="H773" s="9" t="str">
        <f t="shared" ref="H773:H836" si="49">IF(G773&gt;$M$8,"High",IF(G773&gt;$M$7,"Moderate","Low"))</f>
        <v>Moderate</v>
      </c>
      <c r="I773" s="9" t="str">
        <f t="shared" ref="I773:I836" si="50">IF(F773&gt;$M$6,"Above limit","OK")</f>
        <v>OK</v>
      </c>
      <c r="J773" s="9" t="str">
        <f t="shared" ref="J773:J836" si="51">IF(AND(B773&gt;=7,E773="High"),"Premium",IF(AND(B773&gt;=6,I773="OK"),"Solid",IF(B773&lt;=4,"Poor","Standard")))</f>
        <v>Solid</v>
      </c>
    </row>
    <row r="774" spans="1:10" x14ac:dyDescent="0.3">
      <c r="A774" s="10">
        <f>'2_Clean_Data'!A771</f>
        <v>770</v>
      </c>
      <c r="B774" s="10">
        <f>INDEX('2_Clean_Data'!$M$2:$M$1360,MATCH($A774,'2_Clean_Data'!$A$2:$A$1360,0))</f>
        <v>6</v>
      </c>
      <c r="C774" s="9" t="str">
        <f t="shared" si="48"/>
        <v>Above Average</v>
      </c>
      <c r="D774" s="11">
        <f>INDEX('2_Clean_Data'!$L$2:$L$1360,MATCH($A774,'2_Clean_Data'!$A$2:$A$1360,0))</f>
        <v>10.7</v>
      </c>
      <c r="E774" s="9" t="str">
        <f>IF(D774&lt;'3_Summary_Tables'!$C$16,"Low",IF(D774&lt;'3_Summary_Tables'!$C$17,"Medium","High"))</f>
        <v>Medium</v>
      </c>
      <c r="F774" s="12">
        <f>INDEX('2_Clean_Data'!$C$2:$C$1360,MATCH($A774,'2_Clean_Data'!$A$2:$A$1360,0))</f>
        <v>0.59</v>
      </c>
      <c r="G774" s="10">
        <f>INDEX('2_Clean_Data'!$H$2:$H$1360,MATCH($A774,'2_Clean_Data'!$A$2:$A$1360,0))</f>
        <v>43</v>
      </c>
      <c r="H774" s="9" t="str">
        <f t="shared" si="49"/>
        <v>Low</v>
      </c>
      <c r="I774" s="9" t="str">
        <f t="shared" si="50"/>
        <v>OK</v>
      </c>
      <c r="J774" s="9" t="str">
        <f t="shared" si="51"/>
        <v>Solid</v>
      </c>
    </row>
    <row r="775" spans="1:10" x14ac:dyDescent="0.3">
      <c r="A775" s="10">
        <f>'2_Clean_Data'!A772</f>
        <v>771</v>
      </c>
      <c r="B775" s="10">
        <f>INDEX('2_Clean_Data'!$M$2:$M$1360,MATCH($A775,'2_Clean_Data'!$A$2:$A$1360,0))</f>
        <v>7</v>
      </c>
      <c r="C775" s="9" t="str">
        <f t="shared" si="48"/>
        <v>Good</v>
      </c>
      <c r="D775" s="11">
        <f>INDEX('2_Clean_Data'!$L$2:$L$1360,MATCH($A775,'2_Clean_Data'!$A$2:$A$1360,0))</f>
        <v>12.5</v>
      </c>
      <c r="E775" s="9" t="str">
        <f>IF(D775&lt;'3_Summary_Tables'!$C$16,"Low",IF(D775&lt;'3_Summary_Tables'!$C$17,"Medium","High"))</f>
        <v>High</v>
      </c>
      <c r="F775" s="12">
        <f>INDEX('2_Clean_Data'!$C$2:$C$1360,MATCH($A775,'2_Clean_Data'!$A$2:$A$1360,0))</f>
        <v>0.31</v>
      </c>
      <c r="G775" s="10">
        <f>INDEX('2_Clean_Data'!$H$2:$H$1360,MATCH($A775,'2_Clean_Data'!$A$2:$A$1360,0))</f>
        <v>43</v>
      </c>
      <c r="H775" s="9" t="str">
        <f t="shared" si="49"/>
        <v>Low</v>
      </c>
      <c r="I775" s="9" t="str">
        <f t="shared" si="50"/>
        <v>OK</v>
      </c>
      <c r="J775" s="9" t="str">
        <f t="shared" si="51"/>
        <v>Premium</v>
      </c>
    </row>
    <row r="776" spans="1:10" x14ac:dyDescent="0.3">
      <c r="A776" s="10">
        <f>'2_Clean_Data'!A773</f>
        <v>772</v>
      </c>
      <c r="B776" s="10">
        <f>INDEX('2_Clean_Data'!$M$2:$M$1360,MATCH($A776,'2_Clean_Data'!$A$2:$A$1360,0))</f>
        <v>3</v>
      </c>
      <c r="C776" s="9" t="str">
        <f t="shared" si="48"/>
        <v>Poor</v>
      </c>
      <c r="D776" s="11">
        <f>INDEX('2_Clean_Data'!$L$2:$L$1360,MATCH($A776,'2_Clean_Data'!$A$2:$A$1360,0))</f>
        <v>11</v>
      </c>
      <c r="E776" s="9" t="str">
        <f>IF(D776&lt;'3_Summary_Tables'!$C$16,"Low",IF(D776&lt;'3_Summary_Tables'!$C$17,"Medium","High"))</f>
        <v>Medium</v>
      </c>
      <c r="F776" s="12">
        <f>INDEX('2_Clean_Data'!$C$2:$C$1360,MATCH($A776,'2_Clean_Data'!$A$2:$A$1360,0))</f>
        <v>1.02</v>
      </c>
      <c r="G776" s="10">
        <f>INDEX('2_Clean_Data'!$H$2:$H$1360,MATCH($A776,'2_Clean_Data'!$A$2:$A$1360,0))</f>
        <v>11</v>
      </c>
      <c r="H776" s="9" t="str">
        <f t="shared" si="49"/>
        <v>Low</v>
      </c>
      <c r="I776" s="9" t="str">
        <f t="shared" si="50"/>
        <v>Above limit</v>
      </c>
      <c r="J776" s="9" t="str">
        <f t="shared" si="51"/>
        <v>Poor</v>
      </c>
    </row>
    <row r="777" spans="1:10" x14ac:dyDescent="0.3">
      <c r="A777" s="10">
        <f>'2_Clean_Data'!A774</f>
        <v>773</v>
      </c>
      <c r="B777" s="10">
        <f>INDEX('2_Clean_Data'!$M$2:$M$1360,MATCH($A777,'2_Clean_Data'!$A$2:$A$1360,0))</f>
        <v>5</v>
      </c>
      <c r="C777" s="9" t="str">
        <f t="shared" si="48"/>
        <v>Average</v>
      </c>
      <c r="D777" s="11">
        <f>INDEX('2_Clean_Data'!$L$2:$L$1360,MATCH($A777,'2_Clean_Data'!$A$2:$A$1360,0))</f>
        <v>11.8</v>
      </c>
      <c r="E777" s="9" t="str">
        <f>IF(D777&lt;'3_Summary_Tables'!$C$16,"Low",IF(D777&lt;'3_Summary_Tables'!$C$17,"Medium","High"))</f>
        <v>High</v>
      </c>
      <c r="F777" s="12">
        <f>INDEX('2_Clean_Data'!$C$2:$C$1360,MATCH($A777,'2_Clean_Data'!$A$2:$A$1360,0))</f>
        <v>0.31</v>
      </c>
      <c r="G777" s="10">
        <f>INDEX('2_Clean_Data'!$H$2:$H$1360,MATCH($A777,'2_Clean_Data'!$A$2:$A$1360,0))</f>
        <v>39</v>
      </c>
      <c r="H777" s="9" t="str">
        <f t="shared" si="49"/>
        <v>Low</v>
      </c>
      <c r="I777" s="9" t="str">
        <f t="shared" si="50"/>
        <v>OK</v>
      </c>
      <c r="J777" s="9" t="str">
        <f t="shared" si="51"/>
        <v>Standard</v>
      </c>
    </row>
    <row r="778" spans="1:10" x14ac:dyDescent="0.3">
      <c r="A778" s="10">
        <f>'2_Clean_Data'!A775</f>
        <v>774</v>
      </c>
      <c r="B778" s="10">
        <f>INDEX('2_Clean_Data'!$M$2:$M$1360,MATCH($A778,'2_Clean_Data'!$A$2:$A$1360,0))</f>
        <v>7</v>
      </c>
      <c r="C778" s="9" t="str">
        <f t="shared" si="48"/>
        <v>Good</v>
      </c>
      <c r="D778" s="11">
        <f>INDEX('2_Clean_Data'!$L$2:$L$1360,MATCH($A778,'2_Clean_Data'!$A$2:$A$1360,0))</f>
        <v>10.8</v>
      </c>
      <c r="E778" s="9" t="str">
        <f>IF(D778&lt;'3_Summary_Tables'!$C$16,"Low",IF(D778&lt;'3_Summary_Tables'!$C$17,"Medium","High"))</f>
        <v>Medium</v>
      </c>
      <c r="F778" s="12">
        <f>INDEX('2_Clean_Data'!$C$2:$C$1360,MATCH($A778,'2_Clean_Data'!$A$2:$A$1360,0))</f>
        <v>0.63500000000000001</v>
      </c>
      <c r="G778" s="10">
        <f>INDEX('2_Clean_Data'!$H$2:$H$1360,MATCH($A778,'2_Clean_Data'!$A$2:$A$1360,0))</f>
        <v>33</v>
      </c>
      <c r="H778" s="9" t="str">
        <f t="shared" si="49"/>
        <v>Low</v>
      </c>
      <c r="I778" s="9" t="str">
        <f t="shared" si="50"/>
        <v>OK</v>
      </c>
      <c r="J778" s="9" t="str">
        <f t="shared" si="51"/>
        <v>Solid</v>
      </c>
    </row>
    <row r="779" spans="1:10" x14ac:dyDescent="0.3">
      <c r="A779" s="10">
        <f>'2_Clean_Data'!A776</f>
        <v>775</v>
      </c>
      <c r="B779" s="10">
        <f>INDEX('2_Clean_Data'!$M$2:$M$1360,MATCH($A779,'2_Clean_Data'!$A$2:$A$1360,0))</f>
        <v>7</v>
      </c>
      <c r="C779" s="9" t="str">
        <f t="shared" si="48"/>
        <v>Good</v>
      </c>
      <c r="D779" s="11">
        <f>INDEX('2_Clean_Data'!$L$2:$L$1360,MATCH($A779,'2_Clean_Data'!$A$2:$A$1360,0))</f>
        <v>10.8</v>
      </c>
      <c r="E779" s="9" t="str">
        <f>IF(D779&lt;'3_Summary_Tables'!$C$16,"Low",IF(D779&lt;'3_Summary_Tables'!$C$17,"Medium","High"))</f>
        <v>Medium</v>
      </c>
      <c r="F779" s="12">
        <f>INDEX('2_Clean_Data'!$C$2:$C$1360,MATCH($A779,'2_Clean_Data'!$A$2:$A$1360,0))</f>
        <v>0.59</v>
      </c>
      <c r="G779" s="10">
        <f>INDEX('2_Clean_Data'!$H$2:$H$1360,MATCH($A779,'2_Clean_Data'!$A$2:$A$1360,0))</f>
        <v>18</v>
      </c>
      <c r="H779" s="9" t="str">
        <f t="shared" si="49"/>
        <v>Low</v>
      </c>
      <c r="I779" s="9" t="str">
        <f t="shared" si="50"/>
        <v>OK</v>
      </c>
      <c r="J779" s="9" t="str">
        <f t="shared" si="51"/>
        <v>Solid</v>
      </c>
    </row>
    <row r="780" spans="1:10" x14ac:dyDescent="0.3">
      <c r="A780" s="10">
        <f>'2_Clean_Data'!A777</f>
        <v>776</v>
      </c>
      <c r="B780" s="10">
        <f>INDEX('2_Clean_Data'!$M$2:$M$1360,MATCH($A780,'2_Clean_Data'!$A$2:$A$1360,0))</f>
        <v>5</v>
      </c>
      <c r="C780" s="9" t="str">
        <f t="shared" si="48"/>
        <v>Average</v>
      </c>
      <c r="D780" s="11">
        <f>INDEX('2_Clean_Data'!$L$2:$L$1360,MATCH($A780,'2_Clean_Data'!$A$2:$A$1360,0))</f>
        <v>9.5</v>
      </c>
      <c r="E780" s="9" t="str">
        <f>IF(D780&lt;'3_Summary_Tables'!$C$16,"Low",IF(D780&lt;'3_Summary_Tables'!$C$17,"Medium","High"))</f>
        <v>Low</v>
      </c>
      <c r="F780" s="12">
        <f>INDEX('2_Clean_Data'!$C$2:$C$1360,MATCH($A780,'2_Clean_Data'!$A$2:$A$1360,0))</f>
        <v>0.57999999999999996</v>
      </c>
      <c r="G780" s="10">
        <f>INDEX('2_Clean_Data'!$H$2:$H$1360,MATCH($A780,'2_Clean_Data'!$A$2:$A$1360,0))</f>
        <v>115</v>
      </c>
      <c r="H780" s="9" t="str">
        <f t="shared" si="49"/>
        <v>High</v>
      </c>
      <c r="I780" s="9" t="str">
        <f t="shared" si="50"/>
        <v>OK</v>
      </c>
      <c r="J780" s="9" t="str">
        <f t="shared" si="51"/>
        <v>Standard</v>
      </c>
    </row>
    <row r="781" spans="1:10" x14ac:dyDescent="0.3">
      <c r="A781" s="10">
        <f>'2_Clean_Data'!A778</f>
        <v>777</v>
      </c>
      <c r="B781" s="10">
        <f>INDEX('2_Clean_Data'!$M$2:$M$1360,MATCH($A781,'2_Clean_Data'!$A$2:$A$1360,0))</f>
        <v>5</v>
      </c>
      <c r="C781" s="9" t="str">
        <f t="shared" si="48"/>
        <v>Average</v>
      </c>
      <c r="D781" s="11">
        <f>INDEX('2_Clean_Data'!$L$2:$L$1360,MATCH($A781,'2_Clean_Data'!$A$2:$A$1360,0))</f>
        <v>11</v>
      </c>
      <c r="E781" s="9" t="str">
        <f>IF(D781&lt;'3_Summary_Tables'!$C$16,"Low",IF(D781&lt;'3_Summary_Tables'!$C$17,"Medium","High"))</f>
        <v>Medium</v>
      </c>
      <c r="F781" s="12">
        <f>INDEX('2_Clean_Data'!$C$2:$C$1360,MATCH($A781,'2_Clean_Data'!$A$2:$A$1360,0))</f>
        <v>0.54</v>
      </c>
      <c r="G781" s="10">
        <f>INDEX('2_Clean_Data'!$H$2:$H$1360,MATCH($A781,'2_Clean_Data'!$A$2:$A$1360,0))</f>
        <v>78</v>
      </c>
      <c r="H781" s="9" t="str">
        <f t="shared" si="49"/>
        <v>Moderate</v>
      </c>
      <c r="I781" s="9" t="str">
        <f t="shared" si="50"/>
        <v>OK</v>
      </c>
      <c r="J781" s="9" t="str">
        <f t="shared" si="51"/>
        <v>Standard</v>
      </c>
    </row>
    <row r="782" spans="1:10" x14ac:dyDescent="0.3">
      <c r="A782" s="10">
        <f>'2_Clean_Data'!A779</f>
        <v>778</v>
      </c>
      <c r="B782" s="10">
        <f>INDEX('2_Clean_Data'!$M$2:$M$1360,MATCH($A782,'2_Clean_Data'!$A$2:$A$1360,0))</f>
        <v>6</v>
      </c>
      <c r="C782" s="9" t="str">
        <f t="shared" si="48"/>
        <v>Above Average</v>
      </c>
      <c r="D782" s="11">
        <f>INDEX('2_Clean_Data'!$L$2:$L$1360,MATCH($A782,'2_Clean_Data'!$A$2:$A$1360,0))</f>
        <v>11.5</v>
      </c>
      <c r="E782" s="9" t="str">
        <f>IF(D782&lt;'3_Summary_Tables'!$C$16,"Low",IF(D782&lt;'3_Summary_Tables'!$C$17,"Medium","High"))</f>
        <v>High</v>
      </c>
      <c r="F782" s="12">
        <f>INDEX('2_Clean_Data'!$C$2:$C$1360,MATCH($A782,'2_Clean_Data'!$A$2:$A$1360,0))</f>
        <v>0.56000000000000005</v>
      </c>
      <c r="G782" s="10">
        <f>INDEX('2_Clean_Data'!$H$2:$H$1360,MATCH($A782,'2_Clean_Data'!$A$2:$A$1360,0))</f>
        <v>9</v>
      </c>
      <c r="H782" s="9" t="str">
        <f t="shared" si="49"/>
        <v>Low</v>
      </c>
      <c r="I782" s="9" t="str">
        <f t="shared" si="50"/>
        <v>OK</v>
      </c>
      <c r="J782" s="9" t="str">
        <f t="shared" si="51"/>
        <v>Solid</v>
      </c>
    </row>
    <row r="783" spans="1:10" x14ac:dyDescent="0.3">
      <c r="A783" s="10">
        <f>'2_Clean_Data'!A780</f>
        <v>779</v>
      </c>
      <c r="B783" s="10">
        <f>INDEX('2_Clean_Data'!$M$2:$M$1360,MATCH($A783,'2_Clean_Data'!$A$2:$A$1360,0))</f>
        <v>6</v>
      </c>
      <c r="C783" s="9" t="str">
        <f t="shared" si="48"/>
        <v>Above Average</v>
      </c>
      <c r="D783" s="11">
        <f>INDEX('2_Clean_Data'!$L$2:$L$1360,MATCH($A783,'2_Clean_Data'!$A$2:$A$1360,0))</f>
        <v>10.8</v>
      </c>
      <c r="E783" s="9" t="str">
        <f>IF(D783&lt;'3_Summary_Tables'!$C$16,"Low",IF(D783&lt;'3_Summary_Tables'!$C$17,"Medium","High"))</f>
        <v>Medium</v>
      </c>
      <c r="F783" s="12">
        <f>INDEX('2_Clean_Data'!$C$2:$C$1360,MATCH($A783,'2_Clean_Data'!$A$2:$A$1360,0))</f>
        <v>0.52</v>
      </c>
      <c r="G783" s="10">
        <f>INDEX('2_Clean_Data'!$H$2:$H$1360,MATCH($A783,'2_Clean_Data'!$A$2:$A$1360,0))</f>
        <v>61</v>
      </c>
      <c r="H783" s="9" t="str">
        <f t="shared" si="49"/>
        <v>Moderate</v>
      </c>
      <c r="I783" s="9" t="str">
        <f t="shared" si="50"/>
        <v>OK</v>
      </c>
      <c r="J783" s="9" t="str">
        <f t="shared" si="51"/>
        <v>Solid</v>
      </c>
    </row>
    <row r="784" spans="1:10" x14ac:dyDescent="0.3">
      <c r="A784" s="10">
        <f>'2_Clean_Data'!A781</f>
        <v>780</v>
      </c>
      <c r="B784" s="10">
        <f>INDEX('2_Clean_Data'!$M$2:$M$1360,MATCH($A784,'2_Clean_Data'!$A$2:$A$1360,0))</f>
        <v>6</v>
      </c>
      <c r="C784" s="9" t="str">
        <f t="shared" si="48"/>
        <v>Above Average</v>
      </c>
      <c r="D784" s="11">
        <f>INDEX('2_Clean_Data'!$L$2:$L$1360,MATCH($A784,'2_Clean_Data'!$A$2:$A$1360,0))</f>
        <v>11.5</v>
      </c>
      <c r="E784" s="9" t="str">
        <f>IF(D784&lt;'3_Summary_Tables'!$C$16,"Low",IF(D784&lt;'3_Summary_Tables'!$C$17,"Medium","High"))</f>
        <v>High</v>
      </c>
      <c r="F784" s="12">
        <f>INDEX('2_Clean_Data'!$C$2:$C$1360,MATCH($A784,'2_Clean_Data'!$A$2:$A$1360,0))</f>
        <v>0.30499999999999999</v>
      </c>
      <c r="G784" s="10">
        <f>INDEX('2_Clean_Data'!$H$2:$H$1360,MATCH($A784,'2_Clean_Data'!$A$2:$A$1360,0))</f>
        <v>11</v>
      </c>
      <c r="H784" s="9" t="str">
        <f t="shared" si="49"/>
        <v>Low</v>
      </c>
      <c r="I784" s="9" t="str">
        <f t="shared" si="50"/>
        <v>OK</v>
      </c>
      <c r="J784" s="9" t="str">
        <f t="shared" si="51"/>
        <v>Solid</v>
      </c>
    </row>
    <row r="785" spans="1:10" x14ac:dyDescent="0.3">
      <c r="A785" s="10">
        <f>'2_Clean_Data'!A782</f>
        <v>781</v>
      </c>
      <c r="B785" s="10">
        <f>INDEX('2_Clean_Data'!$M$2:$M$1360,MATCH($A785,'2_Clean_Data'!$A$2:$A$1360,0))</f>
        <v>6</v>
      </c>
      <c r="C785" s="9" t="str">
        <f t="shared" si="48"/>
        <v>Above Average</v>
      </c>
      <c r="D785" s="11">
        <f>INDEX('2_Clean_Data'!$L$2:$L$1360,MATCH($A785,'2_Clean_Data'!$A$2:$A$1360,0))</f>
        <v>13.2</v>
      </c>
      <c r="E785" s="9" t="str">
        <f>IF(D785&lt;'3_Summary_Tables'!$C$16,"Low",IF(D785&lt;'3_Summary_Tables'!$C$17,"Medium","High"))</f>
        <v>High</v>
      </c>
      <c r="F785" s="12">
        <f>INDEX('2_Clean_Data'!$C$2:$C$1360,MATCH($A785,'2_Clean_Data'!$A$2:$A$1360,0))</f>
        <v>0.38</v>
      </c>
      <c r="G785" s="10">
        <f>INDEX('2_Clean_Data'!$H$2:$H$1360,MATCH($A785,'2_Clean_Data'!$A$2:$A$1360,0))</f>
        <v>11</v>
      </c>
      <c r="H785" s="9" t="str">
        <f t="shared" si="49"/>
        <v>Low</v>
      </c>
      <c r="I785" s="9" t="str">
        <f t="shared" si="50"/>
        <v>OK</v>
      </c>
      <c r="J785" s="9" t="str">
        <f t="shared" si="51"/>
        <v>Solid</v>
      </c>
    </row>
    <row r="786" spans="1:10" x14ac:dyDescent="0.3">
      <c r="A786" s="10">
        <f>'2_Clean_Data'!A783</f>
        <v>782</v>
      </c>
      <c r="B786" s="10">
        <f>INDEX('2_Clean_Data'!$M$2:$M$1360,MATCH($A786,'2_Clean_Data'!$A$2:$A$1360,0))</f>
        <v>6</v>
      </c>
      <c r="C786" s="9" t="str">
        <f t="shared" si="48"/>
        <v>Above Average</v>
      </c>
      <c r="D786" s="11">
        <f>INDEX('2_Clean_Data'!$L$2:$L$1360,MATCH($A786,'2_Clean_Data'!$A$2:$A$1360,0))</f>
        <v>10.9</v>
      </c>
      <c r="E786" s="9" t="str">
        <f>IF(D786&lt;'3_Summary_Tables'!$C$16,"Low",IF(D786&lt;'3_Summary_Tables'!$C$17,"Medium","High"))</f>
        <v>Medium</v>
      </c>
      <c r="F786" s="12">
        <f>INDEX('2_Clean_Data'!$C$2:$C$1360,MATCH($A786,'2_Clean_Data'!$A$2:$A$1360,0))</f>
        <v>0.28000000000000003</v>
      </c>
      <c r="G786" s="10">
        <f>INDEX('2_Clean_Data'!$H$2:$H$1360,MATCH($A786,'2_Clean_Data'!$A$2:$A$1360,0))</f>
        <v>9</v>
      </c>
      <c r="H786" s="9" t="str">
        <f t="shared" si="49"/>
        <v>Low</v>
      </c>
      <c r="I786" s="9" t="str">
        <f t="shared" si="50"/>
        <v>OK</v>
      </c>
      <c r="J786" s="9" t="str">
        <f t="shared" si="51"/>
        <v>Solid</v>
      </c>
    </row>
    <row r="787" spans="1:10" x14ac:dyDescent="0.3">
      <c r="A787" s="10">
        <f>'2_Clean_Data'!A784</f>
        <v>783</v>
      </c>
      <c r="B787" s="10">
        <f>INDEX('2_Clean_Data'!$M$2:$M$1360,MATCH($A787,'2_Clean_Data'!$A$2:$A$1360,0))</f>
        <v>6</v>
      </c>
      <c r="C787" s="9" t="str">
        <f t="shared" si="48"/>
        <v>Above Average</v>
      </c>
      <c r="D787" s="11">
        <f>INDEX('2_Clean_Data'!$L$2:$L$1360,MATCH($A787,'2_Clean_Data'!$A$2:$A$1360,0))</f>
        <v>12.2</v>
      </c>
      <c r="E787" s="9" t="str">
        <f>IF(D787&lt;'3_Summary_Tables'!$C$16,"Low",IF(D787&lt;'3_Summary_Tables'!$C$17,"Medium","High"))</f>
        <v>High</v>
      </c>
      <c r="F787" s="12">
        <f>INDEX('2_Clean_Data'!$C$2:$C$1360,MATCH($A787,'2_Clean_Data'!$A$2:$A$1360,0))</f>
        <v>0.46</v>
      </c>
      <c r="G787" s="10">
        <f>INDEX('2_Clean_Data'!$H$2:$H$1360,MATCH($A787,'2_Clean_Data'!$A$2:$A$1360,0))</f>
        <v>8</v>
      </c>
      <c r="H787" s="9" t="str">
        <f t="shared" si="49"/>
        <v>Low</v>
      </c>
      <c r="I787" s="9" t="str">
        <f t="shared" si="50"/>
        <v>OK</v>
      </c>
      <c r="J787" s="9" t="str">
        <f t="shared" si="51"/>
        <v>Solid</v>
      </c>
    </row>
    <row r="788" spans="1:10" x14ac:dyDescent="0.3">
      <c r="A788" s="10">
        <f>'2_Clean_Data'!A785</f>
        <v>784</v>
      </c>
      <c r="B788" s="10">
        <f>INDEX('2_Clean_Data'!$M$2:$M$1360,MATCH($A788,'2_Clean_Data'!$A$2:$A$1360,0))</f>
        <v>7</v>
      </c>
      <c r="C788" s="9" t="str">
        <f t="shared" si="48"/>
        <v>Good</v>
      </c>
      <c r="D788" s="11">
        <f>INDEX('2_Clean_Data'!$L$2:$L$1360,MATCH($A788,'2_Clean_Data'!$A$2:$A$1360,0))</f>
        <v>12.2</v>
      </c>
      <c r="E788" s="9" t="str">
        <f>IF(D788&lt;'3_Summary_Tables'!$C$16,"Low",IF(D788&lt;'3_Summary_Tables'!$C$17,"Medium","High"))</f>
        <v>High</v>
      </c>
      <c r="F788" s="12">
        <f>INDEX('2_Clean_Data'!$C$2:$C$1360,MATCH($A788,'2_Clean_Data'!$A$2:$A$1360,0))</f>
        <v>0.39500000000000002</v>
      </c>
      <c r="G788" s="10">
        <f>INDEX('2_Clean_Data'!$H$2:$H$1360,MATCH($A788,'2_Clean_Data'!$A$2:$A$1360,0))</f>
        <v>10</v>
      </c>
      <c r="H788" s="9" t="str">
        <f t="shared" si="49"/>
        <v>Low</v>
      </c>
      <c r="I788" s="9" t="str">
        <f t="shared" si="50"/>
        <v>OK</v>
      </c>
      <c r="J788" s="9" t="str">
        <f t="shared" si="51"/>
        <v>Premium</v>
      </c>
    </row>
    <row r="789" spans="1:10" x14ac:dyDescent="0.3">
      <c r="A789" s="10">
        <f>'2_Clean_Data'!A786</f>
        <v>785</v>
      </c>
      <c r="B789" s="10">
        <f>INDEX('2_Clean_Data'!$M$2:$M$1360,MATCH($A789,'2_Clean_Data'!$A$2:$A$1360,0))</f>
        <v>6</v>
      </c>
      <c r="C789" s="9" t="str">
        <f t="shared" si="48"/>
        <v>Above Average</v>
      </c>
      <c r="D789" s="11">
        <f>INDEX('2_Clean_Data'!$L$2:$L$1360,MATCH($A789,'2_Clean_Data'!$A$2:$A$1360,0))</f>
        <v>11.9</v>
      </c>
      <c r="E789" s="9" t="str">
        <f>IF(D789&lt;'3_Summary_Tables'!$C$16,"Low",IF(D789&lt;'3_Summary_Tables'!$C$17,"Medium","High"))</f>
        <v>High</v>
      </c>
      <c r="F789" s="12">
        <f>INDEX('2_Clean_Data'!$C$2:$C$1360,MATCH($A789,'2_Clean_Data'!$A$2:$A$1360,0))</f>
        <v>0.315</v>
      </c>
      <c r="G789" s="10">
        <f>INDEX('2_Clean_Data'!$H$2:$H$1360,MATCH($A789,'2_Clean_Data'!$A$2:$A$1360,0))</f>
        <v>6</v>
      </c>
      <c r="H789" s="9" t="str">
        <f t="shared" si="49"/>
        <v>Low</v>
      </c>
      <c r="I789" s="9" t="str">
        <f t="shared" si="50"/>
        <v>OK</v>
      </c>
      <c r="J789" s="9" t="str">
        <f t="shared" si="51"/>
        <v>Solid</v>
      </c>
    </row>
    <row r="790" spans="1:10" x14ac:dyDescent="0.3">
      <c r="A790" s="10">
        <f>'2_Clean_Data'!A787</f>
        <v>786</v>
      </c>
      <c r="B790" s="10">
        <f>INDEX('2_Clean_Data'!$M$2:$M$1360,MATCH($A790,'2_Clean_Data'!$A$2:$A$1360,0))</f>
        <v>5</v>
      </c>
      <c r="C790" s="9" t="str">
        <f t="shared" si="48"/>
        <v>Average</v>
      </c>
      <c r="D790" s="11">
        <f>INDEX('2_Clean_Data'!$L$2:$L$1360,MATCH($A790,'2_Clean_Data'!$A$2:$A$1360,0))</f>
        <v>11</v>
      </c>
      <c r="E790" s="9" t="str">
        <f>IF(D790&lt;'3_Summary_Tables'!$C$16,"Low",IF(D790&lt;'3_Summary_Tables'!$C$17,"Medium","High"))</f>
        <v>Medium</v>
      </c>
      <c r="F790" s="12">
        <f>INDEX('2_Clean_Data'!$C$2:$C$1360,MATCH($A790,'2_Clean_Data'!$A$2:$A$1360,0))</f>
        <v>0.71499999999999997</v>
      </c>
      <c r="G790" s="10">
        <f>INDEX('2_Clean_Data'!$H$2:$H$1360,MATCH($A790,'2_Clean_Data'!$A$2:$A$1360,0))</f>
        <v>62</v>
      </c>
      <c r="H790" s="9" t="str">
        <f t="shared" si="49"/>
        <v>Moderate</v>
      </c>
      <c r="I790" s="9" t="str">
        <f t="shared" si="50"/>
        <v>Above limit</v>
      </c>
      <c r="J790" s="9" t="str">
        <f t="shared" si="51"/>
        <v>Standard</v>
      </c>
    </row>
    <row r="791" spans="1:10" x14ac:dyDescent="0.3">
      <c r="A791" s="10">
        <f>'2_Clean_Data'!A788</f>
        <v>787</v>
      </c>
      <c r="B791" s="10">
        <f>INDEX('2_Clean_Data'!$M$2:$M$1360,MATCH($A791,'2_Clean_Data'!$A$2:$A$1360,0))</f>
        <v>6</v>
      </c>
      <c r="C791" s="9" t="str">
        <f t="shared" si="48"/>
        <v>Above Average</v>
      </c>
      <c r="D791" s="11">
        <f>INDEX('2_Clean_Data'!$L$2:$L$1360,MATCH($A791,'2_Clean_Data'!$A$2:$A$1360,0))</f>
        <v>10.1</v>
      </c>
      <c r="E791" s="9" t="str">
        <f>IF(D791&lt;'3_Summary_Tables'!$C$16,"Low",IF(D791&lt;'3_Summary_Tables'!$C$17,"Medium","High"))</f>
        <v>Medium</v>
      </c>
      <c r="F791" s="12">
        <f>INDEX('2_Clean_Data'!$C$2:$C$1360,MATCH($A791,'2_Clean_Data'!$A$2:$A$1360,0))</f>
        <v>0.41</v>
      </c>
      <c r="G791" s="10">
        <f>INDEX('2_Clean_Data'!$H$2:$H$1360,MATCH($A791,'2_Clean_Data'!$A$2:$A$1360,0))</f>
        <v>45</v>
      </c>
      <c r="H791" s="9" t="str">
        <f t="shared" si="49"/>
        <v>Low</v>
      </c>
      <c r="I791" s="9" t="str">
        <f t="shared" si="50"/>
        <v>OK</v>
      </c>
      <c r="J791" s="9" t="str">
        <f t="shared" si="51"/>
        <v>Solid</v>
      </c>
    </row>
    <row r="792" spans="1:10" x14ac:dyDescent="0.3">
      <c r="A792" s="10">
        <f>'2_Clean_Data'!A789</f>
        <v>788</v>
      </c>
      <c r="B792" s="10">
        <f>INDEX('2_Clean_Data'!$M$2:$M$1360,MATCH($A792,'2_Clean_Data'!$A$2:$A$1360,0))</f>
        <v>6</v>
      </c>
      <c r="C792" s="9" t="str">
        <f t="shared" si="48"/>
        <v>Above Average</v>
      </c>
      <c r="D792" s="11">
        <f>INDEX('2_Clean_Data'!$L$2:$L$1360,MATCH($A792,'2_Clean_Data'!$A$2:$A$1360,0))</f>
        <v>11</v>
      </c>
      <c r="E792" s="9" t="str">
        <f>IF(D792&lt;'3_Summary_Tables'!$C$16,"Low",IF(D792&lt;'3_Summary_Tables'!$C$17,"Medium","High"))</f>
        <v>Medium</v>
      </c>
      <c r="F792" s="12">
        <f>INDEX('2_Clean_Data'!$C$2:$C$1360,MATCH($A792,'2_Clean_Data'!$A$2:$A$1360,0))</f>
        <v>0.36</v>
      </c>
      <c r="G792" s="10">
        <f>INDEX('2_Clean_Data'!$H$2:$H$1360,MATCH($A792,'2_Clean_Data'!$A$2:$A$1360,0))</f>
        <v>79</v>
      </c>
      <c r="H792" s="9" t="str">
        <f t="shared" si="49"/>
        <v>Moderate</v>
      </c>
      <c r="I792" s="9" t="str">
        <f t="shared" si="50"/>
        <v>OK</v>
      </c>
      <c r="J792" s="9" t="str">
        <f t="shared" si="51"/>
        <v>Solid</v>
      </c>
    </row>
    <row r="793" spans="1:10" x14ac:dyDescent="0.3">
      <c r="A793" s="10">
        <f>'2_Clean_Data'!A790</f>
        <v>789</v>
      </c>
      <c r="B793" s="10">
        <f>INDEX('2_Clean_Data'!$M$2:$M$1360,MATCH($A793,'2_Clean_Data'!$A$2:$A$1360,0))</f>
        <v>6</v>
      </c>
      <c r="C793" s="9" t="str">
        <f t="shared" si="48"/>
        <v>Above Average</v>
      </c>
      <c r="D793" s="11">
        <f>INDEX('2_Clean_Data'!$L$2:$L$1360,MATCH($A793,'2_Clean_Data'!$A$2:$A$1360,0))</f>
        <v>11.8</v>
      </c>
      <c r="E793" s="9" t="str">
        <f>IF(D793&lt;'3_Summary_Tables'!$C$16,"Low",IF(D793&lt;'3_Summary_Tables'!$C$17,"Medium","High"))</f>
        <v>High</v>
      </c>
      <c r="F793" s="12">
        <f>INDEX('2_Clean_Data'!$C$2:$C$1360,MATCH($A793,'2_Clean_Data'!$A$2:$A$1360,0))</f>
        <v>0.62</v>
      </c>
      <c r="G793" s="10">
        <f>INDEX('2_Clean_Data'!$H$2:$H$1360,MATCH($A793,'2_Clean_Data'!$A$2:$A$1360,0))</f>
        <v>46</v>
      </c>
      <c r="H793" s="9" t="str">
        <f t="shared" si="49"/>
        <v>Low</v>
      </c>
      <c r="I793" s="9" t="str">
        <f t="shared" si="50"/>
        <v>OK</v>
      </c>
      <c r="J793" s="9" t="str">
        <f t="shared" si="51"/>
        <v>Solid</v>
      </c>
    </row>
    <row r="794" spans="1:10" x14ac:dyDescent="0.3">
      <c r="A794" s="10">
        <f>'2_Clean_Data'!A791</f>
        <v>790</v>
      </c>
      <c r="B794" s="10">
        <f>INDEX('2_Clean_Data'!$M$2:$M$1360,MATCH($A794,'2_Clean_Data'!$A$2:$A$1360,0))</f>
        <v>5</v>
      </c>
      <c r="C794" s="9" t="str">
        <f t="shared" si="48"/>
        <v>Average</v>
      </c>
      <c r="D794" s="11">
        <f>INDEX('2_Clean_Data'!$L$2:$L$1360,MATCH($A794,'2_Clean_Data'!$A$2:$A$1360,0))</f>
        <v>10.5</v>
      </c>
      <c r="E794" s="9" t="str">
        <f>IF(D794&lt;'3_Summary_Tables'!$C$16,"Low",IF(D794&lt;'3_Summary_Tables'!$C$17,"Medium","High"))</f>
        <v>Medium</v>
      </c>
      <c r="F794" s="12">
        <f>INDEX('2_Clean_Data'!$C$2:$C$1360,MATCH($A794,'2_Clean_Data'!$A$2:$A$1360,0))</f>
        <v>0.41</v>
      </c>
      <c r="G794" s="10">
        <f>INDEX('2_Clean_Data'!$H$2:$H$1360,MATCH($A794,'2_Clean_Data'!$A$2:$A$1360,0))</f>
        <v>23</v>
      </c>
      <c r="H794" s="9" t="str">
        <f t="shared" si="49"/>
        <v>Low</v>
      </c>
      <c r="I794" s="9" t="str">
        <f t="shared" si="50"/>
        <v>OK</v>
      </c>
      <c r="J794" s="9" t="str">
        <f t="shared" si="51"/>
        <v>Standard</v>
      </c>
    </row>
    <row r="795" spans="1:10" x14ac:dyDescent="0.3">
      <c r="A795" s="10">
        <f>'2_Clean_Data'!A792</f>
        <v>791</v>
      </c>
      <c r="B795" s="10">
        <f>INDEX('2_Clean_Data'!$M$2:$M$1360,MATCH($A795,'2_Clean_Data'!$A$2:$A$1360,0))</f>
        <v>5</v>
      </c>
      <c r="C795" s="9" t="str">
        <f t="shared" si="48"/>
        <v>Average</v>
      </c>
      <c r="D795" s="11">
        <f>INDEX('2_Clean_Data'!$L$2:$L$1360,MATCH($A795,'2_Clean_Data'!$A$2:$A$1360,0))</f>
        <v>11.2</v>
      </c>
      <c r="E795" s="9" t="str">
        <f>IF(D795&lt;'3_Summary_Tables'!$C$16,"Low",IF(D795&lt;'3_Summary_Tables'!$C$17,"Medium","High"))</f>
        <v>Medium</v>
      </c>
      <c r="F795" s="12">
        <f>INDEX('2_Clean_Data'!$C$2:$C$1360,MATCH($A795,'2_Clean_Data'!$A$2:$A$1360,0))</f>
        <v>0.47</v>
      </c>
      <c r="G795" s="10">
        <f>INDEX('2_Clean_Data'!$H$2:$H$1360,MATCH($A795,'2_Clean_Data'!$A$2:$A$1360,0))</f>
        <v>28</v>
      </c>
      <c r="H795" s="9" t="str">
        <f t="shared" si="49"/>
        <v>Low</v>
      </c>
      <c r="I795" s="9" t="str">
        <f t="shared" si="50"/>
        <v>OK</v>
      </c>
      <c r="J795" s="9" t="str">
        <f t="shared" si="51"/>
        <v>Standard</v>
      </c>
    </row>
    <row r="796" spans="1:10" x14ac:dyDescent="0.3">
      <c r="A796" s="10">
        <f>'2_Clean_Data'!A793</f>
        <v>792</v>
      </c>
      <c r="B796" s="10">
        <f>INDEX('2_Clean_Data'!$M$2:$M$1360,MATCH($A796,'2_Clean_Data'!$A$2:$A$1360,0))</f>
        <v>7</v>
      </c>
      <c r="C796" s="9" t="str">
        <f t="shared" si="48"/>
        <v>Good</v>
      </c>
      <c r="D796" s="11">
        <f>INDEX('2_Clean_Data'!$L$2:$L$1360,MATCH($A796,'2_Clean_Data'!$A$2:$A$1360,0))</f>
        <v>11</v>
      </c>
      <c r="E796" s="9" t="str">
        <f>IF(D796&lt;'3_Summary_Tables'!$C$16,"Low",IF(D796&lt;'3_Summary_Tables'!$C$17,"Medium","High"))</f>
        <v>Medium</v>
      </c>
      <c r="F796" s="12">
        <f>INDEX('2_Clean_Data'!$C$2:$C$1360,MATCH($A796,'2_Clean_Data'!$A$2:$A$1360,0))</f>
        <v>0.22</v>
      </c>
      <c r="G796" s="10">
        <f>INDEX('2_Clean_Data'!$H$2:$H$1360,MATCH($A796,'2_Clean_Data'!$A$2:$A$1360,0))</f>
        <v>77</v>
      </c>
      <c r="H796" s="9" t="str">
        <f t="shared" si="49"/>
        <v>Moderate</v>
      </c>
      <c r="I796" s="9" t="str">
        <f t="shared" si="50"/>
        <v>OK</v>
      </c>
      <c r="J796" s="9" t="str">
        <f t="shared" si="51"/>
        <v>Solid</v>
      </c>
    </row>
    <row r="797" spans="1:10" x14ac:dyDescent="0.3">
      <c r="A797" s="10">
        <f>'2_Clean_Data'!A794</f>
        <v>793</v>
      </c>
      <c r="B797" s="10">
        <f>INDEX('2_Clean_Data'!$M$2:$M$1360,MATCH($A797,'2_Clean_Data'!$A$2:$A$1360,0))</f>
        <v>6</v>
      </c>
      <c r="C797" s="9" t="str">
        <f t="shared" si="48"/>
        <v>Above Average</v>
      </c>
      <c r="D797" s="11">
        <f>INDEX('2_Clean_Data'!$L$2:$L$1360,MATCH($A797,'2_Clean_Data'!$A$2:$A$1360,0))</f>
        <v>10.199999999999999</v>
      </c>
      <c r="E797" s="9" t="str">
        <f>IF(D797&lt;'3_Summary_Tables'!$C$16,"Low",IF(D797&lt;'3_Summary_Tables'!$C$17,"Medium","High"))</f>
        <v>Medium</v>
      </c>
      <c r="F797" s="12">
        <f>INDEX('2_Clean_Data'!$C$2:$C$1360,MATCH($A797,'2_Clean_Data'!$A$2:$A$1360,0))</f>
        <v>0.24</v>
      </c>
      <c r="G797" s="10">
        <f>INDEX('2_Clean_Data'!$H$2:$H$1360,MATCH($A797,'2_Clean_Data'!$A$2:$A$1360,0))</f>
        <v>73</v>
      </c>
      <c r="H797" s="9" t="str">
        <f t="shared" si="49"/>
        <v>Moderate</v>
      </c>
      <c r="I797" s="9" t="str">
        <f t="shared" si="50"/>
        <v>OK</v>
      </c>
      <c r="J797" s="9" t="str">
        <f t="shared" si="51"/>
        <v>Solid</v>
      </c>
    </row>
    <row r="798" spans="1:10" x14ac:dyDescent="0.3">
      <c r="A798" s="10">
        <f>'2_Clean_Data'!A795</f>
        <v>794</v>
      </c>
      <c r="B798" s="10">
        <f>INDEX('2_Clean_Data'!$M$2:$M$1360,MATCH($A798,'2_Clean_Data'!$A$2:$A$1360,0))</f>
        <v>4</v>
      </c>
      <c r="C798" s="9" t="str">
        <f t="shared" si="48"/>
        <v>Poor</v>
      </c>
      <c r="D798" s="11">
        <f>INDEX('2_Clean_Data'!$L$2:$L$1360,MATCH($A798,'2_Clean_Data'!$A$2:$A$1360,0))</f>
        <v>9.1999999999999993</v>
      </c>
      <c r="E798" s="9" t="str">
        <f>IF(D798&lt;'3_Summary_Tables'!$C$16,"Low",IF(D798&lt;'3_Summary_Tables'!$C$17,"Medium","High"))</f>
        <v>Low</v>
      </c>
      <c r="F798" s="12">
        <f>INDEX('2_Clean_Data'!$C$2:$C$1360,MATCH($A798,'2_Clean_Data'!$A$2:$A$1360,0))</f>
        <v>0.67</v>
      </c>
      <c r="G798" s="10">
        <f>INDEX('2_Clean_Data'!$H$2:$H$1360,MATCH($A798,'2_Clean_Data'!$A$2:$A$1360,0))</f>
        <v>75</v>
      </c>
      <c r="H798" s="9" t="str">
        <f t="shared" si="49"/>
        <v>Moderate</v>
      </c>
      <c r="I798" s="9" t="str">
        <f t="shared" si="50"/>
        <v>OK</v>
      </c>
      <c r="J798" s="9" t="str">
        <f t="shared" si="51"/>
        <v>Poor</v>
      </c>
    </row>
    <row r="799" spans="1:10" x14ac:dyDescent="0.3">
      <c r="A799" s="10">
        <f>'2_Clean_Data'!A796</f>
        <v>795</v>
      </c>
      <c r="B799" s="10">
        <f>INDEX('2_Clean_Data'!$M$2:$M$1360,MATCH($A799,'2_Clean_Data'!$A$2:$A$1360,0))</f>
        <v>7</v>
      </c>
      <c r="C799" s="9" t="str">
        <f t="shared" si="48"/>
        <v>Good</v>
      </c>
      <c r="D799" s="11">
        <f>INDEX('2_Clean_Data'!$L$2:$L$1360,MATCH($A799,'2_Clean_Data'!$A$2:$A$1360,0))</f>
        <v>12</v>
      </c>
      <c r="E799" s="9" t="str">
        <f>IF(D799&lt;'3_Summary_Tables'!$C$16,"Low",IF(D799&lt;'3_Summary_Tables'!$C$17,"Medium","High"))</f>
        <v>High</v>
      </c>
      <c r="F799" s="12">
        <f>INDEX('2_Clean_Data'!$C$2:$C$1360,MATCH($A799,'2_Clean_Data'!$A$2:$A$1360,0))</f>
        <v>0.33</v>
      </c>
      <c r="G799" s="10">
        <f>INDEX('2_Clean_Data'!$H$2:$H$1360,MATCH($A799,'2_Clean_Data'!$A$2:$A$1360,0))</f>
        <v>19</v>
      </c>
      <c r="H799" s="9" t="str">
        <f t="shared" si="49"/>
        <v>Low</v>
      </c>
      <c r="I799" s="9" t="str">
        <f t="shared" si="50"/>
        <v>OK</v>
      </c>
      <c r="J799" s="9" t="str">
        <f t="shared" si="51"/>
        <v>Premium</v>
      </c>
    </row>
    <row r="800" spans="1:10" x14ac:dyDescent="0.3">
      <c r="A800" s="10">
        <f>'2_Clean_Data'!A797</f>
        <v>796</v>
      </c>
      <c r="B800" s="10">
        <f>INDEX('2_Clean_Data'!$M$2:$M$1360,MATCH($A800,'2_Clean_Data'!$A$2:$A$1360,0))</f>
        <v>5</v>
      </c>
      <c r="C800" s="9" t="str">
        <f t="shared" si="48"/>
        <v>Average</v>
      </c>
      <c r="D800" s="11">
        <f>INDEX('2_Clean_Data'!$L$2:$L$1360,MATCH($A800,'2_Clean_Data'!$A$2:$A$1360,0))</f>
        <v>10.5</v>
      </c>
      <c r="E800" s="9" t="str">
        <f>IF(D800&lt;'3_Summary_Tables'!$C$16,"Low",IF(D800&lt;'3_Summary_Tables'!$C$17,"Medium","High"))</f>
        <v>Medium</v>
      </c>
      <c r="F800" s="12">
        <f>INDEX('2_Clean_Data'!$C$2:$C$1360,MATCH($A800,'2_Clean_Data'!$A$2:$A$1360,0))</f>
        <v>0.61</v>
      </c>
      <c r="G800" s="10">
        <f>INDEX('2_Clean_Data'!$H$2:$H$1360,MATCH($A800,'2_Clean_Data'!$A$2:$A$1360,0))</f>
        <v>25</v>
      </c>
      <c r="H800" s="9" t="str">
        <f t="shared" si="49"/>
        <v>Low</v>
      </c>
      <c r="I800" s="9" t="str">
        <f t="shared" si="50"/>
        <v>OK</v>
      </c>
      <c r="J800" s="9" t="str">
        <f t="shared" si="51"/>
        <v>Standard</v>
      </c>
    </row>
    <row r="801" spans="1:10" x14ac:dyDescent="0.3">
      <c r="A801" s="10">
        <f>'2_Clean_Data'!A798</f>
        <v>797</v>
      </c>
      <c r="B801" s="10">
        <f>INDEX('2_Clean_Data'!$M$2:$M$1360,MATCH($A801,'2_Clean_Data'!$A$2:$A$1360,0))</f>
        <v>5</v>
      </c>
      <c r="C801" s="9" t="str">
        <f t="shared" si="48"/>
        <v>Average</v>
      </c>
      <c r="D801" s="11">
        <f>INDEX('2_Clean_Data'!$L$2:$L$1360,MATCH($A801,'2_Clean_Data'!$A$2:$A$1360,0))</f>
        <v>9.8000000000000007</v>
      </c>
      <c r="E801" s="9" t="str">
        <f>IF(D801&lt;'3_Summary_Tables'!$C$16,"Low",IF(D801&lt;'3_Summary_Tables'!$C$17,"Medium","High"))</f>
        <v>Low</v>
      </c>
      <c r="F801" s="12">
        <f>INDEX('2_Clean_Data'!$C$2:$C$1360,MATCH($A801,'2_Clean_Data'!$A$2:$A$1360,0))</f>
        <v>0.61</v>
      </c>
      <c r="G801" s="10">
        <f>INDEX('2_Clean_Data'!$H$2:$H$1360,MATCH($A801,'2_Clean_Data'!$A$2:$A$1360,0))</f>
        <v>38</v>
      </c>
      <c r="H801" s="9" t="str">
        <f t="shared" si="49"/>
        <v>Low</v>
      </c>
      <c r="I801" s="9" t="str">
        <f t="shared" si="50"/>
        <v>OK</v>
      </c>
      <c r="J801" s="9" t="str">
        <f t="shared" si="51"/>
        <v>Standard</v>
      </c>
    </row>
    <row r="802" spans="1:10" x14ac:dyDescent="0.3">
      <c r="A802" s="10">
        <f>'2_Clean_Data'!A799</f>
        <v>798</v>
      </c>
      <c r="B802" s="10">
        <f>INDEX('2_Clean_Data'!$M$2:$M$1360,MATCH($A802,'2_Clean_Data'!$A$2:$A$1360,0))</f>
        <v>6</v>
      </c>
      <c r="C802" s="9" t="str">
        <f t="shared" si="48"/>
        <v>Above Average</v>
      </c>
      <c r="D802" s="11">
        <f>INDEX('2_Clean_Data'!$L$2:$L$1360,MATCH($A802,'2_Clean_Data'!$A$2:$A$1360,0))</f>
        <v>9.5</v>
      </c>
      <c r="E802" s="9" t="str">
        <f>IF(D802&lt;'3_Summary_Tables'!$C$16,"Low",IF(D802&lt;'3_Summary_Tables'!$C$17,"Medium","High"))</f>
        <v>Low</v>
      </c>
      <c r="F802" s="12">
        <f>INDEX('2_Clean_Data'!$C$2:$C$1360,MATCH($A802,'2_Clean_Data'!$A$2:$A$1360,0))</f>
        <v>0.4</v>
      </c>
      <c r="G802" s="10">
        <f>INDEX('2_Clean_Data'!$H$2:$H$1360,MATCH($A802,'2_Clean_Data'!$A$2:$A$1360,0))</f>
        <v>66</v>
      </c>
      <c r="H802" s="9" t="str">
        <f t="shared" si="49"/>
        <v>Moderate</v>
      </c>
      <c r="I802" s="9" t="str">
        <f t="shared" si="50"/>
        <v>OK</v>
      </c>
      <c r="J802" s="9" t="str">
        <f t="shared" si="51"/>
        <v>Solid</v>
      </c>
    </row>
    <row r="803" spans="1:10" x14ac:dyDescent="0.3">
      <c r="A803" s="10">
        <f>'2_Clean_Data'!A800</f>
        <v>799</v>
      </c>
      <c r="B803" s="10">
        <f>INDEX('2_Clean_Data'!$M$2:$M$1360,MATCH($A803,'2_Clean_Data'!$A$2:$A$1360,0))</f>
        <v>6</v>
      </c>
      <c r="C803" s="9" t="str">
        <f t="shared" si="48"/>
        <v>Above Average</v>
      </c>
      <c r="D803" s="11">
        <f>INDEX('2_Clean_Data'!$L$2:$L$1360,MATCH($A803,'2_Clean_Data'!$A$2:$A$1360,0))</f>
        <v>11.8</v>
      </c>
      <c r="E803" s="9" t="str">
        <f>IF(D803&lt;'3_Summary_Tables'!$C$16,"Low",IF(D803&lt;'3_Summary_Tables'!$C$17,"Medium","High"))</f>
        <v>High</v>
      </c>
      <c r="F803" s="12">
        <f>INDEX('2_Clean_Data'!$C$2:$C$1360,MATCH($A803,'2_Clean_Data'!$A$2:$A$1360,0))</f>
        <v>0.3</v>
      </c>
      <c r="G803" s="10">
        <f>INDEX('2_Clean_Data'!$H$2:$H$1360,MATCH($A803,'2_Clean_Data'!$A$2:$A$1360,0))</f>
        <v>72</v>
      </c>
      <c r="H803" s="9" t="str">
        <f t="shared" si="49"/>
        <v>Moderate</v>
      </c>
      <c r="I803" s="9" t="str">
        <f t="shared" si="50"/>
        <v>OK</v>
      </c>
      <c r="J803" s="9" t="str">
        <f t="shared" si="51"/>
        <v>Solid</v>
      </c>
    </row>
    <row r="804" spans="1:10" x14ac:dyDescent="0.3">
      <c r="A804" s="10">
        <f>'2_Clean_Data'!A801</f>
        <v>800</v>
      </c>
      <c r="B804" s="10">
        <f>INDEX('2_Clean_Data'!$M$2:$M$1360,MATCH($A804,'2_Clean_Data'!$A$2:$A$1360,0))</f>
        <v>4</v>
      </c>
      <c r="C804" s="9" t="str">
        <f t="shared" si="48"/>
        <v>Poor</v>
      </c>
      <c r="D804" s="11">
        <f>INDEX('2_Clean_Data'!$L$2:$L$1360,MATCH($A804,'2_Clean_Data'!$A$2:$A$1360,0))</f>
        <v>10.4</v>
      </c>
      <c r="E804" s="9" t="str">
        <f>IF(D804&lt;'3_Summary_Tables'!$C$16,"Low",IF(D804&lt;'3_Summary_Tables'!$C$17,"Medium","High"))</f>
        <v>Medium</v>
      </c>
      <c r="F804" s="12">
        <f>INDEX('2_Clean_Data'!$C$2:$C$1360,MATCH($A804,'2_Clean_Data'!$A$2:$A$1360,0))</f>
        <v>0.63</v>
      </c>
      <c r="G804" s="10">
        <f>INDEX('2_Clean_Data'!$H$2:$H$1360,MATCH($A804,'2_Clean_Data'!$A$2:$A$1360,0))</f>
        <v>26</v>
      </c>
      <c r="H804" s="9" t="str">
        <f t="shared" si="49"/>
        <v>Low</v>
      </c>
      <c r="I804" s="9" t="str">
        <f t="shared" si="50"/>
        <v>OK</v>
      </c>
      <c r="J804" s="9" t="str">
        <f t="shared" si="51"/>
        <v>Poor</v>
      </c>
    </row>
    <row r="805" spans="1:10" x14ac:dyDescent="0.3">
      <c r="A805" s="10">
        <f>'2_Clean_Data'!A802</f>
        <v>801</v>
      </c>
      <c r="B805" s="10">
        <f>INDEX('2_Clean_Data'!$M$2:$M$1360,MATCH($A805,'2_Clean_Data'!$A$2:$A$1360,0))</f>
        <v>7</v>
      </c>
      <c r="C805" s="9" t="str">
        <f t="shared" si="48"/>
        <v>Good</v>
      </c>
      <c r="D805" s="11">
        <f>INDEX('2_Clean_Data'!$L$2:$L$1360,MATCH($A805,'2_Clean_Data'!$A$2:$A$1360,0))</f>
        <v>12.9</v>
      </c>
      <c r="E805" s="9" t="str">
        <f>IF(D805&lt;'3_Summary_Tables'!$C$16,"Low",IF(D805&lt;'3_Summary_Tables'!$C$17,"Medium","High"))</f>
        <v>High</v>
      </c>
      <c r="F805" s="12">
        <f>INDEX('2_Clean_Data'!$C$2:$C$1360,MATCH($A805,'2_Clean_Data'!$A$2:$A$1360,0))</f>
        <v>0.38</v>
      </c>
      <c r="G805" s="10">
        <f>INDEX('2_Clean_Data'!$H$2:$H$1360,MATCH($A805,'2_Clean_Data'!$A$2:$A$1360,0))</f>
        <v>42</v>
      </c>
      <c r="H805" s="9" t="str">
        <f t="shared" si="49"/>
        <v>Low</v>
      </c>
      <c r="I805" s="9" t="str">
        <f t="shared" si="50"/>
        <v>OK</v>
      </c>
      <c r="J805" s="9" t="str">
        <f t="shared" si="51"/>
        <v>Premium</v>
      </c>
    </row>
    <row r="806" spans="1:10" x14ac:dyDescent="0.3">
      <c r="A806" s="10">
        <f>'2_Clean_Data'!A803</f>
        <v>802</v>
      </c>
      <c r="B806" s="10">
        <f>INDEX('2_Clean_Data'!$M$2:$M$1360,MATCH($A806,'2_Clean_Data'!$A$2:$A$1360,0))</f>
        <v>5</v>
      </c>
      <c r="C806" s="9" t="str">
        <f t="shared" si="48"/>
        <v>Average</v>
      </c>
      <c r="D806" s="11">
        <f>INDEX('2_Clean_Data'!$L$2:$L$1360,MATCH($A806,'2_Clean_Data'!$A$2:$A$1360,0))</f>
        <v>11.4</v>
      </c>
      <c r="E806" s="9" t="str">
        <f>IF(D806&lt;'3_Summary_Tables'!$C$16,"Low",IF(D806&lt;'3_Summary_Tables'!$C$17,"Medium","High"))</f>
        <v>Medium</v>
      </c>
      <c r="F806" s="12">
        <f>INDEX('2_Clean_Data'!$C$2:$C$1360,MATCH($A806,'2_Clean_Data'!$A$2:$A$1360,0))</f>
        <v>0.46</v>
      </c>
      <c r="G806" s="10">
        <f>INDEX('2_Clean_Data'!$H$2:$H$1360,MATCH($A806,'2_Clean_Data'!$A$2:$A$1360,0))</f>
        <v>11</v>
      </c>
      <c r="H806" s="9" t="str">
        <f t="shared" si="49"/>
        <v>Low</v>
      </c>
      <c r="I806" s="9" t="str">
        <f t="shared" si="50"/>
        <v>OK</v>
      </c>
      <c r="J806" s="9" t="str">
        <f t="shared" si="51"/>
        <v>Standard</v>
      </c>
    </row>
    <row r="807" spans="1:10" x14ac:dyDescent="0.3">
      <c r="A807" s="10">
        <f>'2_Clean_Data'!A804</f>
        <v>803</v>
      </c>
      <c r="B807" s="10">
        <f>INDEX('2_Clean_Data'!$M$2:$M$1360,MATCH($A807,'2_Clean_Data'!$A$2:$A$1360,0))</f>
        <v>7</v>
      </c>
      <c r="C807" s="9" t="str">
        <f t="shared" si="48"/>
        <v>Good</v>
      </c>
      <c r="D807" s="11">
        <f>INDEX('2_Clean_Data'!$L$2:$L$1360,MATCH($A807,'2_Clean_Data'!$A$2:$A$1360,0))</f>
        <v>12.4</v>
      </c>
      <c r="E807" s="9" t="str">
        <f>IF(D807&lt;'3_Summary_Tables'!$C$16,"Low",IF(D807&lt;'3_Summary_Tables'!$C$17,"Medium","High"))</f>
        <v>High</v>
      </c>
      <c r="F807" s="12">
        <f>INDEX('2_Clean_Data'!$C$2:$C$1360,MATCH($A807,'2_Clean_Data'!$A$2:$A$1360,0))</f>
        <v>0.33</v>
      </c>
      <c r="G807" s="10">
        <f>INDEX('2_Clean_Data'!$H$2:$H$1360,MATCH($A807,'2_Clean_Data'!$A$2:$A$1360,0))</f>
        <v>25</v>
      </c>
      <c r="H807" s="9" t="str">
        <f t="shared" si="49"/>
        <v>Low</v>
      </c>
      <c r="I807" s="9" t="str">
        <f t="shared" si="50"/>
        <v>OK</v>
      </c>
      <c r="J807" s="9" t="str">
        <f t="shared" si="51"/>
        <v>Premium</v>
      </c>
    </row>
    <row r="808" spans="1:10" x14ac:dyDescent="0.3">
      <c r="A808" s="10">
        <f>'2_Clean_Data'!A805</f>
        <v>804</v>
      </c>
      <c r="B808" s="10">
        <f>INDEX('2_Clean_Data'!$M$2:$M$1360,MATCH($A808,'2_Clean_Data'!$A$2:$A$1360,0))</f>
        <v>7</v>
      </c>
      <c r="C808" s="9" t="str">
        <f t="shared" si="48"/>
        <v>Good</v>
      </c>
      <c r="D808" s="11">
        <f>INDEX('2_Clean_Data'!$L$2:$L$1360,MATCH($A808,'2_Clean_Data'!$A$2:$A$1360,0))</f>
        <v>12.5</v>
      </c>
      <c r="E808" s="9" t="str">
        <f>IF(D808&lt;'3_Summary_Tables'!$C$16,"Low",IF(D808&lt;'3_Summary_Tables'!$C$17,"Medium","High"))</f>
        <v>High</v>
      </c>
      <c r="F808" s="12">
        <f>INDEX('2_Clean_Data'!$C$2:$C$1360,MATCH($A808,'2_Clean_Data'!$A$2:$A$1360,0))</f>
        <v>0.27</v>
      </c>
      <c r="G808" s="10">
        <f>INDEX('2_Clean_Data'!$H$2:$H$1360,MATCH($A808,'2_Clean_Data'!$A$2:$A$1360,0))</f>
        <v>17</v>
      </c>
      <c r="H808" s="9" t="str">
        <f t="shared" si="49"/>
        <v>Low</v>
      </c>
      <c r="I808" s="9" t="str">
        <f t="shared" si="50"/>
        <v>OK</v>
      </c>
      <c r="J808" s="9" t="str">
        <f t="shared" si="51"/>
        <v>Premium</v>
      </c>
    </row>
    <row r="809" spans="1:10" x14ac:dyDescent="0.3">
      <c r="A809" s="10">
        <f>'2_Clean_Data'!A806</f>
        <v>805</v>
      </c>
      <c r="B809" s="10">
        <f>INDEX('2_Clean_Data'!$M$2:$M$1360,MATCH($A809,'2_Clean_Data'!$A$2:$A$1360,0))</f>
        <v>7</v>
      </c>
      <c r="C809" s="9" t="str">
        <f t="shared" si="48"/>
        <v>Good</v>
      </c>
      <c r="D809" s="11">
        <f>INDEX('2_Clean_Data'!$L$2:$L$1360,MATCH($A809,'2_Clean_Data'!$A$2:$A$1360,0))</f>
        <v>10</v>
      </c>
      <c r="E809" s="9" t="str">
        <f>IF(D809&lt;'3_Summary_Tables'!$C$16,"Low",IF(D809&lt;'3_Summary_Tables'!$C$17,"Medium","High"))</f>
        <v>Medium</v>
      </c>
      <c r="F809" s="12">
        <f>INDEX('2_Clean_Data'!$C$2:$C$1360,MATCH($A809,'2_Clean_Data'!$A$2:$A$1360,0))</f>
        <v>0.43</v>
      </c>
      <c r="G809" s="10">
        <f>INDEX('2_Clean_Data'!$H$2:$H$1360,MATCH($A809,'2_Clean_Data'!$A$2:$A$1360,0))</f>
        <v>52</v>
      </c>
      <c r="H809" s="9" t="str">
        <f t="shared" si="49"/>
        <v>Moderate</v>
      </c>
      <c r="I809" s="9" t="str">
        <f t="shared" si="50"/>
        <v>OK</v>
      </c>
      <c r="J809" s="9" t="str">
        <f t="shared" si="51"/>
        <v>Solid</v>
      </c>
    </row>
    <row r="810" spans="1:10" x14ac:dyDescent="0.3">
      <c r="A810" s="10">
        <f>'2_Clean_Data'!A807</f>
        <v>806</v>
      </c>
      <c r="B810" s="10">
        <f>INDEX('2_Clean_Data'!$M$2:$M$1360,MATCH($A810,'2_Clean_Data'!$A$2:$A$1360,0))</f>
        <v>7</v>
      </c>
      <c r="C810" s="9" t="str">
        <f t="shared" si="48"/>
        <v>Good</v>
      </c>
      <c r="D810" s="11">
        <f>INDEX('2_Clean_Data'!$L$2:$L$1360,MATCH($A810,'2_Clean_Data'!$A$2:$A$1360,0))</f>
        <v>9.6999999999999993</v>
      </c>
      <c r="E810" s="9" t="str">
        <f>IF(D810&lt;'3_Summary_Tables'!$C$16,"Low",IF(D810&lt;'3_Summary_Tables'!$C$17,"Medium","High"))</f>
        <v>Low</v>
      </c>
      <c r="F810" s="12">
        <f>INDEX('2_Clean_Data'!$C$2:$C$1360,MATCH($A810,'2_Clean_Data'!$A$2:$A$1360,0))</f>
        <v>0.5</v>
      </c>
      <c r="G810" s="10">
        <f>INDEX('2_Clean_Data'!$H$2:$H$1360,MATCH($A810,'2_Clean_Data'!$A$2:$A$1360,0))</f>
        <v>45</v>
      </c>
      <c r="H810" s="9" t="str">
        <f t="shared" si="49"/>
        <v>Low</v>
      </c>
      <c r="I810" s="9" t="str">
        <f t="shared" si="50"/>
        <v>OK</v>
      </c>
      <c r="J810" s="9" t="str">
        <f t="shared" si="51"/>
        <v>Solid</v>
      </c>
    </row>
    <row r="811" spans="1:10" x14ac:dyDescent="0.3">
      <c r="A811" s="10">
        <f>'2_Clean_Data'!A808</f>
        <v>807</v>
      </c>
      <c r="B811" s="10">
        <f>INDEX('2_Clean_Data'!$M$2:$M$1360,MATCH($A811,'2_Clean_Data'!$A$2:$A$1360,0))</f>
        <v>7</v>
      </c>
      <c r="C811" s="9" t="str">
        <f t="shared" si="48"/>
        <v>Good</v>
      </c>
      <c r="D811" s="11">
        <f>INDEX('2_Clean_Data'!$L$2:$L$1360,MATCH($A811,'2_Clean_Data'!$A$2:$A$1360,0))</f>
        <v>12.1</v>
      </c>
      <c r="E811" s="9" t="str">
        <f>IF(D811&lt;'3_Summary_Tables'!$C$16,"Low",IF(D811&lt;'3_Summary_Tables'!$C$17,"Medium","High"))</f>
        <v>High</v>
      </c>
      <c r="F811" s="12">
        <f>INDEX('2_Clean_Data'!$C$2:$C$1360,MATCH($A811,'2_Clean_Data'!$A$2:$A$1360,0))</f>
        <v>0.3</v>
      </c>
      <c r="G811" s="10">
        <f>INDEX('2_Clean_Data'!$H$2:$H$1360,MATCH($A811,'2_Clean_Data'!$A$2:$A$1360,0))</f>
        <v>24</v>
      </c>
      <c r="H811" s="9" t="str">
        <f t="shared" si="49"/>
        <v>Low</v>
      </c>
      <c r="I811" s="9" t="str">
        <f t="shared" si="50"/>
        <v>OK</v>
      </c>
      <c r="J811" s="9" t="str">
        <f t="shared" si="51"/>
        <v>Premium</v>
      </c>
    </row>
    <row r="812" spans="1:10" x14ac:dyDescent="0.3">
      <c r="A812" s="10">
        <f>'2_Clean_Data'!A809</f>
        <v>808</v>
      </c>
      <c r="B812" s="10">
        <f>INDEX('2_Clean_Data'!$M$2:$M$1360,MATCH($A812,'2_Clean_Data'!$A$2:$A$1360,0))</f>
        <v>7</v>
      </c>
      <c r="C812" s="9" t="str">
        <f t="shared" si="48"/>
        <v>Good</v>
      </c>
      <c r="D812" s="11">
        <f>INDEX('2_Clean_Data'!$L$2:$L$1360,MATCH($A812,'2_Clean_Data'!$A$2:$A$1360,0))</f>
        <v>11.1</v>
      </c>
      <c r="E812" s="9" t="str">
        <f>IF(D812&lt;'3_Summary_Tables'!$C$16,"Low",IF(D812&lt;'3_Summary_Tables'!$C$17,"Medium","High"))</f>
        <v>Medium</v>
      </c>
      <c r="F812" s="12">
        <f>INDEX('2_Clean_Data'!$C$2:$C$1360,MATCH($A812,'2_Clean_Data'!$A$2:$A$1360,0))</f>
        <v>0.44</v>
      </c>
      <c r="G812" s="10">
        <f>INDEX('2_Clean_Data'!$H$2:$H$1360,MATCH($A812,'2_Clean_Data'!$A$2:$A$1360,0))</f>
        <v>20</v>
      </c>
      <c r="H812" s="9" t="str">
        <f t="shared" si="49"/>
        <v>Low</v>
      </c>
      <c r="I812" s="9" t="str">
        <f t="shared" si="50"/>
        <v>OK</v>
      </c>
      <c r="J812" s="9" t="str">
        <f t="shared" si="51"/>
        <v>Solid</v>
      </c>
    </row>
    <row r="813" spans="1:10" x14ac:dyDescent="0.3">
      <c r="A813" s="10">
        <f>'2_Clean_Data'!A810</f>
        <v>809</v>
      </c>
      <c r="B813" s="10">
        <f>INDEX('2_Clean_Data'!$M$2:$M$1360,MATCH($A813,'2_Clean_Data'!$A$2:$A$1360,0))</f>
        <v>7</v>
      </c>
      <c r="C813" s="9" t="str">
        <f t="shared" si="48"/>
        <v>Good</v>
      </c>
      <c r="D813" s="11">
        <f>INDEX('2_Clean_Data'!$L$2:$L$1360,MATCH($A813,'2_Clean_Data'!$A$2:$A$1360,0))</f>
        <v>12</v>
      </c>
      <c r="E813" s="9" t="str">
        <f>IF(D813&lt;'3_Summary_Tables'!$C$16,"Low",IF(D813&lt;'3_Summary_Tables'!$C$17,"Medium","High"))</f>
        <v>High</v>
      </c>
      <c r="F813" s="12">
        <f>INDEX('2_Clean_Data'!$C$2:$C$1360,MATCH($A813,'2_Clean_Data'!$A$2:$A$1360,0))</f>
        <v>0.44</v>
      </c>
      <c r="G813" s="10">
        <f>INDEX('2_Clean_Data'!$H$2:$H$1360,MATCH($A813,'2_Clean_Data'!$A$2:$A$1360,0))</f>
        <v>24</v>
      </c>
      <c r="H813" s="9" t="str">
        <f t="shared" si="49"/>
        <v>Low</v>
      </c>
      <c r="I813" s="9" t="str">
        <f t="shared" si="50"/>
        <v>OK</v>
      </c>
      <c r="J813" s="9" t="str">
        <f t="shared" si="51"/>
        <v>Premium</v>
      </c>
    </row>
    <row r="814" spans="1:10" x14ac:dyDescent="0.3">
      <c r="A814" s="10">
        <f>'2_Clean_Data'!A811</f>
        <v>810</v>
      </c>
      <c r="B814" s="10">
        <f>INDEX('2_Clean_Data'!$M$2:$M$1360,MATCH($A814,'2_Clean_Data'!$A$2:$A$1360,0))</f>
        <v>7</v>
      </c>
      <c r="C814" s="9" t="str">
        <f t="shared" si="48"/>
        <v>Good</v>
      </c>
      <c r="D814" s="11">
        <f>INDEX('2_Clean_Data'!$L$2:$L$1360,MATCH($A814,'2_Clean_Data'!$A$2:$A$1360,0))</f>
        <v>12.4</v>
      </c>
      <c r="E814" s="9" t="str">
        <f>IF(D814&lt;'3_Summary_Tables'!$C$16,"Low",IF(D814&lt;'3_Summary_Tables'!$C$17,"Medium","High"))</f>
        <v>High</v>
      </c>
      <c r="F814" s="12">
        <f>INDEX('2_Clean_Data'!$C$2:$C$1360,MATCH($A814,'2_Clean_Data'!$A$2:$A$1360,0))</f>
        <v>0.28000000000000003</v>
      </c>
      <c r="G814" s="10">
        <f>INDEX('2_Clean_Data'!$H$2:$H$1360,MATCH($A814,'2_Clean_Data'!$A$2:$A$1360,0))</f>
        <v>12</v>
      </c>
      <c r="H814" s="9" t="str">
        <f t="shared" si="49"/>
        <v>Low</v>
      </c>
      <c r="I814" s="9" t="str">
        <f t="shared" si="50"/>
        <v>OK</v>
      </c>
      <c r="J814" s="9" t="str">
        <f t="shared" si="51"/>
        <v>Premium</v>
      </c>
    </row>
    <row r="815" spans="1:10" x14ac:dyDescent="0.3">
      <c r="A815" s="10">
        <f>'2_Clean_Data'!A812</f>
        <v>811</v>
      </c>
      <c r="B815" s="10">
        <f>INDEX('2_Clean_Data'!$M$2:$M$1360,MATCH($A815,'2_Clean_Data'!$A$2:$A$1360,0))</f>
        <v>7</v>
      </c>
      <c r="C815" s="9" t="str">
        <f t="shared" si="48"/>
        <v>Good</v>
      </c>
      <c r="D815" s="11">
        <f>INDEX('2_Clean_Data'!$L$2:$L$1360,MATCH($A815,'2_Clean_Data'!$A$2:$A$1360,0))</f>
        <v>11.9</v>
      </c>
      <c r="E815" s="9" t="str">
        <f>IF(D815&lt;'3_Summary_Tables'!$C$16,"Low",IF(D815&lt;'3_Summary_Tables'!$C$17,"Medium","High"))</f>
        <v>High</v>
      </c>
      <c r="F815" s="12">
        <f>INDEX('2_Clean_Data'!$C$2:$C$1360,MATCH($A815,'2_Clean_Data'!$A$2:$A$1360,0))</f>
        <v>0.12</v>
      </c>
      <c r="G815" s="10">
        <f>INDEX('2_Clean_Data'!$H$2:$H$1360,MATCH($A815,'2_Clean_Data'!$A$2:$A$1360,0))</f>
        <v>21</v>
      </c>
      <c r="H815" s="9" t="str">
        <f t="shared" si="49"/>
        <v>Low</v>
      </c>
      <c r="I815" s="9" t="str">
        <f t="shared" si="50"/>
        <v>OK</v>
      </c>
      <c r="J815" s="9" t="str">
        <f t="shared" si="51"/>
        <v>Premium</v>
      </c>
    </row>
    <row r="816" spans="1:10" x14ac:dyDescent="0.3">
      <c r="A816" s="10">
        <f>'2_Clean_Data'!A813</f>
        <v>812</v>
      </c>
      <c r="B816" s="10">
        <f>INDEX('2_Clean_Data'!$M$2:$M$1360,MATCH($A816,'2_Clean_Data'!$A$2:$A$1360,0))</f>
        <v>7</v>
      </c>
      <c r="C816" s="9" t="str">
        <f t="shared" si="48"/>
        <v>Good</v>
      </c>
      <c r="D816" s="11">
        <f>INDEX('2_Clean_Data'!$L$2:$L$1360,MATCH($A816,'2_Clean_Data'!$A$2:$A$1360,0))</f>
        <v>11.2</v>
      </c>
      <c r="E816" s="9" t="str">
        <f>IF(D816&lt;'3_Summary_Tables'!$C$16,"Low",IF(D816&lt;'3_Summary_Tables'!$C$17,"Medium","High"))</f>
        <v>Medium</v>
      </c>
      <c r="F816" s="12">
        <f>INDEX('2_Clean_Data'!$C$2:$C$1360,MATCH($A816,'2_Clean_Data'!$A$2:$A$1360,0))</f>
        <v>0.31</v>
      </c>
      <c r="G816" s="10">
        <f>INDEX('2_Clean_Data'!$H$2:$H$1360,MATCH($A816,'2_Clean_Data'!$A$2:$A$1360,0))</f>
        <v>10</v>
      </c>
      <c r="H816" s="9" t="str">
        <f t="shared" si="49"/>
        <v>Low</v>
      </c>
      <c r="I816" s="9" t="str">
        <f t="shared" si="50"/>
        <v>OK</v>
      </c>
      <c r="J816" s="9" t="str">
        <f t="shared" si="51"/>
        <v>Solid</v>
      </c>
    </row>
    <row r="817" spans="1:10" x14ac:dyDescent="0.3">
      <c r="A817" s="10">
        <f>'2_Clean_Data'!A814</f>
        <v>813</v>
      </c>
      <c r="B817" s="10">
        <f>INDEX('2_Clean_Data'!$M$2:$M$1360,MATCH($A817,'2_Clean_Data'!$A$2:$A$1360,0))</f>
        <v>7</v>
      </c>
      <c r="C817" s="9" t="str">
        <f t="shared" si="48"/>
        <v>Good</v>
      </c>
      <c r="D817" s="11">
        <f>INDEX('2_Clean_Data'!$L$2:$L$1360,MATCH($A817,'2_Clean_Data'!$A$2:$A$1360,0))</f>
        <v>12.1</v>
      </c>
      <c r="E817" s="9" t="str">
        <f>IF(D817&lt;'3_Summary_Tables'!$C$16,"Low",IF(D817&lt;'3_Summary_Tables'!$C$17,"Medium","High"))</f>
        <v>High</v>
      </c>
      <c r="F817" s="12">
        <f>INDEX('2_Clean_Data'!$C$2:$C$1360,MATCH($A817,'2_Clean_Data'!$A$2:$A$1360,0))</f>
        <v>0.34</v>
      </c>
      <c r="G817" s="10">
        <f>INDEX('2_Clean_Data'!$H$2:$H$1360,MATCH($A817,'2_Clean_Data'!$A$2:$A$1360,0))</f>
        <v>9</v>
      </c>
      <c r="H817" s="9" t="str">
        <f t="shared" si="49"/>
        <v>Low</v>
      </c>
      <c r="I817" s="9" t="str">
        <f t="shared" si="50"/>
        <v>OK</v>
      </c>
      <c r="J817" s="9" t="str">
        <f t="shared" si="51"/>
        <v>Premium</v>
      </c>
    </row>
    <row r="818" spans="1:10" x14ac:dyDescent="0.3">
      <c r="A818" s="10">
        <f>'2_Clean_Data'!A815</f>
        <v>814</v>
      </c>
      <c r="B818" s="10">
        <f>INDEX('2_Clean_Data'!$M$2:$M$1360,MATCH($A818,'2_Clean_Data'!$A$2:$A$1360,0))</f>
        <v>6</v>
      </c>
      <c r="C818" s="9" t="str">
        <f t="shared" si="48"/>
        <v>Above Average</v>
      </c>
      <c r="D818" s="11">
        <f>INDEX('2_Clean_Data'!$L$2:$L$1360,MATCH($A818,'2_Clean_Data'!$A$2:$A$1360,0))</f>
        <v>12.2</v>
      </c>
      <c r="E818" s="9" t="str">
        <f>IF(D818&lt;'3_Summary_Tables'!$C$16,"Low",IF(D818&lt;'3_Summary_Tables'!$C$17,"Medium","High"))</f>
        <v>High</v>
      </c>
      <c r="F818" s="12">
        <f>INDEX('2_Clean_Data'!$C$2:$C$1360,MATCH($A818,'2_Clean_Data'!$A$2:$A$1360,0))</f>
        <v>0.43</v>
      </c>
      <c r="G818" s="10">
        <f>INDEX('2_Clean_Data'!$H$2:$H$1360,MATCH($A818,'2_Clean_Data'!$A$2:$A$1360,0))</f>
        <v>11</v>
      </c>
      <c r="H818" s="9" t="str">
        <f t="shared" si="49"/>
        <v>Low</v>
      </c>
      <c r="I818" s="9" t="str">
        <f t="shared" si="50"/>
        <v>OK</v>
      </c>
      <c r="J818" s="9" t="str">
        <f t="shared" si="51"/>
        <v>Solid</v>
      </c>
    </row>
    <row r="819" spans="1:10" x14ac:dyDescent="0.3">
      <c r="A819" s="10">
        <f>'2_Clean_Data'!A816</f>
        <v>815</v>
      </c>
      <c r="B819" s="10">
        <f>INDEX('2_Clean_Data'!$M$2:$M$1360,MATCH($A819,'2_Clean_Data'!$A$2:$A$1360,0))</f>
        <v>5</v>
      </c>
      <c r="C819" s="9" t="str">
        <f t="shared" si="48"/>
        <v>Average</v>
      </c>
      <c r="D819" s="11">
        <f>INDEX('2_Clean_Data'!$L$2:$L$1360,MATCH($A819,'2_Clean_Data'!$A$2:$A$1360,0))</f>
        <v>10.4</v>
      </c>
      <c r="E819" s="9" t="str">
        <f>IF(D819&lt;'3_Summary_Tables'!$C$16,"Low",IF(D819&lt;'3_Summary_Tables'!$C$17,"Medium","High"))</f>
        <v>Medium</v>
      </c>
      <c r="F819" s="12">
        <f>INDEX('2_Clean_Data'!$C$2:$C$1360,MATCH($A819,'2_Clean_Data'!$A$2:$A$1360,0))</f>
        <v>0.21</v>
      </c>
      <c r="G819" s="10">
        <f>INDEX('2_Clean_Data'!$H$2:$H$1360,MATCH($A819,'2_Clean_Data'!$A$2:$A$1360,0))</f>
        <v>23</v>
      </c>
      <c r="H819" s="9" t="str">
        <f t="shared" si="49"/>
        <v>Low</v>
      </c>
      <c r="I819" s="9" t="str">
        <f t="shared" si="50"/>
        <v>OK</v>
      </c>
      <c r="J819" s="9" t="str">
        <f t="shared" si="51"/>
        <v>Standard</v>
      </c>
    </row>
    <row r="820" spans="1:10" x14ac:dyDescent="0.3">
      <c r="A820" s="10">
        <f>'2_Clean_Data'!A817</f>
        <v>816</v>
      </c>
      <c r="B820" s="10">
        <f>INDEX('2_Clean_Data'!$M$2:$M$1360,MATCH($A820,'2_Clean_Data'!$A$2:$A$1360,0))</f>
        <v>6</v>
      </c>
      <c r="C820" s="9" t="str">
        <f t="shared" si="48"/>
        <v>Above Average</v>
      </c>
      <c r="D820" s="11">
        <f>INDEX('2_Clean_Data'!$L$2:$L$1360,MATCH($A820,'2_Clean_Data'!$A$2:$A$1360,0))</f>
        <v>11.3</v>
      </c>
      <c r="E820" s="9" t="str">
        <f>IF(D820&lt;'3_Summary_Tables'!$C$16,"Low",IF(D820&lt;'3_Summary_Tables'!$C$17,"Medium","High"))</f>
        <v>Medium</v>
      </c>
      <c r="F820" s="12">
        <f>INDEX('2_Clean_Data'!$C$2:$C$1360,MATCH($A820,'2_Clean_Data'!$A$2:$A$1360,0))</f>
        <v>0.36</v>
      </c>
      <c r="G820" s="10">
        <f>INDEX('2_Clean_Data'!$H$2:$H$1360,MATCH($A820,'2_Clean_Data'!$A$2:$A$1360,0))</f>
        <v>10</v>
      </c>
      <c r="H820" s="9" t="str">
        <f t="shared" si="49"/>
        <v>Low</v>
      </c>
      <c r="I820" s="9" t="str">
        <f t="shared" si="50"/>
        <v>OK</v>
      </c>
      <c r="J820" s="9" t="str">
        <f t="shared" si="51"/>
        <v>Solid</v>
      </c>
    </row>
    <row r="821" spans="1:10" x14ac:dyDescent="0.3">
      <c r="A821" s="10">
        <f>'2_Clean_Data'!A818</f>
        <v>817</v>
      </c>
      <c r="B821" s="10">
        <f>INDEX('2_Clean_Data'!$M$2:$M$1360,MATCH($A821,'2_Clean_Data'!$A$2:$A$1360,0))</f>
        <v>6</v>
      </c>
      <c r="C821" s="9" t="str">
        <f t="shared" si="48"/>
        <v>Above Average</v>
      </c>
      <c r="D821" s="11">
        <f>INDEX('2_Clean_Data'!$L$2:$L$1360,MATCH($A821,'2_Clean_Data'!$A$2:$A$1360,0))</f>
        <v>11.1</v>
      </c>
      <c r="E821" s="9" t="str">
        <f>IF(D821&lt;'3_Summary_Tables'!$C$16,"Low",IF(D821&lt;'3_Summary_Tables'!$C$17,"Medium","High"))</f>
        <v>Medium</v>
      </c>
      <c r="F821" s="12">
        <f>INDEX('2_Clean_Data'!$C$2:$C$1360,MATCH($A821,'2_Clean_Data'!$A$2:$A$1360,0))</f>
        <v>0.37</v>
      </c>
      <c r="G821" s="10">
        <f>INDEX('2_Clean_Data'!$H$2:$H$1360,MATCH($A821,'2_Clean_Data'!$A$2:$A$1360,0))</f>
        <v>51</v>
      </c>
      <c r="H821" s="9" t="str">
        <f t="shared" si="49"/>
        <v>Moderate</v>
      </c>
      <c r="I821" s="9" t="str">
        <f t="shared" si="50"/>
        <v>OK</v>
      </c>
      <c r="J821" s="9" t="str">
        <f t="shared" si="51"/>
        <v>Solid</v>
      </c>
    </row>
    <row r="822" spans="1:10" x14ac:dyDescent="0.3">
      <c r="A822" s="10">
        <f>'2_Clean_Data'!A819</f>
        <v>818</v>
      </c>
      <c r="B822" s="10">
        <f>INDEX('2_Clean_Data'!$M$2:$M$1360,MATCH($A822,'2_Clean_Data'!$A$2:$A$1360,0))</f>
        <v>7</v>
      </c>
      <c r="C822" s="9" t="str">
        <f t="shared" si="48"/>
        <v>Good</v>
      </c>
      <c r="D822" s="11">
        <f>INDEX('2_Clean_Data'!$L$2:$L$1360,MATCH($A822,'2_Clean_Data'!$A$2:$A$1360,0))</f>
        <v>11.3</v>
      </c>
      <c r="E822" s="9" t="str">
        <f>IF(D822&lt;'3_Summary_Tables'!$C$16,"Low",IF(D822&lt;'3_Summary_Tables'!$C$17,"Medium","High"))</f>
        <v>Medium</v>
      </c>
      <c r="F822" s="12">
        <f>INDEX('2_Clean_Data'!$C$2:$C$1360,MATCH($A822,'2_Clean_Data'!$A$2:$A$1360,0))</f>
        <v>0.56999999999999995</v>
      </c>
      <c r="G822" s="10">
        <f>INDEX('2_Clean_Data'!$H$2:$H$1360,MATCH($A822,'2_Clean_Data'!$A$2:$A$1360,0))</f>
        <v>36</v>
      </c>
      <c r="H822" s="9" t="str">
        <f t="shared" si="49"/>
        <v>Low</v>
      </c>
      <c r="I822" s="9" t="str">
        <f t="shared" si="50"/>
        <v>OK</v>
      </c>
      <c r="J822" s="9" t="str">
        <f t="shared" si="51"/>
        <v>Solid</v>
      </c>
    </row>
    <row r="823" spans="1:10" x14ac:dyDescent="0.3">
      <c r="A823" s="10">
        <f>'2_Clean_Data'!A820</f>
        <v>819</v>
      </c>
      <c r="B823" s="10">
        <f>INDEX('2_Clean_Data'!$M$2:$M$1360,MATCH($A823,'2_Clean_Data'!$A$2:$A$1360,0))</f>
        <v>5</v>
      </c>
      <c r="C823" s="9" t="str">
        <f t="shared" si="48"/>
        <v>Average</v>
      </c>
      <c r="D823" s="11">
        <f>INDEX('2_Clean_Data'!$L$2:$L$1360,MATCH($A823,'2_Clean_Data'!$A$2:$A$1360,0))</f>
        <v>10</v>
      </c>
      <c r="E823" s="9" t="str">
        <f>IF(D823&lt;'3_Summary_Tables'!$C$16,"Low",IF(D823&lt;'3_Summary_Tables'!$C$17,"Medium","High"))</f>
        <v>Medium</v>
      </c>
      <c r="F823" s="12">
        <f>INDEX('2_Clean_Data'!$C$2:$C$1360,MATCH($A823,'2_Clean_Data'!$A$2:$A$1360,0))</f>
        <v>0.59</v>
      </c>
      <c r="G823" s="10">
        <f>INDEX('2_Clean_Data'!$H$2:$H$1360,MATCH($A823,'2_Clean_Data'!$A$2:$A$1360,0))</f>
        <v>32</v>
      </c>
      <c r="H823" s="9" t="str">
        <f t="shared" si="49"/>
        <v>Low</v>
      </c>
      <c r="I823" s="9" t="str">
        <f t="shared" si="50"/>
        <v>OK</v>
      </c>
      <c r="J823" s="9" t="str">
        <f t="shared" si="51"/>
        <v>Standard</v>
      </c>
    </row>
    <row r="824" spans="1:10" x14ac:dyDescent="0.3">
      <c r="A824" s="10">
        <f>'2_Clean_Data'!A821</f>
        <v>820</v>
      </c>
      <c r="B824" s="10">
        <f>INDEX('2_Clean_Data'!$M$2:$M$1360,MATCH($A824,'2_Clean_Data'!$A$2:$A$1360,0))</f>
        <v>6</v>
      </c>
      <c r="C824" s="9" t="str">
        <f t="shared" si="48"/>
        <v>Above Average</v>
      </c>
      <c r="D824" s="11">
        <f>INDEX('2_Clean_Data'!$L$2:$L$1360,MATCH($A824,'2_Clean_Data'!$A$2:$A$1360,0))</f>
        <v>11.1</v>
      </c>
      <c r="E824" s="9" t="str">
        <f>IF(D824&lt;'3_Summary_Tables'!$C$16,"Low",IF(D824&lt;'3_Summary_Tables'!$C$17,"Medium","High"))</f>
        <v>Medium</v>
      </c>
      <c r="F824" s="12">
        <f>INDEX('2_Clean_Data'!$C$2:$C$1360,MATCH($A824,'2_Clean_Data'!$A$2:$A$1360,0))</f>
        <v>0.47</v>
      </c>
      <c r="G824" s="10">
        <f>INDEX('2_Clean_Data'!$H$2:$H$1360,MATCH($A824,'2_Clean_Data'!$A$2:$A$1360,0))</f>
        <v>38</v>
      </c>
      <c r="H824" s="9" t="str">
        <f t="shared" si="49"/>
        <v>Low</v>
      </c>
      <c r="I824" s="9" t="str">
        <f t="shared" si="50"/>
        <v>OK</v>
      </c>
      <c r="J824" s="9" t="str">
        <f t="shared" si="51"/>
        <v>Solid</v>
      </c>
    </row>
    <row r="825" spans="1:10" x14ac:dyDescent="0.3">
      <c r="A825" s="10">
        <f>'2_Clean_Data'!A822</f>
        <v>821</v>
      </c>
      <c r="B825" s="10">
        <f>INDEX('2_Clean_Data'!$M$2:$M$1360,MATCH($A825,'2_Clean_Data'!$A$2:$A$1360,0))</f>
        <v>5</v>
      </c>
      <c r="C825" s="9" t="str">
        <f t="shared" si="48"/>
        <v>Average</v>
      </c>
      <c r="D825" s="11">
        <f>INDEX('2_Clean_Data'!$L$2:$L$1360,MATCH($A825,'2_Clean_Data'!$A$2:$A$1360,0))</f>
        <v>9.3000000000000007</v>
      </c>
      <c r="E825" s="9" t="str">
        <f>IF(D825&lt;'3_Summary_Tables'!$C$16,"Low",IF(D825&lt;'3_Summary_Tables'!$C$17,"Medium","High"))</f>
        <v>Low</v>
      </c>
      <c r="F825" s="12">
        <f>INDEX('2_Clean_Data'!$C$2:$C$1360,MATCH($A825,'2_Clean_Data'!$A$2:$A$1360,0))</f>
        <v>0.56000000000000005</v>
      </c>
      <c r="G825" s="10">
        <f>INDEX('2_Clean_Data'!$H$2:$H$1360,MATCH($A825,'2_Clean_Data'!$A$2:$A$1360,0))</f>
        <v>18</v>
      </c>
      <c r="H825" s="9" t="str">
        <f t="shared" si="49"/>
        <v>Low</v>
      </c>
      <c r="I825" s="9" t="str">
        <f t="shared" si="50"/>
        <v>OK</v>
      </c>
      <c r="J825" s="9" t="str">
        <f t="shared" si="51"/>
        <v>Standard</v>
      </c>
    </row>
    <row r="826" spans="1:10" x14ac:dyDescent="0.3">
      <c r="A826" s="10">
        <f>'2_Clean_Data'!A823</f>
        <v>822</v>
      </c>
      <c r="B826" s="10">
        <f>INDEX('2_Clean_Data'!$M$2:$M$1360,MATCH($A826,'2_Clean_Data'!$A$2:$A$1360,0))</f>
        <v>5</v>
      </c>
      <c r="C826" s="9" t="str">
        <f t="shared" si="48"/>
        <v>Average</v>
      </c>
      <c r="D826" s="11">
        <f>INDEX('2_Clean_Data'!$L$2:$L$1360,MATCH($A826,'2_Clean_Data'!$A$2:$A$1360,0))</f>
        <v>9.5</v>
      </c>
      <c r="E826" s="9" t="str">
        <f>IF(D826&lt;'3_Summary_Tables'!$C$16,"Low",IF(D826&lt;'3_Summary_Tables'!$C$17,"Medium","High"))</f>
        <v>Low</v>
      </c>
      <c r="F826" s="12">
        <f>INDEX('2_Clean_Data'!$C$2:$C$1360,MATCH($A826,'2_Clean_Data'!$A$2:$A$1360,0))</f>
        <v>0.56999999999999995</v>
      </c>
      <c r="G826" s="10">
        <f>INDEX('2_Clean_Data'!$H$2:$H$1360,MATCH($A826,'2_Clean_Data'!$A$2:$A$1360,0))</f>
        <v>16</v>
      </c>
      <c r="H826" s="9" t="str">
        <f t="shared" si="49"/>
        <v>Low</v>
      </c>
      <c r="I826" s="9" t="str">
        <f t="shared" si="50"/>
        <v>OK</v>
      </c>
      <c r="J826" s="9" t="str">
        <f t="shared" si="51"/>
        <v>Standard</v>
      </c>
    </row>
    <row r="827" spans="1:10" x14ac:dyDescent="0.3">
      <c r="A827" s="10">
        <f>'2_Clean_Data'!A824</f>
        <v>823</v>
      </c>
      <c r="B827" s="10">
        <f>INDEX('2_Clean_Data'!$M$2:$M$1360,MATCH($A827,'2_Clean_Data'!$A$2:$A$1360,0))</f>
        <v>6</v>
      </c>
      <c r="C827" s="9" t="str">
        <f t="shared" si="48"/>
        <v>Above Average</v>
      </c>
      <c r="D827" s="11">
        <f>INDEX('2_Clean_Data'!$L$2:$L$1360,MATCH($A827,'2_Clean_Data'!$A$2:$A$1360,0))</f>
        <v>11.2</v>
      </c>
      <c r="E827" s="9" t="str">
        <f>IF(D827&lt;'3_Summary_Tables'!$C$16,"Low",IF(D827&lt;'3_Summary_Tables'!$C$17,"Medium","High"))</f>
        <v>Medium</v>
      </c>
      <c r="F827" s="12">
        <f>INDEX('2_Clean_Data'!$C$2:$C$1360,MATCH($A827,'2_Clean_Data'!$A$2:$A$1360,0))</f>
        <v>0.27</v>
      </c>
      <c r="G827" s="10">
        <f>INDEX('2_Clean_Data'!$H$2:$H$1360,MATCH($A827,'2_Clean_Data'!$A$2:$A$1360,0))</f>
        <v>27</v>
      </c>
      <c r="H827" s="9" t="str">
        <f t="shared" si="49"/>
        <v>Low</v>
      </c>
      <c r="I827" s="9" t="str">
        <f t="shared" si="50"/>
        <v>OK</v>
      </c>
      <c r="J827" s="9" t="str">
        <f t="shared" si="51"/>
        <v>Solid</v>
      </c>
    </row>
    <row r="828" spans="1:10" x14ac:dyDescent="0.3">
      <c r="A828" s="10">
        <f>'2_Clean_Data'!A825</f>
        <v>824</v>
      </c>
      <c r="B828" s="10">
        <f>INDEX('2_Clean_Data'!$M$2:$M$1360,MATCH($A828,'2_Clean_Data'!$A$2:$A$1360,0))</f>
        <v>6</v>
      </c>
      <c r="C828" s="9" t="str">
        <f t="shared" si="48"/>
        <v>Above Average</v>
      </c>
      <c r="D828" s="11">
        <f>INDEX('2_Clean_Data'!$L$2:$L$1360,MATCH($A828,'2_Clean_Data'!$A$2:$A$1360,0))</f>
        <v>11</v>
      </c>
      <c r="E828" s="9" t="str">
        <f>IF(D828&lt;'3_Summary_Tables'!$C$16,"Low",IF(D828&lt;'3_Summary_Tables'!$C$17,"Medium","High"))</f>
        <v>Medium</v>
      </c>
      <c r="F828" s="12">
        <f>INDEX('2_Clean_Data'!$C$2:$C$1360,MATCH($A828,'2_Clean_Data'!$A$2:$A$1360,0))</f>
        <v>0.34</v>
      </c>
      <c r="G828" s="10">
        <f>INDEX('2_Clean_Data'!$H$2:$H$1360,MATCH($A828,'2_Clean_Data'!$A$2:$A$1360,0))</f>
        <v>48</v>
      </c>
      <c r="H828" s="9" t="str">
        <f t="shared" si="49"/>
        <v>Low</v>
      </c>
      <c r="I828" s="9" t="str">
        <f t="shared" si="50"/>
        <v>OK</v>
      </c>
      <c r="J828" s="9" t="str">
        <f t="shared" si="51"/>
        <v>Solid</v>
      </c>
    </row>
    <row r="829" spans="1:10" x14ac:dyDescent="0.3">
      <c r="A829" s="10">
        <f>'2_Clean_Data'!A826</f>
        <v>825</v>
      </c>
      <c r="B829" s="10">
        <f>INDEX('2_Clean_Data'!$M$2:$M$1360,MATCH($A829,'2_Clean_Data'!$A$2:$A$1360,0))</f>
        <v>7</v>
      </c>
      <c r="C829" s="9" t="str">
        <f t="shared" si="48"/>
        <v>Good</v>
      </c>
      <c r="D829" s="11">
        <f>INDEX('2_Clean_Data'!$L$2:$L$1360,MATCH($A829,'2_Clean_Data'!$A$2:$A$1360,0))</f>
        <v>11.9</v>
      </c>
      <c r="E829" s="9" t="str">
        <f>IF(D829&lt;'3_Summary_Tables'!$C$16,"Low",IF(D829&lt;'3_Summary_Tables'!$C$17,"Medium","High"))</f>
        <v>High</v>
      </c>
      <c r="F829" s="12">
        <f>INDEX('2_Clean_Data'!$C$2:$C$1360,MATCH($A829,'2_Clean_Data'!$A$2:$A$1360,0))</f>
        <v>0.38</v>
      </c>
      <c r="G829" s="10">
        <f>INDEX('2_Clean_Data'!$H$2:$H$1360,MATCH($A829,'2_Clean_Data'!$A$2:$A$1360,0))</f>
        <v>10</v>
      </c>
      <c r="H829" s="9" t="str">
        <f t="shared" si="49"/>
        <v>Low</v>
      </c>
      <c r="I829" s="9" t="str">
        <f t="shared" si="50"/>
        <v>OK</v>
      </c>
      <c r="J829" s="9" t="str">
        <f t="shared" si="51"/>
        <v>Premium</v>
      </c>
    </row>
    <row r="830" spans="1:10" x14ac:dyDescent="0.3">
      <c r="A830" s="10">
        <f>'2_Clean_Data'!A827</f>
        <v>826</v>
      </c>
      <c r="B830" s="10">
        <f>INDEX('2_Clean_Data'!$M$2:$M$1360,MATCH($A830,'2_Clean_Data'!$A$2:$A$1360,0))</f>
        <v>5</v>
      </c>
      <c r="C830" s="9" t="str">
        <f t="shared" si="48"/>
        <v>Average</v>
      </c>
      <c r="D830" s="11">
        <f>INDEX('2_Clean_Data'!$L$2:$L$1360,MATCH($A830,'2_Clean_Data'!$A$2:$A$1360,0))</f>
        <v>9.1999999999999993</v>
      </c>
      <c r="E830" s="9" t="str">
        <f>IF(D830&lt;'3_Summary_Tables'!$C$16,"Low",IF(D830&lt;'3_Summary_Tables'!$C$17,"Medium","High"))</f>
        <v>Low</v>
      </c>
      <c r="F830" s="12">
        <f>INDEX('2_Clean_Data'!$C$2:$C$1360,MATCH($A830,'2_Clean_Data'!$A$2:$A$1360,0))</f>
        <v>0.66</v>
      </c>
      <c r="G830" s="10">
        <f>INDEX('2_Clean_Data'!$H$2:$H$1360,MATCH($A830,'2_Clean_Data'!$A$2:$A$1360,0))</f>
        <v>113</v>
      </c>
      <c r="H830" s="9" t="str">
        <f t="shared" si="49"/>
        <v>High</v>
      </c>
      <c r="I830" s="9" t="str">
        <f t="shared" si="50"/>
        <v>OK</v>
      </c>
      <c r="J830" s="9" t="str">
        <f t="shared" si="51"/>
        <v>Standard</v>
      </c>
    </row>
    <row r="831" spans="1:10" x14ac:dyDescent="0.3">
      <c r="A831" s="10">
        <f>'2_Clean_Data'!A828</f>
        <v>827</v>
      </c>
      <c r="B831" s="10">
        <f>INDEX('2_Clean_Data'!$M$2:$M$1360,MATCH($A831,'2_Clean_Data'!$A$2:$A$1360,0))</f>
        <v>6</v>
      </c>
      <c r="C831" s="9" t="str">
        <f t="shared" si="48"/>
        <v>Above Average</v>
      </c>
      <c r="D831" s="11">
        <f>INDEX('2_Clean_Data'!$L$2:$L$1360,MATCH($A831,'2_Clean_Data'!$A$2:$A$1360,0))</f>
        <v>12.2</v>
      </c>
      <c r="E831" s="9" t="str">
        <f>IF(D831&lt;'3_Summary_Tables'!$C$16,"Low",IF(D831&lt;'3_Summary_Tables'!$C$17,"Medium","High"))</f>
        <v>High</v>
      </c>
      <c r="F831" s="12">
        <f>INDEX('2_Clean_Data'!$C$2:$C$1360,MATCH($A831,'2_Clean_Data'!$A$2:$A$1360,0))</f>
        <v>0.4</v>
      </c>
      <c r="G831" s="10">
        <f>INDEX('2_Clean_Data'!$H$2:$H$1360,MATCH($A831,'2_Clean_Data'!$A$2:$A$1360,0))</f>
        <v>46</v>
      </c>
      <c r="H831" s="9" t="str">
        <f t="shared" si="49"/>
        <v>Low</v>
      </c>
      <c r="I831" s="9" t="str">
        <f t="shared" si="50"/>
        <v>OK</v>
      </c>
      <c r="J831" s="9" t="str">
        <f t="shared" si="51"/>
        <v>Solid</v>
      </c>
    </row>
    <row r="832" spans="1:10" x14ac:dyDescent="0.3">
      <c r="A832" s="10">
        <f>'2_Clean_Data'!A829</f>
        <v>828</v>
      </c>
      <c r="B832" s="10">
        <f>INDEX('2_Clean_Data'!$M$2:$M$1360,MATCH($A832,'2_Clean_Data'!$A$2:$A$1360,0))</f>
        <v>5</v>
      </c>
      <c r="C832" s="9" t="str">
        <f t="shared" si="48"/>
        <v>Average</v>
      </c>
      <c r="D832" s="11">
        <f>INDEX('2_Clean_Data'!$L$2:$L$1360,MATCH($A832,'2_Clean_Data'!$A$2:$A$1360,0))</f>
        <v>10.199999999999999</v>
      </c>
      <c r="E832" s="9" t="str">
        <f>IF(D832&lt;'3_Summary_Tables'!$C$16,"Low",IF(D832&lt;'3_Summary_Tables'!$C$17,"Medium","High"))</f>
        <v>Medium</v>
      </c>
      <c r="F832" s="12">
        <f>INDEX('2_Clean_Data'!$C$2:$C$1360,MATCH($A832,'2_Clean_Data'!$A$2:$A$1360,0))</f>
        <v>0.56000000000000005</v>
      </c>
      <c r="G832" s="10">
        <f>INDEX('2_Clean_Data'!$H$2:$H$1360,MATCH($A832,'2_Clean_Data'!$A$2:$A$1360,0))</f>
        <v>22</v>
      </c>
      <c r="H832" s="9" t="str">
        <f t="shared" si="49"/>
        <v>Low</v>
      </c>
      <c r="I832" s="9" t="str">
        <f t="shared" si="50"/>
        <v>OK</v>
      </c>
      <c r="J832" s="9" t="str">
        <f t="shared" si="51"/>
        <v>Standard</v>
      </c>
    </row>
    <row r="833" spans="1:10" x14ac:dyDescent="0.3">
      <c r="A833" s="10">
        <f>'2_Clean_Data'!A830</f>
        <v>829</v>
      </c>
      <c r="B833" s="10">
        <f>INDEX('2_Clean_Data'!$M$2:$M$1360,MATCH($A833,'2_Clean_Data'!$A$2:$A$1360,0))</f>
        <v>6</v>
      </c>
      <c r="C833" s="9" t="str">
        <f t="shared" si="48"/>
        <v>Above Average</v>
      </c>
      <c r="D833" s="11">
        <f>INDEX('2_Clean_Data'!$L$2:$L$1360,MATCH($A833,'2_Clean_Data'!$A$2:$A$1360,0))</f>
        <v>10.9</v>
      </c>
      <c r="E833" s="9" t="str">
        <f>IF(D833&lt;'3_Summary_Tables'!$C$16,"Low",IF(D833&lt;'3_Summary_Tables'!$C$17,"Medium","High"))</f>
        <v>Medium</v>
      </c>
      <c r="F833" s="12">
        <f>INDEX('2_Clean_Data'!$C$2:$C$1360,MATCH($A833,'2_Clean_Data'!$A$2:$A$1360,0))</f>
        <v>0.26</v>
      </c>
      <c r="G833" s="10">
        <f>INDEX('2_Clean_Data'!$H$2:$H$1360,MATCH($A833,'2_Clean_Data'!$A$2:$A$1360,0))</f>
        <v>10</v>
      </c>
      <c r="H833" s="9" t="str">
        <f t="shared" si="49"/>
        <v>Low</v>
      </c>
      <c r="I833" s="9" t="str">
        <f t="shared" si="50"/>
        <v>OK</v>
      </c>
      <c r="J833" s="9" t="str">
        <f t="shared" si="51"/>
        <v>Solid</v>
      </c>
    </row>
    <row r="834" spans="1:10" x14ac:dyDescent="0.3">
      <c r="A834" s="10">
        <f>'2_Clean_Data'!A831</f>
        <v>830</v>
      </c>
      <c r="B834" s="10">
        <f>INDEX('2_Clean_Data'!$M$2:$M$1360,MATCH($A834,'2_Clean_Data'!$A$2:$A$1360,0))</f>
        <v>7</v>
      </c>
      <c r="C834" s="9" t="str">
        <f t="shared" si="48"/>
        <v>Good</v>
      </c>
      <c r="D834" s="11">
        <f>INDEX('2_Clean_Data'!$L$2:$L$1360,MATCH($A834,'2_Clean_Data'!$A$2:$A$1360,0))</f>
        <v>11.6</v>
      </c>
      <c r="E834" s="9" t="str">
        <f>IF(D834&lt;'3_Summary_Tables'!$C$16,"Low",IF(D834&lt;'3_Summary_Tables'!$C$17,"Medium","High"))</f>
        <v>High</v>
      </c>
      <c r="F834" s="12">
        <f>INDEX('2_Clean_Data'!$C$2:$C$1360,MATCH($A834,'2_Clean_Data'!$A$2:$A$1360,0))</f>
        <v>0.38</v>
      </c>
      <c r="G834" s="10">
        <f>INDEX('2_Clean_Data'!$H$2:$H$1360,MATCH($A834,'2_Clean_Data'!$A$2:$A$1360,0))</f>
        <v>13</v>
      </c>
      <c r="H834" s="9" t="str">
        <f t="shared" si="49"/>
        <v>Low</v>
      </c>
      <c r="I834" s="9" t="str">
        <f t="shared" si="50"/>
        <v>OK</v>
      </c>
      <c r="J834" s="9" t="str">
        <f t="shared" si="51"/>
        <v>Premium</v>
      </c>
    </row>
    <row r="835" spans="1:10" x14ac:dyDescent="0.3">
      <c r="A835" s="10">
        <f>'2_Clean_Data'!A832</f>
        <v>831</v>
      </c>
      <c r="B835" s="10">
        <f>INDEX('2_Clean_Data'!$M$2:$M$1360,MATCH($A835,'2_Clean_Data'!$A$2:$A$1360,0))</f>
        <v>5</v>
      </c>
      <c r="C835" s="9" t="str">
        <f t="shared" si="48"/>
        <v>Average</v>
      </c>
      <c r="D835" s="11">
        <f>INDEX('2_Clean_Data'!$L$2:$L$1360,MATCH($A835,'2_Clean_Data'!$A$2:$A$1360,0))</f>
        <v>10.7</v>
      </c>
      <c r="E835" s="9" t="str">
        <f>IF(D835&lt;'3_Summary_Tables'!$C$16,"Low",IF(D835&lt;'3_Summary_Tables'!$C$17,"Medium","High"))</f>
        <v>Medium</v>
      </c>
      <c r="F835" s="12">
        <f>INDEX('2_Clean_Data'!$C$2:$C$1360,MATCH($A835,'2_Clean_Data'!$A$2:$A$1360,0))</f>
        <v>0.34</v>
      </c>
      <c r="G835" s="10">
        <f>INDEX('2_Clean_Data'!$H$2:$H$1360,MATCH($A835,'2_Clean_Data'!$A$2:$A$1360,0))</f>
        <v>12</v>
      </c>
      <c r="H835" s="9" t="str">
        <f t="shared" si="49"/>
        <v>Low</v>
      </c>
      <c r="I835" s="9" t="str">
        <f t="shared" si="50"/>
        <v>OK</v>
      </c>
      <c r="J835" s="9" t="str">
        <f t="shared" si="51"/>
        <v>Standard</v>
      </c>
    </row>
    <row r="836" spans="1:10" x14ac:dyDescent="0.3">
      <c r="A836" s="10">
        <f>'2_Clean_Data'!A833</f>
        <v>832</v>
      </c>
      <c r="B836" s="10">
        <f>INDEX('2_Clean_Data'!$M$2:$M$1360,MATCH($A836,'2_Clean_Data'!$A$2:$A$1360,0))</f>
        <v>7</v>
      </c>
      <c r="C836" s="9" t="str">
        <f t="shared" si="48"/>
        <v>Good</v>
      </c>
      <c r="D836" s="11">
        <f>INDEX('2_Clean_Data'!$L$2:$L$1360,MATCH($A836,'2_Clean_Data'!$A$2:$A$1360,0))</f>
        <v>12.1</v>
      </c>
      <c r="E836" s="9" t="str">
        <f>IF(D836&lt;'3_Summary_Tables'!$C$16,"Low",IF(D836&lt;'3_Summary_Tables'!$C$17,"Medium","High"))</f>
        <v>High</v>
      </c>
      <c r="F836" s="12">
        <f>INDEX('2_Clean_Data'!$C$2:$C$1360,MATCH($A836,'2_Clean_Data'!$A$2:$A$1360,0))</f>
        <v>0.33</v>
      </c>
      <c r="G836" s="10">
        <f>INDEX('2_Clean_Data'!$H$2:$H$1360,MATCH($A836,'2_Clean_Data'!$A$2:$A$1360,0))</f>
        <v>13</v>
      </c>
      <c r="H836" s="9" t="str">
        <f t="shared" si="49"/>
        <v>Low</v>
      </c>
      <c r="I836" s="9" t="str">
        <f t="shared" si="50"/>
        <v>OK</v>
      </c>
      <c r="J836" s="9" t="str">
        <f t="shared" si="51"/>
        <v>Premium</v>
      </c>
    </row>
    <row r="837" spans="1:10" x14ac:dyDescent="0.3">
      <c r="A837" s="10">
        <f>'2_Clean_Data'!A834</f>
        <v>833</v>
      </c>
      <c r="B837" s="10">
        <f>INDEX('2_Clean_Data'!$M$2:$M$1360,MATCH($A837,'2_Clean_Data'!$A$2:$A$1360,0))</f>
        <v>5</v>
      </c>
      <c r="C837" s="9" t="str">
        <f t="shared" ref="C837:C900" si="52">VLOOKUP(B837,$L$12:$N$17,2,FALSE())</f>
        <v>Average</v>
      </c>
      <c r="D837" s="11">
        <f>INDEX('2_Clean_Data'!$L$2:$L$1360,MATCH($A837,'2_Clean_Data'!$A$2:$A$1360,0))</f>
        <v>9.4</v>
      </c>
      <c r="E837" s="9" t="str">
        <f>IF(D837&lt;'3_Summary_Tables'!$C$16,"Low",IF(D837&lt;'3_Summary_Tables'!$C$17,"Medium","High"))</f>
        <v>Low</v>
      </c>
      <c r="F837" s="12">
        <f>INDEX('2_Clean_Data'!$C$2:$C$1360,MATCH($A837,'2_Clean_Data'!$A$2:$A$1360,0))</f>
        <v>0.41</v>
      </c>
      <c r="G837" s="10">
        <f>INDEX('2_Clean_Data'!$H$2:$H$1360,MATCH($A837,'2_Clean_Data'!$A$2:$A$1360,0))</f>
        <v>72</v>
      </c>
      <c r="H837" s="9" t="str">
        <f t="shared" ref="H837:H900" si="53">IF(G837&gt;$M$8,"High",IF(G837&gt;$M$7,"Moderate","Low"))</f>
        <v>Moderate</v>
      </c>
      <c r="I837" s="9" t="str">
        <f t="shared" ref="I837:I900" si="54">IF(F837&gt;$M$6,"Above limit","OK")</f>
        <v>OK</v>
      </c>
      <c r="J837" s="9" t="str">
        <f t="shared" ref="J837:J900" si="55">IF(AND(B837&gt;=7,E837="High"),"Premium",IF(AND(B837&gt;=6,I837="OK"),"Solid",IF(B837&lt;=4,"Poor","Standard")))</f>
        <v>Standard</v>
      </c>
    </row>
    <row r="838" spans="1:10" x14ac:dyDescent="0.3">
      <c r="A838" s="10">
        <f>'2_Clean_Data'!A835</f>
        <v>834</v>
      </c>
      <c r="B838" s="10">
        <f>INDEX('2_Clean_Data'!$M$2:$M$1360,MATCH($A838,'2_Clean_Data'!$A$2:$A$1360,0))</f>
        <v>5</v>
      </c>
      <c r="C838" s="9" t="str">
        <f t="shared" si="52"/>
        <v>Average</v>
      </c>
      <c r="D838" s="11">
        <f>INDEX('2_Clean_Data'!$L$2:$L$1360,MATCH($A838,'2_Clean_Data'!$A$2:$A$1360,0))</f>
        <v>9.1</v>
      </c>
      <c r="E838" s="9" t="str">
        <f>IF(D838&lt;'3_Summary_Tables'!$C$16,"Low",IF(D838&lt;'3_Summary_Tables'!$C$17,"Medium","High"))</f>
        <v>Low</v>
      </c>
      <c r="F838" s="12">
        <f>INDEX('2_Clean_Data'!$C$2:$C$1360,MATCH($A838,'2_Clean_Data'!$A$2:$A$1360,0))</f>
        <v>0.59</v>
      </c>
      <c r="G838" s="10">
        <f>INDEX('2_Clean_Data'!$H$2:$H$1360,MATCH($A838,'2_Clean_Data'!$A$2:$A$1360,0))</f>
        <v>119</v>
      </c>
      <c r="H838" s="9" t="str">
        <f t="shared" si="53"/>
        <v>High</v>
      </c>
      <c r="I838" s="9" t="str">
        <f t="shared" si="54"/>
        <v>OK</v>
      </c>
      <c r="J838" s="9" t="str">
        <f t="shared" si="55"/>
        <v>Standard</v>
      </c>
    </row>
    <row r="839" spans="1:10" x14ac:dyDescent="0.3">
      <c r="A839" s="10">
        <f>'2_Clean_Data'!A836</f>
        <v>835</v>
      </c>
      <c r="B839" s="10">
        <f>INDEX('2_Clean_Data'!$M$2:$M$1360,MATCH($A839,'2_Clean_Data'!$A$2:$A$1360,0))</f>
        <v>7</v>
      </c>
      <c r="C839" s="9" t="str">
        <f t="shared" si="52"/>
        <v>Good</v>
      </c>
      <c r="D839" s="11">
        <f>INDEX('2_Clean_Data'!$L$2:$L$1360,MATCH($A839,'2_Clean_Data'!$A$2:$A$1360,0))</f>
        <v>11.3</v>
      </c>
      <c r="E839" s="9" t="str">
        <f>IF(D839&lt;'3_Summary_Tables'!$C$16,"Low",IF(D839&lt;'3_Summary_Tables'!$C$17,"Medium","High"))</f>
        <v>Medium</v>
      </c>
      <c r="F839" s="12">
        <f>INDEX('2_Clean_Data'!$C$2:$C$1360,MATCH($A839,'2_Clean_Data'!$A$2:$A$1360,0))</f>
        <v>0.4</v>
      </c>
      <c r="G839" s="10">
        <f>INDEX('2_Clean_Data'!$H$2:$H$1360,MATCH($A839,'2_Clean_Data'!$A$2:$A$1360,0))</f>
        <v>29</v>
      </c>
      <c r="H839" s="9" t="str">
        <f t="shared" si="53"/>
        <v>Low</v>
      </c>
      <c r="I839" s="9" t="str">
        <f t="shared" si="54"/>
        <v>OK</v>
      </c>
      <c r="J839" s="9" t="str">
        <f t="shared" si="55"/>
        <v>Solid</v>
      </c>
    </row>
    <row r="840" spans="1:10" x14ac:dyDescent="0.3">
      <c r="A840" s="10">
        <f>'2_Clean_Data'!A837</f>
        <v>836</v>
      </c>
      <c r="B840" s="10">
        <f>INDEX('2_Clean_Data'!$M$2:$M$1360,MATCH($A840,'2_Clean_Data'!$A$2:$A$1360,0))</f>
        <v>5</v>
      </c>
      <c r="C840" s="9" t="str">
        <f t="shared" si="52"/>
        <v>Average</v>
      </c>
      <c r="D840" s="11">
        <f>INDEX('2_Clean_Data'!$L$2:$L$1360,MATCH($A840,'2_Clean_Data'!$A$2:$A$1360,0))</f>
        <v>10.4</v>
      </c>
      <c r="E840" s="9" t="str">
        <f>IF(D840&lt;'3_Summary_Tables'!$C$16,"Low",IF(D840&lt;'3_Summary_Tables'!$C$17,"Medium","High"))</f>
        <v>Medium</v>
      </c>
      <c r="F840" s="12">
        <f>INDEX('2_Clean_Data'!$C$2:$C$1360,MATCH($A840,'2_Clean_Data'!$A$2:$A$1360,0))</f>
        <v>0.45</v>
      </c>
      <c r="G840" s="10">
        <f>INDEX('2_Clean_Data'!$H$2:$H$1360,MATCH($A840,'2_Clean_Data'!$A$2:$A$1360,0))</f>
        <v>6</v>
      </c>
      <c r="H840" s="9" t="str">
        <f t="shared" si="53"/>
        <v>Low</v>
      </c>
      <c r="I840" s="9" t="str">
        <f t="shared" si="54"/>
        <v>OK</v>
      </c>
      <c r="J840" s="9" t="str">
        <f t="shared" si="55"/>
        <v>Standard</v>
      </c>
    </row>
    <row r="841" spans="1:10" x14ac:dyDescent="0.3">
      <c r="A841" s="10">
        <f>'2_Clean_Data'!A838</f>
        <v>837</v>
      </c>
      <c r="B841" s="10">
        <f>INDEX('2_Clean_Data'!$M$2:$M$1360,MATCH($A841,'2_Clean_Data'!$A$2:$A$1360,0))</f>
        <v>6</v>
      </c>
      <c r="C841" s="9" t="str">
        <f t="shared" si="52"/>
        <v>Above Average</v>
      </c>
      <c r="D841" s="11">
        <f>INDEX('2_Clean_Data'!$L$2:$L$1360,MATCH($A841,'2_Clean_Data'!$A$2:$A$1360,0))</f>
        <v>10.5</v>
      </c>
      <c r="E841" s="9" t="str">
        <f>IF(D841&lt;'3_Summary_Tables'!$C$16,"Low",IF(D841&lt;'3_Summary_Tables'!$C$17,"Medium","High"))</f>
        <v>Medium</v>
      </c>
      <c r="F841" s="12">
        <f>INDEX('2_Clean_Data'!$C$2:$C$1360,MATCH($A841,'2_Clean_Data'!$A$2:$A$1360,0))</f>
        <v>0.5</v>
      </c>
      <c r="G841" s="10">
        <f>INDEX('2_Clean_Data'!$H$2:$H$1360,MATCH($A841,'2_Clean_Data'!$A$2:$A$1360,0))</f>
        <v>17</v>
      </c>
      <c r="H841" s="9" t="str">
        <f t="shared" si="53"/>
        <v>Low</v>
      </c>
      <c r="I841" s="9" t="str">
        <f t="shared" si="54"/>
        <v>OK</v>
      </c>
      <c r="J841" s="9" t="str">
        <f t="shared" si="55"/>
        <v>Solid</v>
      </c>
    </row>
    <row r="842" spans="1:10" x14ac:dyDescent="0.3">
      <c r="A842" s="10">
        <f>'2_Clean_Data'!A839</f>
        <v>838</v>
      </c>
      <c r="B842" s="10">
        <f>INDEX('2_Clean_Data'!$M$2:$M$1360,MATCH($A842,'2_Clean_Data'!$A$2:$A$1360,0))</f>
        <v>5</v>
      </c>
      <c r="C842" s="9" t="str">
        <f t="shared" si="52"/>
        <v>Average</v>
      </c>
      <c r="D842" s="11">
        <f>INDEX('2_Clean_Data'!$L$2:$L$1360,MATCH($A842,'2_Clean_Data'!$A$2:$A$1360,0))</f>
        <v>10</v>
      </c>
      <c r="E842" s="9" t="str">
        <f>IF(D842&lt;'3_Summary_Tables'!$C$16,"Low",IF(D842&lt;'3_Summary_Tables'!$C$17,"Medium","High"))</f>
        <v>Medium</v>
      </c>
      <c r="F842" s="12">
        <f>INDEX('2_Clean_Data'!$C$2:$C$1360,MATCH($A842,'2_Clean_Data'!$A$2:$A$1360,0))</f>
        <v>0.86</v>
      </c>
      <c r="G842" s="10">
        <f>INDEX('2_Clean_Data'!$H$2:$H$1360,MATCH($A842,'2_Clean_Data'!$A$2:$A$1360,0))</f>
        <v>28</v>
      </c>
      <c r="H842" s="9" t="str">
        <f t="shared" si="53"/>
        <v>Low</v>
      </c>
      <c r="I842" s="9" t="str">
        <f t="shared" si="54"/>
        <v>Above limit</v>
      </c>
      <c r="J842" s="9" t="str">
        <f t="shared" si="55"/>
        <v>Standard</v>
      </c>
    </row>
    <row r="843" spans="1:10" x14ac:dyDescent="0.3">
      <c r="A843" s="10">
        <f>'2_Clean_Data'!A840</f>
        <v>839</v>
      </c>
      <c r="B843" s="10">
        <f>INDEX('2_Clean_Data'!$M$2:$M$1360,MATCH($A843,'2_Clean_Data'!$A$2:$A$1360,0))</f>
        <v>6</v>
      </c>
      <c r="C843" s="9" t="str">
        <f t="shared" si="52"/>
        <v>Above Average</v>
      </c>
      <c r="D843" s="11">
        <f>INDEX('2_Clean_Data'!$L$2:$L$1360,MATCH($A843,'2_Clean_Data'!$A$2:$A$1360,0))</f>
        <v>12.9</v>
      </c>
      <c r="E843" s="9" t="str">
        <f>IF(D843&lt;'3_Summary_Tables'!$C$16,"Low",IF(D843&lt;'3_Summary_Tables'!$C$17,"Medium","High"))</f>
        <v>High</v>
      </c>
      <c r="F843" s="12">
        <f>INDEX('2_Clean_Data'!$C$2:$C$1360,MATCH($A843,'2_Clean_Data'!$A$2:$A$1360,0))</f>
        <v>0.52</v>
      </c>
      <c r="G843" s="10">
        <f>INDEX('2_Clean_Data'!$H$2:$H$1360,MATCH($A843,'2_Clean_Data'!$A$2:$A$1360,0))</f>
        <v>70</v>
      </c>
      <c r="H843" s="9" t="str">
        <f t="shared" si="53"/>
        <v>Moderate</v>
      </c>
      <c r="I843" s="9" t="str">
        <f t="shared" si="54"/>
        <v>OK</v>
      </c>
      <c r="J843" s="9" t="str">
        <f t="shared" si="55"/>
        <v>Solid</v>
      </c>
    </row>
    <row r="844" spans="1:10" x14ac:dyDescent="0.3">
      <c r="A844" s="10">
        <f>'2_Clean_Data'!A841</f>
        <v>840</v>
      </c>
      <c r="B844" s="10">
        <f>INDEX('2_Clean_Data'!$M$2:$M$1360,MATCH($A844,'2_Clean_Data'!$A$2:$A$1360,0))</f>
        <v>6</v>
      </c>
      <c r="C844" s="9" t="str">
        <f t="shared" si="52"/>
        <v>Above Average</v>
      </c>
      <c r="D844" s="11">
        <f>INDEX('2_Clean_Data'!$L$2:$L$1360,MATCH($A844,'2_Clean_Data'!$A$2:$A$1360,0))</f>
        <v>11.3</v>
      </c>
      <c r="E844" s="9" t="str">
        <f>IF(D844&lt;'3_Summary_Tables'!$C$16,"Low",IF(D844&lt;'3_Summary_Tables'!$C$17,"Medium","High"))</f>
        <v>Medium</v>
      </c>
      <c r="F844" s="12">
        <f>INDEX('2_Clean_Data'!$C$2:$C$1360,MATCH($A844,'2_Clean_Data'!$A$2:$A$1360,0))</f>
        <v>0.57999999999999996</v>
      </c>
      <c r="G844" s="10">
        <f>INDEX('2_Clean_Data'!$H$2:$H$1360,MATCH($A844,'2_Clean_Data'!$A$2:$A$1360,0))</f>
        <v>11</v>
      </c>
      <c r="H844" s="9" t="str">
        <f t="shared" si="53"/>
        <v>Low</v>
      </c>
      <c r="I844" s="9" t="str">
        <f t="shared" si="54"/>
        <v>OK</v>
      </c>
      <c r="J844" s="9" t="str">
        <f t="shared" si="55"/>
        <v>Solid</v>
      </c>
    </row>
    <row r="845" spans="1:10" x14ac:dyDescent="0.3">
      <c r="A845" s="10">
        <f>'2_Clean_Data'!A842</f>
        <v>841</v>
      </c>
      <c r="B845" s="10">
        <f>INDEX('2_Clean_Data'!$M$2:$M$1360,MATCH($A845,'2_Clean_Data'!$A$2:$A$1360,0))</f>
        <v>7</v>
      </c>
      <c r="C845" s="9" t="str">
        <f t="shared" si="52"/>
        <v>Good</v>
      </c>
      <c r="D845" s="11">
        <f>INDEX('2_Clean_Data'!$L$2:$L$1360,MATCH($A845,'2_Clean_Data'!$A$2:$A$1360,0))</f>
        <v>11.4</v>
      </c>
      <c r="E845" s="9" t="str">
        <f>IF(D845&lt;'3_Summary_Tables'!$C$16,"Low",IF(D845&lt;'3_Summary_Tables'!$C$17,"Medium","High"))</f>
        <v>Medium</v>
      </c>
      <c r="F845" s="12">
        <f>INDEX('2_Clean_Data'!$C$2:$C$1360,MATCH($A845,'2_Clean_Data'!$A$2:$A$1360,0))</f>
        <v>0.34</v>
      </c>
      <c r="G845" s="10">
        <f>INDEX('2_Clean_Data'!$H$2:$H$1360,MATCH($A845,'2_Clean_Data'!$A$2:$A$1360,0))</f>
        <v>7</v>
      </c>
      <c r="H845" s="9" t="str">
        <f t="shared" si="53"/>
        <v>Low</v>
      </c>
      <c r="I845" s="9" t="str">
        <f t="shared" si="54"/>
        <v>OK</v>
      </c>
      <c r="J845" s="9" t="str">
        <f t="shared" si="55"/>
        <v>Solid</v>
      </c>
    </row>
    <row r="846" spans="1:10" x14ac:dyDescent="0.3">
      <c r="A846" s="10">
        <f>'2_Clean_Data'!A843</f>
        <v>842</v>
      </c>
      <c r="B846" s="10">
        <f>INDEX('2_Clean_Data'!$M$2:$M$1360,MATCH($A846,'2_Clean_Data'!$A$2:$A$1360,0))</f>
        <v>5</v>
      </c>
      <c r="C846" s="9" t="str">
        <f t="shared" si="52"/>
        <v>Average</v>
      </c>
      <c r="D846" s="11">
        <f>INDEX('2_Clean_Data'!$L$2:$L$1360,MATCH($A846,'2_Clean_Data'!$A$2:$A$1360,0))</f>
        <v>9.4</v>
      </c>
      <c r="E846" s="9" t="str">
        <f>IF(D846&lt;'3_Summary_Tables'!$C$16,"Low",IF(D846&lt;'3_Summary_Tables'!$C$17,"Medium","High"))</f>
        <v>Low</v>
      </c>
      <c r="F846" s="12">
        <f>INDEX('2_Clean_Data'!$C$2:$C$1360,MATCH($A846,'2_Clean_Data'!$A$2:$A$1360,0))</f>
        <v>0.36</v>
      </c>
      <c r="G846" s="10">
        <f>INDEX('2_Clean_Data'!$H$2:$H$1360,MATCH($A846,'2_Clean_Data'!$A$2:$A$1360,0))</f>
        <v>70</v>
      </c>
      <c r="H846" s="9" t="str">
        <f t="shared" si="53"/>
        <v>Moderate</v>
      </c>
      <c r="I846" s="9" t="str">
        <f t="shared" si="54"/>
        <v>OK</v>
      </c>
      <c r="J846" s="9" t="str">
        <f t="shared" si="55"/>
        <v>Standard</v>
      </c>
    </row>
    <row r="847" spans="1:10" x14ac:dyDescent="0.3">
      <c r="A847" s="10">
        <f>'2_Clean_Data'!A844</f>
        <v>843</v>
      </c>
      <c r="B847" s="10">
        <f>INDEX('2_Clean_Data'!$M$2:$M$1360,MATCH($A847,'2_Clean_Data'!$A$2:$A$1360,0))</f>
        <v>5</v>
      </c>
      <c r="C847" s="9" t="str">
        <f t="shared" si="52"/>
        <v>Average</v>
      </c>
      <c r="D847" s="11">
        <f>INDEX('2_Clean_Data'!$L$2:$L$1360,MATCH($A847,'2_Clean_Data'!$A$2:$A$1360,0))</f>
        <v>9.4</v>
      </c>
      <c r="E847" s="9" t="str">
        <f>IF(D847&lt;'3_Summary_Tables'!$C$16,"Low",IF(D847&lt;'3_Summary_Tables'!$C$17,"Medium","High"))</f>
        <v>Low</v>
      </c>
      <c r="F847" s="12">
        <f>INDEX('2_Clean_Data'!$C$2:$C$1360,MATCH($A847,'2_Clean_Data'!$A$2:$A$1360,0))</f>
        <v>0.39</v>
      </c>
      <c r="G847" s="10">
        <f>INDEX('2_Clean_Data'!$H$2:$H$1360,MATCH($A847,'2_Clean_Data'!$A$2:$A$1360,0))</f>
        <v>27</v>
      </c>
      <c r="H847" s="9" t="str">
        <f t="shared" si="53"/>
        <v>Low</v>
      </c>
      <c r="I847" s="9" t="str">
        <f t="shared" si="54"/>
        <v>OK</v>
      </c>
      <c r="J847" s="9" t="str">
        <f t="shared" si="55"/>
        <v>Standard</v>
      </c>
    </row>
    <row r="848" spans="1:10" x14ac:dyDescent="0.3">
      <c r="A848" s="10">
        <f>'2_Clean_Data'!A845</f>
        <v>844</v>
      </c>
      <c r="B848" s="10">
        <f>INDEX('2_Clean_Data'!$M$2:$M$1360,MATCH($A848,'2_Clean_Data'!$A$2:$A$1360,0))</f>
        <v>6</v>
      </c>
      <c r="C848" s="9" t="str">
        <f t="shared" si="52"/>
        <v>Above Average</v>
      </c>
      <c r="D848" s="11">
        <f>INDEX('2_Clean_Data'!$L$2:$L$1360,MATCH($A848,'2_Clean_Data'!$A$2:$A$1360,0))</f>
        <v>10.9</v>
      </c>
      <c r="E848" s="9" t="str">
        <f>IF(D848&lt;'3_Summary_Tables'!$C$16,"Low",IF(D848&lt;'3_Summary_Tables'!$C$17,"Medium","High"))</f>
        <v>Medium</v>
      </c>
      <c r="F848" s="12">
        <f>INDEX('2_Clean_Data'!$C$2:$C$1360,MATCH($A848,'2_Clean_Data'!$A$2:$A$1360,0))</f>
        <v>0.29499999999999998</v>
      </c>
      <c r="G848" s="10">
        <f>INDEX('2_Clean_Data'!$H$2:$H$1360,MATCH($A848,'2_Clean_Data'!$A$2:$A$1360,0))</f>
        <v>21</v>
      </c>
      <c r="H848" s="9" t="str">
        <f t="shared" si="53"/>
        <v>Low</v>
      </c>
      <c r="I848" s="9" t="str">
        <f t="shared" si="54"/>
        <v>OK</v>
      </c>
      <c r="J848" s="9" t="str">
        <f t="shared" si="55"/>
        <v>Solid</v>
      </c>
    </row>
    <row r="849" spans="1:10" x14ac:dyDescent="0.3">
      <c r="A849" s="10">
        <f>'2_Clean_Data'!A846</f>
        <v>845</v>
      </c>
      <c r="B849" s="10">
        <f>INDEX('2_Clean_Data'!$M$2:$M$1360,MATCH($A849,'2_Clean_Data'!$A$2:$A$1360,0))</f>
        <v>5</v>
      </c>
      <c r="C849" s="9" t="str">
        <f t="shared" si="52"/>
        <v>Average</v>
      </c>
      <c r="D849" s="11">
        <f>INDEX('2_Clean_Data'!$L$2:$L$1360,MATCH($A849,'2_Clean_Data'!$A$2:$A$1360,0))</f>
        <v>9.4</v>
      </c>
      <c r="E849" s="9" t="str">
        <f>IF(D849&lt;'3_Summary_Tables'!$C$16,"Low",IF(D849&lt;'3_Summary_Tables'!$C$17,"Medium","High"))</f>
        <v>Low</v>
      </c>
      <c r="F849" s="12">
        <f>INDEX('2_Clean_Data'!$C$2:$C$1360,MATCH($A849,'2_Clean_Data'!$A$2:$A$1360,0))</f>
        <v>0.34</v>
      </c>
      <c r="G849" s="10">
        <f>INDEX('2_Clean_Data'!$H$2:$H$1360,MATCH($A849,'2_Clean_Data'!$A$2:$A$1360,0))</f>
        <v>68</v>
      </c>
      <c r="H849" s="9" t="str">
        <f t="shared" si="53"/>
        <v>Moderate</v>
      </c>
      <c r="I849" s="9" t="str">
        <f t="shared" si="54"/>
        <v>OK</v>
      </c>
      <c r="J849" s="9" t="str">
        <f t="shared" si="55"/>
        <v>Standard</v>
      </c>
    </row>
    <row r="850" spans="1:10" x14ac:dyDescent="0.3">
      <c r="A850" s="10">
        <f>'2_Clean_Data'!A847</f>
        <v>846</v>
      </c>
      <c r="B850" s="10">
        <f>INDEX('2_Clean_Data'!$M$2:$M$1360,MATCH($A850,'2_Clean_Data'!$A$2:$A$1360,0))</f>
        <v>6</v>
      </c>
      <c r="C850" s="9" t="str">
        <f t="shared" si="52"/>
        <v>Above Average</v>
      </c>
      <c r="D850" s="11">
        <f>INDEX('2_Clean_Data'!$L$2:$L$1360,MATCH($A850,'2_Clean_Data'!$A$2:$A$1360,0))</f>
        <v>9.4</v>
      </c>
      <c r="E850" s="9" t="str">
        <f>IF(D850&lt;'3_Summary_Tables'!$C$16,"Low",IF(D850&lt;'3_Summary_Tables'!$C$17,"Medium","High"))</f>
        <v>Low</v>
      </c>
      <c r="F850" s="12">
        <f>INDEX('2_Clean_Data'!$C$2:$C$1360,MATCH($A850,'2_Clean_Data'!$A$2:$A$1360,0))</f>
        <v>0.4</v>
      </c>
      <c r="G850" s="10">
        <f>INDEX('2_Clean_Data'!$H$2:$H$1360,MATCH($A850,'2_Clean_Data'!$A$2:$A$1360,0))</f>
        <v>47</v>
      </c>
      <c r="H850" s="9" t="str">
        <f t="shared" si="53"/>
        <v>Low</v>
      </c>
      <c r="I850" s="9" t="str">
        <f t="shared" si="54"/>
        <v>OK</v>
      </c>
      <c r="J850" s="9" t="str">
        <f t="shared" si="55"/>
        <v>Solid</v>
      </c>
    </row>
    <row r="851" spans="1:10" x14ac:dyDescent="0.3">
      <c r="A851" s="10">
        <f>'2_Clean_Data'!A848</f>
        <v>847</v>
      </c>
      <c r="B851" s="10">
        <f>INDEX('2_Clean_Data'!$M$2:$M$1360,MATCH($A851,'2_Clean_Data'!$A$2:$A$1360,0))</f>
        <v>5</v>
      </c>
      <c r="C851" s="9" t="str">
        <f t="shared" si="52"/>
        <v>Average</v>
      </c>
      <c r="D851" s="11">
        <f>INDEX('2_Clean_Data'!$L$2:$L$1360,MATCH($A851,'2_Clean_Data'!$A$2:$A$1360,0))</f>
        <v>9.4</v>
      </c>
      <c r="E851" s="9" t="str">
        <f>IF(D851&lt;'3_Summary_Tables'!$C$16,"Low",IF(D851&lt;'3_Summary_Tables'!$C$17,"Medium","High"))</f>
        <v>Low</v>
      </c>
      <c r="F851" s="12">
        <f>INDEX('2_Clean_Data'!$C$2:$C$1360,MATCH($A851,'2_Clean_Data'!$A$2:$A$1360,0))</f>
        <v>0.35</v>
      </c>
      <c r="G851" s="10">
        <f>INDEX('2_Clean_Data'!$H$2:$H$1360,MATCH($A851,'2_Clean_Data'!$A$2:$A$1360,0))</f>
        <v>88</v>
      </c>
      <c r="H851" s="9" t="str">
        <f t="shared" si="53"/>
        <v>Moderate</v>
      </c>
      <c r="I851" s="9" t="str">
        <f t="shared" si="54"/>
        <v>OK</v>
      </c>
      <c r="J851" s="9" t="str">
        <f t="shared" si="55"/>
        <v>Standard</v>
      </c>
    </row>
    <row r="852" spans="1:10" x14ac:dyDescent="0.3">
      <c r="A852" s="10">
        <f>'2_Clean_Data'!A849</f>
        <v>848</v>
      </c>
      <c r="B852" s="10">
        <f>INDEX('2_Clean_Data'!$M$2:$M$1360,MATCH($A852,'2_Clean_Data'!$A$2:$A$1360,0))</f>
        <v>6</v>
      </c>
      <c r="C852" s="9" t="str">
        <f t="shared" si="52"/>
        <v>Above Average</v>
      </c>
      <c r="D852" s="11">
        <f>INDEX('2_Clean_Data'!$L$2:$L$1360,MATCH($A852,'2_Clean_Data'!$A$2:$A$1360,0))</f>
        <v>10.1</v>
      </c>
      <c r="E852" s="9" t="str">
        <f>IF(D852&lt;'3_Summary_Tables'!$C$16,"Low",IF(D852&lt;'3_Summary_Tables'!$C$17,"Medium","High"))</f>
        <v>Medium</v>
      </c>
      <c r="F852" s="12">
        <f>INDEX('2_Clean_Data'!$C$2:$C$1360,MATCH($A852,'2_Clean_Data'!$A$2:$A$1360,0))</f>
        <v>0.6</v>
      </c>
      <c r="G852" s="10">
        <f>INDEX('2_Clean_Data'!$H$2:$H$1360,MATCH($A852,'2_Clean_Data'!$A$2:$A$1360,0))</f>
        <v>41</v>
      </c>
      <c r="H852" s="9" t="str">
        <f t="shared" si="53"/>
        <v>Low</v>
      </c>
      <c r="I852" s="9" t="str">
        <f t="shared" si="54"/>
        <v>OK</v>
      </c>
      <c r="J852" s="9" t="str">
        <f t="shared" si="55"/>
        <v>Solid</v>
      </c>
    </row>
    <row r="853" spans="1:10" x14ac:dyDescent="0.3">
      <c r="A853" s="10">
        <f>'2_Clean_Data'!A850</f>
        <v>849</v>
      </c>
      <c r="B853" s="10">
        <f>INDEX('2_Clean_Data'!$M$2:$M$1360,MATCH($A853,'2_Clean_Data'!$A$2:$A$1360,0))</f>
        <v>7</v>
      </c>
      <c r="C853" s="9" t="str">
        <f t="shared" si="52"/>
        <v>Good</v>
      </c>
      <c r="D853" s="11">
        <f>INDEX('2_Clean_Data'!$L$2:$L$1360,MATCH($A853,'2_Clean_Data'!$A$2:$A$1360,0))</f>
        <v>12.8</v>
      </c>
      <c r="E853" s="9" t="str">
        <f>IF(D853&lt;'3_Summary_Tables'!$C$16,"Low",IF(D853&lt;'3_Summary_Tables'!$C$17,"Medium","High"))</f>
        <v>High</v>
      </c>
      <c r="F853" s="12">
        <f>INDEX('2_Clean_Data'!$C$2:$C$1360,MATCH($A853,'2_Clean_Data'!$A$2:$A$1360,0))</f>
        <v>0.66</v>
      </c>
      <c r="G853" s="10">
        <f>INDEX('2_Clean_Data'!$H$2:$H$1360,MATCH($A853,'2_Clean_Data'!$A$2:$A$1360,0))</f>
        <v>11</v>
      </c>
      <c r="H853" s="9" t="str">
        <f t="shared" si="53"/>
        <v>Low</v>
      </c>
      <c r="I853" s="9" t="str">
        <f t="shared" si="54"/>
        <v>OK</v>
      </c>
      <c r="J853" s="9" t="str">
        <f t="shared" si="55"/>
        <v>Premium</v>
      </c>
    </row>
    <row r="854" spans="1:10" x14ac:dyDescent="0.3">
      <c r="A854" s="10">
        <f>'2_Clean_Data'!A851</f>
        <v>850</v>
      </c>
      <c r="B854" s="10">
        <f>INDEX('2_Clean_Data'!$M$2:$M$1360,MATCH($A854,'2_Clean_Data'!$A$2:$A$1360,0))</f>
        <v>6</v>
      </c>
      <c r="C854" s="9" t="str">
        <f t="shared" si="52"/>
        <v>Above Average</v>
      </c>
      <c r="D854" s="11">
        <f>INDEX('2_Clean_Data'!$L$2:$L$1360,MATCH($A854,'2_Clean_Data'!$A$2:$A$1360,0))</f>
        <v>9.1</v>
      </c>
      <c r="E854" s="9" t="str">
        <f>IF(D854&lt;'3_Summary_Tables'!$C$16,"Low",IF(D854&lt;'3_Summary_Tables'!$C$17,"Medium","High"))</f>
        <v>Low</v>
      </c>
      <c r="F854" s="12">
        <f>INDEX('2_Clean_Data'!$C$2:$C$1360,MATCH($A854,'2_Clean_Data'!$A$2:$A$1360,0))</f>
        <v>0.84</v>
      </c>
      <c r="G854" s="10">
        <f>INDEX('2_Clean_Data'!$H$2:$H$1360,MATCH($A854,'2_Clean_Data'!$A$2:$A$1360,0))</f>
        <v>10</v>
      </c>
      <c r="H854" s="9" t="str">
        <f t="shared" si="53"/>
        <v>Low</v>
      </c>
      <c r="I854" s="9" t="str">
        <f t="shared" si="54"/>
        <v>Above limit</v>
      </c>
      <c r="J854" s="9" t="str">
        <f t="shared" si="55"/>
        <v>Standard</v>
      </c>
    </row>
    <row r="855" spans="1:10" x14ac:dyDescent="0.3">
      <c r="A855" s="10">
        <f>'2_Clean_Data'!A852</f>
        <v>851</v>
      </c>
      <c r="B855" s="10">
        <f>INDEX('2_Clean_Data'!$M$2:$M$1360,MATCH($A855,'2_Clean_Data'!$A$2:$A$1360,0))</f>
        <v>6</v>
      </c>
      <c r="C855" s="9" t="str">
        <f t="shared" si="52"/>
        <v>Above Average</v>
      </c>
      <c r="D855" s="11">
        <f>INDEX('2_Clean_Data'!$L$2:$L$1360,MATCH($A855,'2_Clean_Data'!$A$2:$A$1360,0))</f>
        <v>12.9</v>
      </c>
      <c r="E855" s="9" t="str">
        <f>IF(D855&lt;'3_Summary_Tables'!$C$16,"Low",IF(D855&lt;'3_Summary_Tables'!$C$17,"Medium","High"))</f>
        <v>High</v>
      </c>
      <c r="F855" s="12">
        <f>INDEX('2_Clean_Data'!$C$2:$C$1360,MATCH($A855,'2_Clean_Data'!$A$2:$A$1360,0))</f>
        <v>0.69</v>
      </c>
      <c r="G855" s="10">
        <f>INDEX('2_Clean_Data'!$H$2:$H$1360,MATCH($A855,'2_Clean_Data'!$A$2:$A$1360,0))</f>
        <v>12</v>
      </c>
      <c r="H855" s="9" t="str">
        <f t="shared" si="53"/>
        <v>Low</v>
      </c>
      <c r="I855" s="9" t="str">
        <f t="shared" si="54"/>
        <v>OK</v>
      </c>
      <c r="J855" s="9" t="str">
        <f t="shared" si="55"/>
        <v>Solid</v>
      </c>
    </row>
    <row r="856" spans="1:10" x14ac:dyDescent="0.3">
      <c r="A856" s="10">
        <f>'2_Clean_Data'!A853</f>
        <v>852</v>
      </c>
      <c r="B856" s="10">
        <f>INDEX('2_Clean_Data'!$M$2:$M$1360,MATCH($A856,'2_Clean_Data'!$A$2:$A$1360,0))</f>
        <v>7</v>
      </c>
      <c r="C856" s="9" t="str">
        <f t="shared" si="52"/>
        <v>Good</v>
      </c>
      <c r="D856" s="11">
        <f>INDEX('2_Clean_Data'!$L$2:$L$1360,MATCH($A856,'2_Clean_Data'!$A$2:$A$1360,0))</f>
        <v>11.5</v>
      </c>
      <c r="E856" s="9" t="str">
        <f>IF(D856&lt;'3_Summary_Tables'!$C$16,"Low",IF(D856&lt;'3_Summary_Tables'!$C$17,"Medium","High"))</f>
        <v>High</v>
      </c>
      <c r="F856" s="12">
        <f>INDEX('2_Clean_Data'!$C$2:$C$1360,MATCH($A856,'2_Clean_Data'!$A$2:$A$1360,0))</f>
        <v>0.43</v>
      </c>
      <c r="G856" s="10">
        <f>INDEX('2_Clean_Data'!$H$2:$H$1360,MATCH($A856,'2_Clean_Data'!$A$2:$A$1360,0))</f>
        <v>12</v>
      </c>
      <c r="H856" s="9" t="str">
        <f t="shared" si="53"/>
        <v>Low</v>
      </c>
      <c r="I856" s="9" t="str">
        <f t="shared" si="54"/>
        <v>OK</v>
      </c>
      <c r="J856" s="9" t="str">
        <f t="shared" si="55"/>
        <v>Premium</v>
      </c>
    </row>
    <row r="857" spans="1:10" x14ac:dyDescent="0.3">
      <c r="A857" s="10">
        <f>'2_Clean_Data'!A854</f>
        <v>853</v>
      </c>
      <c r="B857" s="10">
        <f>INDEX('2_Clean_Data'!$M$2:$M$1360,MATCH($A857,'2_Clean_Data'!$A$2:$A$1360,0))</f>
        <v>7</v>
      </c>
      <c r="C857" s="9" t="str">
        <f t="shared" si="52"/>
        <v>Good</v>
      </c>
      <c r="D857" s="11">
        <f>INDEX('2_Clean_Data'!$L$2:$L$1360,MATCH($A857,'2_Clean_Data'!$A$2:$A$1360,0))</f>
        <v>10.6</v>
      </c>
      <c r="E857" s="9" t="str">
        <f>IF(D857&lt;'3_Summary_Tables'!$C$16,"Low",IF(D857&lt;'3_Summary_Tables'!$C$17,"Medium","High"))</f>
        <v>Medium</v>
      </c>
      <c r="F857" s="12">
        <f>INDEX('2_Clean_Data'!$C$2:$C$1360,MATCH($A857,'2_Clean_Data'!$A$2:$A$1360,0))</f>
        <v>0.35</v>
      </c>
      <c r="G857" s="10">
        <f>INDEX('2_Clean_Data'!$H$2:$H$1360,MATCH($A857,'2_Clean_Data'!$A$2:$A$1360,0))</f>
        <v>47</v>
      </c>
      <c r="H857" s="9" t="str">
        <f t="shared" si="53"/>
        <v>Low</v>
      </c>
      <c r="I857" s="9" t="str">
        <f t="shared" si="54"/>
        <v>OK</v>
      </c>
      <c r="J857" s="9" t="str">
        <f t="shared" si="55"/>
        <v>Solid</v>
      </c>
    </row>
    <row r="858" spans="1:10" x14ac:dyDescent="0.3">
      <c r="A858" s="10">
        <f>'2_Clean_Data'!A855</f>
        <v>854</v>
      </c>
      <c r="B858" s="10">
        <f>INDEX('2_Clean_Data'!$M$2:$M$1360,MATCH($A858,'2_Clean_Data'!$A$2:$A$1360,0))</f>
        <v>7</v>
      </c>
      <c r="C858" s="9" t="str">
        <f t="shared" si="52"/>
        <v>Good</v>
      </c>
      <c r="D858" s="11">
        <f>INDEX('2_Clean_Data'!$L$2:$L$1360,MATCH($A858,'2_Clean_Data'!$A$2:$A$1360,0))</f>
        <v>11.7</v>
      </c>
      <c r="E858" s="9" t="str">
        <f>IF(D858&lt;'3_Summary_Tables'!$C$16,"Low",IF(D858&lt;'3_Summary_Tables'!$C$17,"Medium","High"))</f>
        <v>High</v>
      </c>
      <c r="F858" s="12">
        <f>INDEX('2_Clean_Data'!$C$2:$C$1360,MATCH($A858,'2_Clean_Data'!$A$2:$A$1360,0))</f>
        <v>0.28999999999999998</v>
      </c>
      <c r="G858" s="10">
        <f>INDEX('2_Clean_Data'!$H$2:$H$1360,MATCH($A858,'2_Clean_Data'!$A$2:$A$1360,0))</f>
        <v>27</v>
      </c>
      <c r="H858" s="9" t="str">
        <f t="shared" si="53"/>
        <v>Low</v>
      </c>
      <c r="I858" s="9" t="str">
        <f t="shared" si="54"/>
        <v>OK</v>
      </c>
      <c r="J858" s="9" t="str">
        <f t="shared" si="55"/>
        <v>Premium</v>
      </c>
    </row>
    <row r="859" spans="1:10" x14ac:dyDescent="0.3">
      <c r="A859" s="10">
        <f>'2_Clean_Data'!A856</f>
        <v>855</v>
      </c>
      <c r="B859" s="10">
        <f>INDEX('2_Clean_Data'!$M$2:$M$1360,MATCH($A859,'2_Clean_Data'!$A$2:$A$1360,0))</f>
        <v>7</v>
      </c>
      <c r="C859" s="9" t="str">
        <f t="shared" si="52"/>
        <v>Good</v>
      </c>
      <c r="D859" s="11">
        <f>INDEX('2_Clean_Data'!$L$2:$L$1360,MATCH($A859,'2_Clean_Data'!$A$2:$A$1360,0))</f>
        <v>12.8</v>
      </c>
      <c r="E859" s="9" t="str">
        <f>IF(D859&lt;'3_Summary_Tables'!$C$16,"Low",IF(D859&lt;'3_Summary_Tables'!$C$17,"Medium","High"))</f>
        <v>High</v>
      </c>
      <c r="F859" s="12">
        <f>INDEX('2_Clean_Data'!$C$2:$C$1360,MATCH($A859,'2_Clean_Data'!$A$2:$A$1360,0))</f>
        <v>0.36</v>
      </c>
      <c r="G859" s="10">
        <f>INDEX('2_Clean_Data'!$H$2:$H$1360,MATCH($A859,'2_Clean_Data'!$A$2:$A$1360,0))</f>
        <v>8</v>
      </c>
      <c r="H859" s="9" t="str">
        <f t="shared" si="53"/>
        <v>Low</v>
      </c>
      <c r="I859" s="9" t="str">
        <f t="shared" si="54"/>
        <v>OK</v>
      </c>
      <c r="J859" s="9" t="str">
        <f t="shared" si="55"/>
        <v>Premium</v>
      </c>
    </row>
    <row r="860" spans="1:10" x14ac:dyDescent="0.3">
      <c r="A860" s="10">
        <f>'2_Clean_Data'!A857</f>
        <v>856</v>
      </c>
      <c r="B860" s="10">
        <f>INDEX('2_Clean_Data'!$M$2:$M$1360,MATCH($A860,'2_Clean_Data'!$A$2:$A$1360,0))</f>
        <v>5</v>
      </c>
      <c r="C860" s="9" t="str">
        <f t="shared" si="52"/>
        <v>Average</v>
      </c>
      <c r="D860" s="11">
        <f>INDEX('2_Clean_Data'!$L$2:$L$1360,MATCH($A860,'2_Clean_Data'!$A$2:$A$1360,0))</f>
        <v>10.3</v>
      </c>
      <c r="E860" s="9" t="str">
        <f>IF(D860&lt;'3_Summary_Tables'!$C$16,"Low",IF(D860&lt;'3_Summary_Tables'!$C$17,"Medium","High"))</f>
        <v>Medium</v>
      </c>
      <c r="F860" s="12">
        <f>INDEX('2_Clean_Data'!$C$2:$C$1360,MATCH($A860,'2_Clean_Data'!$A$2:$A$1360,0))</f>
        <v>0.43</v>
      </c>
      <c r="G860" s="10">
        <f>INDEX('2_Clean_Data'!$H$2:$H$1360,MATCH($A860,'2_Clean_Data'!$A$2:$A$1360,0))</f>
        <v>45</v>
      </c>
      <c r="H860" s="9" t="str">
        <f t="shared" si="53"/>
        <v>Low</v>
      </c>
      <c r="I860" s="9" t="str">
        <f t="shared" si="54"/>
        <v>OK</v>
      </c>
      <c r="J860" s="9" t="str">
        <f t="shared" si="55"/>
        <v>Standard</v>
      </c>
    </row>
    <row r="861" spans="1:10" x14ac:dyDescent="0.3">
      <c r="A861" s="10">
        <f>'2_Clean_Data'!A858</f>
        <v>857</v>
      </c>
      <c r="B861" s="10">
        <f>INDEX('2_Clean_Data'!$M$2:$M$1360,MATCH($A861,'2_Clean_Data'!$A$2:$A$1360,0))</f>
        <v>7</v>
      </c>
      <c r="C861" s="9" t="str">
        <f t="shared" si="52"/>
        <v>Good</v>
      </c>
      <c r="D861" s="11">
        <f>INDEX('2_Clean_Data'!$L$2:$L$1360,MATCH($A861,'2_Clean_Data'!$A$2:$A$1360,0))</f>
        <v>11.7</v>
      </c>
      <c r="E861" s="9" t="str">
        <f>IF(D861&lt;'3_Summary_Tables'!$C$16,"Low",IF(D861&lt;'3_Summary_Tables'!$C$17,"Medium","High"))</f>
        <v>High</v>
      </c>
      <c r="F861" s="12">
        <f>INDEX('2_Clean_Data'!$C$2:$C$1360,MATCH($A861,'2_Clean_Data'!$A$2:$A$1360,0))</f>
        <v>0.3</v>
      </c>
      <c r="G861" s="10">
        <f>INDEX('2_Clean_Data'!$H$2:$H$1360,MATCH($A861,'2_Clean_Data'!$A$2:$A$1360,0))</f>
        <v>25</v>
      </c>
      <c r="H861" s="9" t="str">
        <f t="shared" si="53"/>
        <v>Low</v>
      </c>
      <c r="I861" s="9" t="str">
        <f t="shared" si="54"/>
        <v>OK</v>
      </c>
      <c r="J861" s="9" t="str">
        <f t="shared" si="55"/>
        <v>Premium</v>
      </c>
    </row>
    <row r="862" spans="1:10" x14ac:dyDescent="0.3">
      <c r="A862" s="10">
        <f>'2_Clean_Data'!A859</f>
        <v>858</v>
      </c>
      <c r="B862" s="10">
        <f>INDEX('2_Clean_Data'!$M$2:$M$1360,MATCH($A862,'2_Clean_Data'!$A$2:$A$1360,0))</f>
        <v>7</v>
      </c>
      <c r="C862" s="9" t="str">
        <f t="shared" si="52"/>
        <v>Good</v>
      </c>
      <c r="D862" s="11">
        <f>INDEX('2_Clean_Data'!$L$2:$L$1360,MATCH($A862,'2_Clean_Data'!$A$2:$A$1360,0))</f>
        <v>12</v>
      </c>
      <c r="E862" s="9" t="str">
        <f>IF(D862&lt;'3_Summary_Tables'!$C$16,"Low",IF(D862&lt;'3_Summary_Tables'!$C$17,"Medium","High"))</f>
        <v>High</v>
      </c>
      <c r="F862" s="12">
        <f>INDEX('2_Clean_Data'!$C$2:$C$1360,MATCH($A862,'2_Clean_Data'!$A$2:$A$1360,0))</f>
        <v>0.35</v>
      </c>
      <c r="G862" s="10">
        <f>INDEX('2_Clean_Data'!$H$2:$H$1360,MATCH($A862,'2_Clean_Data'!$A$2:$A$1360,0))</f>
        <v>24</v>
      </c>
      <c r="H862" s="9" t="str">
        <f t="shared" si="53"/>
        <v>Low</v>
      </c>
      <c r="I862" s="9" t="str">
        <f t="shared" si="54"/>
        <v>OK</v>
      </c>
      <c r="J862" s="9" t="str">
        <f t="shared" si="55"/>
        <v>Premium</v>
      </c>
    </row>
    <row r="863" spans="1:10" x14ac:dyDescent="0.3">
      <c r="A863" s="10">
        <f>'2_Clean_Data'!A860</f>
        <v>859</v>
      </c>
      <c r="B863" s="10">
        <f>INDEX('2_Clean_Data'!$M$2:$M$1360,MATCH($A863,'2_Clean_Data'!$A$2:$A$1360,0))</f>
        <v>5</v>
      </c>
      <c r="C863" s="9" t="str">
        <f t="shared" si="52"/>
        <v>Average</v>
      </c>
      <c r="D863" s="11">
        <f>INDEX('2_Clean_Data'!$L$2:$L$1360,MATCH($A863,'2_Clean_Data'!$A$2:$A$1360,0))</f>
        <v>10.9</v>
      </c>
      <c r="E863" s="9" t="str">
        <f>IF(D863&lt;'3_Summary_Tables'!$C$16,"Low",IF(D863&lt;'3_Summary_Tables'!$C$17,"Medium","High"))</f>
        <v>Medium</v>
      </c>
      <c r="F863" s="12">
        <f>INDEX('2_Clean_Data'!$C$2:$C$1360,MATCH($A863,'2_Clean_Data'!$A$2:$A$1360,0))</f>
        <v>0.5</v>
      </c>
      <c r="G863" s="10">
        <f>INDEX('2_Clean_Data'!$H$2:$H$1360,MATCH($A863,'2_Clean_Data'!$A$2:$A$1360,0))</f>
        <v>55</v>
      </c>
      <c r="H863" s="9" t="str">
        <f t="shared" si="53"/>
        <v>Moderate</v>
      </c>
      <c r="I863" s="9" t="str">
        <f t="shared" si="54"/>
        <v>OK</v>
      </c>
      <c r="J863" s="9" t="str">
        <f t="shared" si="55"/>
        <v>Standard</v>
      </c>
    </row>
    <row r="864" spans="1:10" x14ac:dyDescent="0.3">
      <c r="A864" s="10">
        <f>'2_Clean_Data'!A861</f>
        <v>860</v>
      </c>
      <c r="B864" s="10">
        <f>INDEX('2_Clean_Data'!$M$2:$M$1360,MATCH($A864,'2_Clean_Data'!$A$2:$A$1360,0))</f>
        <v>7</v>
      </c>
      <c r="C864" s="9" t="str">
        <f t="shared" si="52"/>
        <v>Good</v>
      </c>
      <c r="D864" s="11">
        <f>INDEX('2_Clean_Data'!$L$2:$L$1360,MATCH($A864,'2_Clean_Data'!$A$2:$A$1360,0))</f>
        <v>12.3</v>
      </c>
      <c r="E864" s="9" t="str">
        <f>IF(D864&lt;'3_Summary_Tables'!$C$16,"Low",IF(D864&lt;'3_Summary_Tables'!$C$17,"Medium","High"))</f>
        <v>High</v>
      </c>
      <c r="F864" s="12">
        <f>INDEX('2_Clean_Data'!$C$2:$C$1360,MATCH($A864,'2_Clean_Data'!$A$2:$A$1360,0))</f>
        <v>0.28000000000000003</v>
      </c>
      <c r="G864" s="10">
        <f>INDEX('2_Clean_Data'!$H$2:$H$1360,MATCH($A864,'2_Clean_Data'!$A$2:$A$1360,0))</f>
        <v>12</v>
      </c>
      <c r="H864" s="9" t="str">
        <f t="shared" si="53"/>
        <v>Low</v>
      </c>
      <c r="I864" s="9" t="str">
        <f t="shared" si="54"/>
        <v>OK</v>
      </c>
      <c r="J864" s="9" t="str">
        <f t="shared" si="55"/>
        <v>Premium</v>
      </c>
    </row>
    <row r="865" spans="1:10" x14ac:dyDescent="0.3">
      <c r="A865" s="10">
        <f>'2_Clean_Data'!A862</f>
        <v>861</v>
      </c>
      <c r="B865" s="10">
        <f>INDEX('2_Clean_Data'!$M$2:$M$1360,MATCH($A865,'2_Clean_Data'!$A$2:$A$1360,0))</f>
        <v>6</v>
      </c>
      <c r="C865" s="9" t="str">
        <f t="shared" si="52"/>
        <v>Above Average</v>
      </c>
      <c r="D865" s="11">
        <f>INDEX('2_Clean_Data'!$L$2:$L$1360,MATCH($A865,'2_Clean_Data'!$A$2:$A$1360,0))</f>
        <v>10.4</v>
      </c>
      <c r="E865" s="9" t="str">
        <f>IF(D865&lt;'3_Summary_Tables'!$C$16,"Low",IF(D865&lt;'3_Summary_Tables'!$C$17,"Medium","High"))</f>
        <v>Medium</v>
      </c>
      <c r="F865" s="12">
        <f>INDEX('2_Clean_Data'!$C$2:$C$1360,MATCH($A865,'2_Clean_Data'!$A$2:$A$1360,0))</f>
        <v>0.32</v>
      </c>
      <c r="G865" s="10">
        <f>INDEX('2_Clean_Data'!$H$2:$H$1360,MATCH($A865,'2_Clean_Data'!$A$2:$A$1360,0))</f>
        <v>19</v>
      </c>
      <c r="H865" s="9" t="str">
        <f t="shared" si="53"/>
        <v>Low</v>
      </c>
      <c r="I865" s="9" t="str">
        <f t="shared" si="54"/>
        <v>OK</v>
      </c>
      <c r="J865" s="9" t="str">
        <f t="shared" si="55"/>
        <v>Solid</v>
      </c>
    </row>
    <row r="866" spans="1:10" x14ac:dyDescent="0.3">
      <c r="A866" s="10">
        <f>'2_Clean_Data'!A863</f>
        <v>862</v>
      </c>
      <c r="B866" s="10">
        <f>INDEX('2_Clean_Data'!$M$2:$M$1360,MATCH($A866,'2_Clean_Data'!$A$2:$A$1360,0))</f>
        <v>5</v>
      </c>
      <c r="C866" s="9" t="str">
        <f t="shared" si="52"/>
        <v>Average</v>
      </c>
      <c r="D866" s="11">
        <f>INDEX('2_Clean_Data'!$L$2:$L$1360,MATCH($A866,'2_Clean_Data'!$A$2:$A$1360,0))</f>
        <v>10</v>
      </c>
      <c r="E866" s="9" t="str">
        <f>IF(D866&lt;'3_Summary_Tables'!$C$16,"Low",IF(D866&lt;'3_Summary_Tables'!$C$17,"Medium","High"))</f>
        <v>Medium</v>
      </c>
      <c r="F866" s="12">
        <f>INDEX('2_Clean_Data'!$C$2:$C$1360,MATCH($A866,'2_Clean_Data'!$A$2:$A$1360,0))</f>
        <v>1.0049999999999999</v>
      </c>
      <c r="G866" s="10">
        <f>INDEX('2_Clean_Data'!$H$2:$H$1360,MATCH($A866,'2_Clean_Data'!$A$2:$A$1360,0))</f>
        <v>32</v>
      </c>
      <c r="H866" s="9" t="str">
        <f t="shared" si="53"/>
        <v>Low</v>
      </c>
      <c r="I866" s="9" t="str">
        <f t="shared" si="54"/>
        <v>Above limit</v>
      </c>
      <c r="J866" s="9" t="str">
        <f t="shared" si="55"/>
        <v>Standard</v>
      </c>
    </row>
    <row r="867" spans="1:10" x14ac:dyDescent="0.3">
      <c r="A867" s="10">
        <f>'2_Clean_Data'!A864</f>
        <v>863</v>
      </c>
      <c r="B867" s="10">
        <f>INDEX('2_Clean_Data'!$M$2:$M$1360,MATCH($A867,'2_Clean_Data'!$A$2:$A$1360,0))</f>
        <v>6</v>
      </c>
      <c r="C867" s="9" t="str">
        <f t="shared" si="52"/>
        <v>Above Average</v>
      </c>
      <c r="D867" s="11">
        <f>INDEX('2_Clean_Data'!$L$2:$L$1360,MATCH($A867,'2_Clean_Data'!$A$2:$A$1360,0))</f>
        <v>10</v>
      </c>
      <c r="E867" s="9" t="str">
        <f>IF(D867&lt;'3_Summary_Tables'!$C$16,"Low",IF(D867&lt;'3_Summary_Tables'!$C$17,"Medium","High"))</f>
        <v>Medium</v>
      </c>
      <c r="F867" s="12">
        <f>INDEX('2_Clean_Data'!$C$2:$C$1360,MATCH($A867,'2_Clean_Data'!$A$2:$A$1360,0))</f>
        <v>0.71</v>
      </c>
      <c r="G867" s="10">
        <f>INDEX('2_Clean_Data'!$H$2:$H$1360,MATCH($A867,'2_Clean_Data'!$A$2:$A$1360,0))</f>
        <v>31</v>
      </c>
      <c r="H867" s="9" t="str">
        <f t="shared" si="53"/>
        <v>Low</v>
      </c>
      <c r="I867" s="9" t="str">
        <f t="shared" si="54"/>
        <v>Above limit</v>
      </c>
      <c r="J867" s="9" t="str">
        <f t="shared" si="55"/>
        <v>Standard</v>
      </c>
    </row>
    <row r="868" spans="1:10" x14ac:dyDescent="0.3">
      <c r="A868" s="10">
        <f>'2_Clean_Data'!A865</f>
        <v>864</v>
      </c>
      <c r="B868" s="10">
        <f>INDEX('2_Clean_Data'!$M$2:$M$1360,MATCH($A868,'2_Clean_Data'!$A$2:$A$1360,0))</f>
        <v>6</v>
      </c>
      <c r="C868" s="9" t="str">
        <f t="shared" si="52"/>
        <v>Above Average</v>
      </c>
      <c r="D868" s="11">
        <f>INDEX('2_Clean_Data'!$L$2:$L$1360,MATCH($A868,'2_Clean_Data'!$A$2:$A$1360,0))</f>
        <v>11.2</v>
      </c>
      <c r="E868" s="9" t="str">
        <f>IF(D868&lt;'3_Summary_Tables'!$C$16,"Low",IF(D868&lt;'3_Summary_Tables'!$C$17,"Medium","High"))</f>
        <v>Medium</v>
      </c>
      <c r="F868" s="12">
        <f>INDEX('2_Clean_Data'!$C$2:$C$1360,MATCH($A868,'2_Clean_Data'!$A$2:$A$1360,0))</f>
        <v>0.57999999999999996</v>
      </c>
      <c r="G868" s="10">
        <f>INDEX('2_Clean_Data'!$H$2:$H$1360,MATCH($A868,'2_Clean_Data'!$A$2:$A$1360,0))</f>
        <v>7</v>
      </c>
      <c r="H868" s="9" t="str">
        <f t="shared" si="53"/>
        <v>Low</v>
      </c>
      <c r="I868" s="9" t="str">
        <f t="shared" si="54"/>
        <v>OK</v>
      </c>
      <c r="J868" s="9" t="str">
        <f t="shared" si="55"/>
        <v>Solid</v>
      </c>
    </row>
    <row r="869" spans="1:10" x14ac:dyDescent="0.3">
      <c r="A869" s="10">
        <f>'2_Clean_Data'!A866</f>
        <v>865</v>
      </c>
      <c r="B869" s="10">
        <f>INDEX('2_Clean_Data'!$M$2:$M$1360,MATCH($A869,'2_Clean_Data'!$A$2:$A$1360,0))</f>
        <v>6</v>
      </c>
      <c r="C869" s="9" t="str">
        <f t="shared" si="52"/>
        <v>Above Average</v>
      </c>
      <c r="D869" s="11">
        <f>INDEX('2_Clean_Data'!$L$2:$L$1360,MATCH($A869,'2_Clean_Data'!$A$2:$A$1360,0))</f>
        <v>11.4</v>
      </c>
      <c r="E869" s="9" t="str">
        <f>IF(D869&lt;'3_Summary_Tables'!$C$16,"Low",IF(D869&lt;'3_Summary_Tables'!$C$17,"Medium","High"))</f>
        <v>Medium</v>
      </c>
      <c r="F869" s="12">
        <f>INDEX('2_Clean_Data'!$C$2:$C$1360,MATCH($A869,'2_Clean_Data'!$A$2:$A$1360,0))</f>
        <v>0.39</v>
      </c>
      <c r="G869" s="10">
        <f>INDEX('2_Clean_Data'!$H$2:$H$1360,MATCH($A869,'2_Clean_Data'!$A$2:$A$1360,0))</f>
        <v>27</v>
      </c>
      <c r="H869" s="9" t="str">
        <f t="shared" si="53"/>
        <v>Low</v>
      </c>
      <c r="I869" s="9" t="str">
        <f t="shared" si="54"/>
        <v>OK</v>
      </c>
      <c r="J869" s="9" t="str">
        <f t="shared" si="55"/>
        <v>Solid</v>
      </c>
    </row>
    <row r="870" spans="1:10" x14ac:dyDescent="0.3">
      <c r="A870" s="10">
        <f>'2_Clean_Data'!A867</f>
        <v>866</v>
      </c>
      <c r="B870" s="10">
        <f>INDEX('2_Clean_Data'!$M$2:$M$1360,MATCH($A870,'2_Clean_Data'!$A$2:$A$1360,0))</f>
        <v>7</v>
      </c>
      <c r="C870" s="9" t="str">
        <f t="shared" si="52"/>
        <v>Good</v>
      </c>
      <c r="D870" s="11">
        <f>INDEX('2_Clean_Data'!$L$2:$L$1360,MATCH($A870,'2_Clean_Data'!$A$2:$A$1360,0))</f>
        <v>12.6</v>
      </c>
      <c r="E870" s="9" t="str">
        <f>IF(D870&lt;'3_Summary_Tables'!$C$16,"Low",IF(D870&lt;'3_Summary_Tables'!$C$17,"Medium","High"))</f>
        <v>High</v>
      </c>
      <c r="F870" s="12">
        <f>INDEX('2_Clean_Data'!$C$2:$C$1360,MATCH($A870,'2_Clean_Data'!$A$2:$A$1360,0))</f>
        <v>0.38</v>
      </c>
      <c r="G870" s="10">
        <f>INDEX('2_Clean_Data'!$H$2:$H$1360,MATCH($A870,'2_Clean_Data'!$A$2:$A$1360,0))</f>
        <v>28</v>
      </c>
      <c r="H870" s="9" t="str">
        <f t="shared" si="53"/>
        <v>Low</v>
      </c>
      <c r="I870" s="9" t="str">
        <f t="shared" si="54"/>
        <v>OK</v>
      </c>
      <c r="J870" s="9" t="str">
        <f t="shared" si="55"/>
        <v>Premium</v>
      </c>
    </row>
    <row r="871" spans="1:10" x14ac:dyDescent="0.3">
      <c r="A871" s="10">
        <f>'2_Clean_Data'!A868</f>
        <v>867</v>
      </c>
      <c r="B871" s="10">
        <f>INDEX('2_Clean_Data'!$M$2:$M$1360,MATCH($A871,'2_Clean_Data'!$A$2:$A$1360,0))</f>
        <v>6</v>
      </c>
      <c r="C871" s="9" t="str">
        <f t="shared" si="52"/>
        <v>Above Average</v>
      </c>
      <c r="D871" s="11">
        <f>INDEX('2_Clean_Data'!$L$2:$L$1360,MATCH($A871,'2_Clean_Data'!$A$2:$A$1360,0))</f>
        <v>12.7</v>
      </c>
      <c r="E871" s="9" t="str">
        <f>IF(D871&lt;'3_Summary_Tables'!$C$16,"Low",IF(D871&lt;'3_Summary_Tables'!$C$17,"Medium","High"))</f>
        <v>High</v>
      </c>
      <c r="F871" s="12">
        <f>INDEX('2_Clean_Data'!$C$2:$C$1360,MATCH($A871,'2_Clean_Data'!$A$2:$A$1360,0))</f>
        <v>0.18</v>
      </c>
      <c r="G871" s="10">
        <f>INDEX('2_Clean_Data'!$H$2:$H$1360,MATCH($A871,'2_Clean_Data'!$A$2:$A$1360,0))</f>
        <v>109</v>
      </c>
      <c r="H871" s="9" t="str">
        <f t="shared" si="53"/>
        <v>High</v>
      </c>
      <c r="I871" s="9" t="str">
        <f t="shared" si="54"/>
        <v>OK</v>
      </c>
      <c r="J871" s="9" t="str">
        <f t="shared" si="55"/>
        <v>Solid</v>
      </c>
    </row>
    <row r="872" spans="1:10" x14ac:dyDescent="0.3">
      <c r="A872" s="10">
        <f>'2_Clean_Data'!A869</f>
        <v>868</v>
      </c>
      <c r="B872" s="10">
        <f>INDEX('2_Clean_Data'!$M$2:$M$1360,MATCH($A872,'2_Clean_Data'!$A$2:$A$1360,0))</f>
        <v>5</v>
      </c>
      <c r="C872" s="9" t="str">
        <f t="shared" si="52"/>
        <v>Average</v>
      </c>
      <c r="D872" s="11">
        <f>INDEX('2_Clean_Data'!$L$2:$L$1360,MATCH($A872,'2_Clean_Data'!$A$2:$A$1360,0))</f>
        <v>10.4</v>
      </c>
      <c r="E872" s="9" t="str">
        <f>IF(D872&lt;'3_Summary_Tables'!$C$16,"Low",IF(D872&lt;'3_Summary_Tables'!$C$17,"Medium","High"))</f>
        <v>Medium</v>
      </c>
      <c r="F872" s="12">
        <f>INDEX('2_Clean_Data'!$C$2:$C$1360,MATCH($A872,'2_Clean_Data'!$A$2:$A$1360,0))</f>
        <v>0.5</v>
      </c>
      <c r="G872" s="10">
        <f>INDEX('2_Clean_Data'!$H$2:$H$1360,MATCH($A872,'2_Clean_Data'!$A$2:$A$1360,0))</f>
        <v>23</v>
      </c>
      <c r="H872" s="9" t="str">
        <f t="shared" si="53"/>
        <v>Low</v>
      </c>
      <c r="I872" s="9" t="str">
        <f t="shared" si="54"/>
        <v>OK</v>
      </c>
      <c r="J872" s="9" t="str">
        <f t="shared" si="55"/>
        <v>Standard</v>
      </c>
    </row>
    <row r="873" spans="1:10" x14ac:dyDescent="0.3">
      <c r="A873" s="10">
        <f>'2_Clean_Data'!A870</f>
        <v>869</v>
      </c>
      <c r="B873" s="10">
        <f>INDEX('2_Clean_Data'!$M$2:$M$1360,MATCH($A873,'2_Clean_Data'!$A$2:$A$1360,0))</f>
        <v>6</v>
      </c>
      <c r="C873" s="9" t="str">
        <f t="shared" si="52"/>
        <v>Above Average</v>
      </c>
      <c r="D873" s="11">
        <f>INDEX('2_Clean_Data'!$L$2:$L$1360,MATCH($A873,'2_Clean_Data'!$A$2:$A$1360,0))</f>
        <v>11.9</v>
      </c>
      <c r="E873" s="9" t="str">
        <f>IF(D873&lt;'3_Summary_Tables'!$C$16,"Low",IF(D873&lt;'3_Summary_Tables'!$C$17,"Medium","High"))</f>
        <v>High</v>
      </c>
      <c r="F873" s="12">
        <f>INDEX('2_Clean_Data'!$C$2:$C$1360,MATCH($A873,'2_Clean_Data'!$A$2:$A$1360,0))</f>
        <v>0.36</v>
      </c>
      <c r="G873" s="10">
        <f>INDEX('2_Clean_Data'!$H$2:$H$1360,MATCH($A873,'2_Clean_Data'!$A$2:$A$1360,0))</f>
        <v>8</v>
      </c>
      <c r="H873" s="9" t="str">
        <f t="shared" si="53"/>
        <v>Low</v>
      </c>
      <c r="I873" s="9" t="str">
        <f t="shared" si="54"/>
        <v>OK</v>
      </c>
      <c r="J873" s="9" t="str">
        <f t="shared" si="55"/>
        <v>Solid</v>
      </c>
    </row>
    <row r="874" spans="1:10" x14ac:dyDescent="0.3">
      <c r="A874" s="10">
        <f>'2_Clean_Data'!A871</f>
        <v>870</v>
      </c>
      <c r="B874" s="10">
        <f>INDEX('2_Clean_Data'!$M$2:$M$1360,MATCH($A874,'2_Clean_Data'!$A$2:$A$1360,0))</f>
        <v>5</v>
      </c>
      <c r="C874" s="9" t="str">
        <f t="shared" si="52"/>
        <v>Average</v>
      </c>
      <c r="D874" s="11">
        <f>INDEX('2_Clean_Data'!$L$2:$L$1360,MATCH($A874,'2_Clean_Data'!$A$2:$A$1360,0))</f>
        <v>10.5</v>
      </c>
      <c r="E874" s="9" t="str">
        <f>IF(D874&lt;'3_Summary_Tables'!$C$16,"Low",IF(D874&lt;'3_Summary_Tables'!$C$17,"Medium","High"))</f>
        <v>Medium</v>
      </c>
      <c r="F874" s="12">
        <f>INDEX('2_Clean_Data'!$C$2:$C$1360,MATCH($A874,'2_Clean_Data'!$A$2:$A$1360,0))</f>
        <v>0.51</v>
      </c>
      <c r="G874" s="10">
        <f>INDEX('2_Clean_Data'!$H$2:$H$1360,MATCH($A874,'2_Clean_Data'!$A$2:$A$1360,0))</f>
        <v>9</v>
      </c>
      <c r="H874" s="9" t="str">
        <f t="shared" si="53"/>
        <v>Low</v>
      </c>
      <c r="I874" s="9" t="str">
        <f t="shared" si="54"/>
        <v>OK</v>
      </c>
      <c r="J874" s="9" t="str">
        <f t="shared" si="55"/>
        <v>Standard</v>
      </c>
    </row>
    <row r="875" spans="1:10" x14ac:dyDescent="0.3">
      <c r="A875" s="10">
        <f>'2_Clean_Data'!A872</f>
        <v>871</v>
      </c>
      <c r="B875" s="10">
        <f>INDEX('2_Clean_Data'!$M$2:$M$1360,MATCH($A875,'2_Clean_Data'!$A$2:$A$1360,0))</f>
        <v>6</v>
      </c>
      <c r="C875" s="9" t="str">
        <f t="shared" si="52"/>
        <v>Above Average</v>
      </c>
      <c r="D875" s="11">
        <f>INDEX('2_Clean_Data'!$L$2:$L$1360,MATCH($A875,'2_Clean_Data'!$A$2:$A$1360,0))</f>
        <v>12.3</v>
      </c>
      <c r="E875" s="9" t="str">
        <f>IF(D875&lt;'3_Summary_Tables'!$C$16,"Low",IF(D875&lt;'3_Summary_Tables'!$C$17,"Medium","High"))</f>
        <v>High</v>
      </c>
      <c r="F875" s="12">
        <f>INDEX('2_Clean_Data'!$C$2:$C$1360,MATCH($A875,'2_Clean_Data'!$A$2:$A$1360,0))</f>
        <v>0.32</v>
      </c>
      <c r="G875" s="10">
        <f>INDEX('2_Clean_Data'!$H$2:$H$1360,MATCH($A875,'2_Clean_Data'!$A$2:$A$1360,0))</f>
        <v>9</v>
      </c>
      <c r="H875" s="9" t="str">
        <f t="shared" si="53"/>
        <v>Low</v>
      </c>
      <c r="I875" s="9" t="str">
        <f t="shared" si="54"/>
        <v>OK</v>
      </c>
      <c r="J875" s="9" t="str">
        <f t="shared" si="55"/>
        <v>Solid</v>
      </c>
    </row>
    <row r="876" spans="1:10" x14ac:dyDescent="0.3">
      <c r="A876" s="10">
        <f>'2_Clean_Data'!A873</f>
        <v>872</v>
      </c>
      <c r="B876" s="10">
        <f>INDEX('2_Clean_Data'!$M$2:$M$1360,MATCH($A876,'2_Clean_Data'!$A$2:$A$1360,0))</f>
        <v>7</v>
      </c>
      <c r="C876" s="9" t="str">
        <f t="shared" si="52"/>
        <v>Good</v>
      </c>
      <c r="D876" s="11">
        <f>INDEX('2_Clean_Data'!$L$2:$L$1360,MATCH($A876,'2_Clean_Data'!$A$2:$A$1360,0))</f>
        <v>10.5</v>
      </c>
      <c r="E876" s="9" t="str">
        <f>IF(D876&lt;'3_Summary_Tables'!$C$16,"Low",IF(D876&lt;'3_Summary_Tables'!$C$17,"Medium","High"))</f>
        <v>Medium</v>
      </c>
      <c r="F876" s="12">
        <f>INDEX('2_Clean_Data'!$C$2:$C$1360,MATCH($A876,'2_Clean_Data'!$A$2:$A$1360,0))</f>
        <v>0.57999999999999996</v>
      </c>
      <c r="G876" s="10">
        <f>INDEX('2_Clean_Data'!$H$2:$H$1360,MATCH($A876,'2_Clean_Data'!$A$2:$A$1360,0))</f>
        <v>18</v>
      </c>
      <c r="H876" s="9" t="str">
        <f t="shared" si="53"/>
        <v>Low</v>
      </c>
      <c r="I876" s="9" t="str">
        <f t="shared" si="54"/>
        <v>OK</v>
      </c>
      <c r="J876" s="9" t="str">
        <f t="shared" si="55"/>
        <v>Solid</v>
      </c>
    </row>
    <row r="877" spans="1:10" x14ac:dyDescent="0.3">
      <c r="A877" s="10">
        <f>'2_Clean_Data'!A874</f>
        <v>873</v>
      </c>
      <c r="B877" s="10">
        <f>INDEX('2_Clean_Data'!$M$2:$M$1360,MATCH($A877,'2_Clean_Data'!$A$2:$A$1360,0))</f>
        <v>6</v>
      </c>
      <c r="C877" s="9" t="str">
        <f t="shared" si="52"/>
        <v>Above Average</v>
      </c>
      <c r="D877" s="11">
        <f>INDEX('2_Clean_Data'!$L$2:$L$1360,MATCH($A877,'2_Clean_Data'!$A$2:$A$1360,0))</f>
        <v>10.4</v>
      </c>
      <c r="E877" s="9" t="str">
        <f>IF(D877&lt;'3_Summary_Tables'!$C$16,"Low",IF(D877&lt;'3_Summary_Tables'!$C$17,"Medium","High"))</f>
        <v>Medium</v>
      </c>
      <c r="F877" s="12">
        <f>INDEX('2_Clean_Data'!$C$2:$C$1360,MATCH($A877,'2_Clean_Data'!$A$2:$A$1360,0))</f>
        <v>0.83</v>
      </c>
      <c r="G877" s="10">
        <f>INDEX('2_Clean_Data'!$H$2:$H$1360,MATCH($A877,'2_Clean_Data'!$A$2:$A$1360,0))</f>
        <v>43</v>
      </c>
      <c r="H877" s="9" t="str">
        <f t="shared" si="53"/>
        <v>Low</v>
      </c>
      <c r="I877" s="9" t="str">
        <f t="shared" si="54"/>
        <v>Above limit</v>
      </c>
      <c r="J877" s="9" t="str">
        <f t="shared" si="55"/>
        <v>Standard</v>
      </c>
    </row>
    <row r="878" spans="1:10" x14ac:dyDescent="0.3">
      <c r="A878" s="10">
        <f>'2_Clean_Data'!A875</f>
        <v>874</v>
      </c>
      <c r="B878" s="10">
        <f>INDEX('2_Clean_Data'!$M$2:$M$1360,MATCH($A878,'2_Clean_Data'!$A$2:$A$1360,0))</f>
        <v>6</v>
      </c>
      <c r="C878" s="9" t="str">
        <f t="shared" si="52"/>
        <v>Above Average</v>
      </c>
      <c r="D878" s="11">
        <f>INDEX('2_Clean_Data'!$L$2:$L$1360,MATCH($A878,'2_Clean_Data'!$A$2:$A$1360,0))</f>
        <v>12.6</v>
      </c>
      <c r="E878" s="9" t="str">
        <f>IF(D878&lt;'3_Summary_Tables'!$C$16,"Low",IF(D878&lt;'3_Summary_Tables'!$C$17,"Medium","High"))</f>
        <v>High</v>
      </c>
      <c r="F878" s="12">
        <f>INDEX('2_Clean_Data'!$C$2:$C$1360,MATCH($A878,'2_Clean_Data'!$A$2:$A$1360,0))</f>
        <v>0.31</v>
      </c>
      <c r="G878" s="10">
        <f>INDEX('2_Clean_Data'!$H$2:$H$1360,MATCH($A878,'2_Clean_Data'!$A$2:$A$1360,0))</f>
        <v>36</v>
      </c>
      <c r="H878" s="9" t="str">
        <f t="shared" si="53"/>
        <v>Low</v>
      </c>
      <c r="I878" s="9" t="str">
        <f t="shared" si="54"/>
        <v>OK</v>
      </c>
      <c r="J878" s="9" t="str">
        <f t="shared" si="55"/>
        <v>Solid</v>
      </c>
    </row>
    <row r="879" spans="1:10" x14ac:dyDescent="0.3">
      <c r="A879" s="10">
        <f>'2_Clean_Data'!A876</f>
        <v>875</v>
      </c>
      <c r="B879" s="10">
        <f>INDEX('2_Clean_Data'!$M$2:$M$1360,MATCH($A879,'2_Clean_Data'!$A$2:$A$1360,0))</f>
        <v>5</v>
      </c>
      <c r="C879" s="9" t="str">
        <f t="shared" si="52"/>
        <v>Average</v>
      </c>
      <c r="D879" s="11">
        <f>INDEX('2_Clean_Data'!$L$2:$L$1360,MATCH($A879,'2_Clean_Data'!$A$2:$A$1360,0))</f>
        <v>11.6</v>
      </c>
      <c r="E879" s="9" t="str">
        <f>IF(D879&lt;'3_Summary_Tables'!$C$16,"Low",IF(D879&lt;'3_Summary_Tables'!$C$17,"Medium","High"))</f>
        <v>High</v>
      </c>
      <c r="F879" s="12">
        <f>INDEX('2_Clean_Data'!$C$2:$C$1360,MATCH($A879,'2_Clean_Data'!$A$2:$A$1360,0))</f>
        <v>0.79500000000000004</v>
      </c>
      <c r="G879" s="10">
        <f>INDEX('2_Clean_Data'!$H$2:$H$1360,MATCH($A879,'2_Clean_Data'!$A$2:$A$1360,0))</f>
        <v>52</v>
      </c>
      <c r="H879" s="9" t="str">
        <f t="shared" si="53"/>
        <v>Moderate</v>
      </c>
      <c r="I879" s="9" t="str">
        <f t="shared" si="54"/>
        <v>Above limit</v>
      </c>
      <c r="J879" s="9" t="str">
        <f t="shared" si="55"/>
        <v>Standard</v>
      </c>
    </row>
    <row r="880" spans="1:10" x14ac:dyDescent="0.3">
      <c r="A880" s="10">
        <f>'2_Clean_Data'!A877</f>
        <v>876</v>
      </c>
      <c r="B880" s="10">
        <f>INDEX('2_Clean_Data'!$M$2:$M$1360,MATCH($A880,'2_Clean_Data'!$A$2:$A$1360,0))</f>
        <v>6</v>
      </c>
      <c r="C880" s="9" t="str">
        <f t="shared" si="52"/>
        <v>Above Average</v>
      </c>
      <c r="D880" s="11">
        <f>INDEX('2_Clean_Data'!$L$2:$L$1360,MATCH($A880,'2_Clean_Data'!$A$2:$A$1360,0))</f>
        <v>10.1</v>
      </c>
      <c r="E880" s="9" t="str">
        <f>IF(D880&lt;'3_Summary_Tables'!$C$16,"Low",IF(D880&lt;'3_Summary_Tables'!$C$17,"Medium","High"))</f>
        <v>Medium</v>
      </c>
      <c r="F880" s="12">
        <f>INDEX('2_Clean_Data'!$C$2:$C$1360,MATCH($A880,'2_Clean_Data'!$A$2:$A$1360,0))</f>
        <v>0.34</v>
      </c>
      <c r="G880" s="10">
        <f>INDEX('2_Clean_Data'!$H$2:$H$1360,MATCH($A880,'2_Clean_Data'!$A$2:$A$1360,0))</f>
        <v>68</v>
      </c>
      <c r="H880" s="9" t="str">
        <f t="shared" si="53"/>
        <v>Moderate</v>
      </c>
      <c r="I880" s="9" t="str">
        <f t="shared" si="54"/>
        <v>OK</v>
      </c>
      <c r="J880" s="9" t="str">
        <f t="shared" si="55"/>
        <v>Solid</v>
      </c>
    </row>
    <row r="881" spans="1:10" x14ac:dyDescent="0.3">
      <c r="A881" s="10">
        <f>'2_Clean_Data'!A878</f>
        <v>877</v>
      </c>
      <c r="B881" s="10">
        <f>INDEX('2_Clean_Data'!$M$2:$M$1360,MATCH($A881,'2_Clean_Data'!$A$2:$A$1360,0))</f>
        <v>7</v>
      </c>
      <c r="C881" s="9" t="str">
        <f t="shared" si="52"/>
        <v>Good</v>
      </c>
      <c r="D881" s="11">
        <f>INDEX('2_Clean_Data'!$L$2:$L$1360,MATCH($A881,'2_Clean_Data'!$A$2:$A$1360,0))</f>
        <v>11.5</v>
      </c>
      <c r="E881" s="9" t="str">
        <f>IF(D881&lt;'3_Summary_Tables'!$C$16,"Low",IF(D881&lt;'3_Summary_Tables'!$C$17,"Medium","High"))</f>
        <v>High</v>
      </c>
      <c r="F881" s="12">
        <f>INDEX('2_Clean_Data'!$C$2:$C$1360,MATCH($A881,'2_Clean_Data'!$A$2:$A$1360,0))</f>
        <v>0.59</v>
      </c>
      <c r="G881" s="10">
        <f>INDEX('2_Clean_Data'!$H$2:$H$1360,MATCH($A881,'2_Clean_Data'!$A$2:$A$1360,0))</f>
        <v>14</v>
      </c>
      <c r="H881" s="9" t="str">
        <f t="shared" si="53"/>
        <v>Low</v>
      </c>
      <c r="I881" s="9" t="str">
        <f t="shared" si="54"/>
        <v>OK</v>
      </c>
      <c r="J881" s="9" t="str">
        <f t="shared" si="55"/>
        <v>Premium</v>
      </c>
    </row>
    <row r="882" spans="1:10" x14ac:dyDescent="0.3">
      <c r="A882" s="10">
        <f>'2_Clean_Data'!A879</f>
        <v>878</v>
      </c>
      <c r="B882" s="10">
        <f>INDEX('2_Clean_Data'!$M$2:$M$1360,MATCH($A882,'2_Clean_Data'!$A$2:$A$1360,0))</f>
        <v>7</v>
      </c>
      <c r="C882" s="9" t="str">
        <f t="shared" si="52"/>
        <v>Good</v>
      </c>
      <c r="D882" s="11">
        <f>INDEX('2_Clean_Data'!$L$2:$L$1360,MATCH($A882,'2_Clean_Data'!$A$2:$A$1360,0))</f>
        <v>11</v>
      </c>
      <c r="E882" s="9" t="str">
        <f>IF(D882&lt;'3_Summary_Tables'!$C$16,"Low",IF(D882&lt;'3_Summary_Tables'!$C$17,"Medium","High"))</f>
        <v>Medium</v>
      </c>
      <c r="F882" s="12">
        <f>INDEX('2_Clean_Data'!$C$2:$C$1360,MATCH($A882,'2_Clean_Data'!$A$2:$A$1360,0))</f>
        <v>0.55000000000000004</v>
      </c>
      <c r="G882" s="10">
        <f>INDEX('2_Clean_Data'!$H$2:$H$1360,MATCH($A882,'2_Clean_Data'!$A$2:$A$1360,0))</f>
        <v>15</v>
      </c>
      <c r="H882" s="9" t="str">
        <f t="shared" si="53"/>
        <v>Low</v>
      </c>
      <c r="I882" s="9" t="str">
        <f t="shared" si="54"/>
        <v>OK</v>
      </c>
      <c r="J882" s="9" t="str">
        <f t="shared" si="55"/>
        <v>Solid</v>
      </c>
    </row>
    <row r="883" spans="1:10" x14ac:dyDescent="0.3">
      <c r="A883" s="10">
        <f>'2_Clean_Data'!A880</f>
        <v>879</v>
      </c>
      <c r="B883" s="10">
        <f>INDEX('2_Clean_Data'!$M$2:$M$1360,MATCH($A883,'2_Clean_Data'!$A$2:$A$1360,0))</f>
        <v>5</v>
      </c>
      <c r="C883" s="9" t="str">
        <f t="shared" si="52"/>
        <v>Average</v>
      </c>
      <c r="D883" s="11">
        <f>INDEX('2_Clean_Data'!$L$2:$L$1360,MATCH($A883,'2_Clean_Data'!$A$2:$A$1360,0))</f>
        <v>9.6</v>
      </c>
      <c r="E883" s="9" t="str">
        <f>IF(D883&lt;'3_Summary_Tables'!$C$16,"Low",IF(D883&lt;'3_Summary_Tables'!$C$17,"Medium","High"))</f>
        <v>Low</v>
      </c>
      <c r="F883" s="12">
        <f>INDEX('2_Clean_Data'!$C$2:$C$1360,MATCH($A883,'2_Clean_Data'!$A$2:$A$1360,0))</f>
        <v>0.82</v>
      </c>
      <c r="G883" s="10">
        <f>INDEX('2_Clean_Data'!$H$2:$H$1360,MATCH($A883,'2_Clean_Data'!$A$2:$A$1360,0))</f>
        <v>14</v>
      </c>
      <c r="H883" s="9" t="str">
        <f t="shared" si="53"/>
        <v>Low</v>
      </c>
      <c r="I883" s="9" t="str">
        <f t="shared" si="54"/>
        <v>Above limit</v>
      </c>
      <c r="J883" s="9" t="str">
        <f t="shared" si="55"/>
        <v>Standard</v>
      </c>
    </row>
    <row r="884" spans="1:10" x14ac:dyDescent="0.3">
      <c r="A884" s="10">
        <f>'2_Clean_Data'!A881</f>
        <v>880</v>
      </c>
      <c r="B884" s="10">
        <f>INDEX('2_Clean_Data'!$M$2:$M$1360,MATCH($A884,'2_Clean_Data'!$A$2:$A$1360,0))</f>
        <v>6</v>
      </c>
      <c r="C884" s="9" t="str">
        <f t="shared" si="52"/>
        <v>Above Average</v>
      </c>
      <c r="D884" s="11">
        <f>INDEX('2_Clean_Data'!$L$2:$L$1360,MATCH($A884,'2_Clean_Data'!$A$2:$A$1360,0))</f>
        <v>10.4</v>
      </c>
      <c r="E884" s="9" t="str">
        <f>IF(D884&lt;'3_Summary_Tables'!$C$16,"Low",IF(D884&lt;'3_Summary_Tables'!$C$17,"Medium","High"))</f>
        <v>Medium</v>
      </c>
      <c r="F884" s="12">
        <f>INDEX('2_Clean_Data'!$C$2:$C$1360,MATCH($A884,'2_Clean_Data'!$A$2:$A$1360,0))</f>
        <v>0.56999999999999995</v>
      </c>
      <c r="G884" s="10">
        <f>INDEX('2_Clean_Data'!$H$2:$H$1360,MATCH($A884,'2_Clean_Data'!$A$2:$A$1360,0))</f>
        <v>27</v>
      </c>
      <c r="H884" s="9" t="str">
        <f t="shared" si="53"/>
        <v>Low</v>
      </c>
      <c r="I884" s="9" t="str">
        <f t="shared" si="54"/>
        <v>OK</v>
      </c>
      <c r="J884" s="9" t="str">
        <f t="shared" si="55"/>
        <v>Solid</v>
      </c>
    </row>
    <row r="885" spans="1:10" x14ac:dyDescent="0.3">
      <c r="A885" s="10">
        <f>'2_Clean_Data'!A882</f>
        <v>881</v>
      </c>
      <c r="B885" s="10">
        <f>INDEX('2_Clean_Data'!$M$2:$M$1360,MATCH($A885,'2_Clean_Data'!$A$2:$A$1360,0))</f>
        <v>6</v>
      </c>
      <c r="C885" s="9" t="str">
        <f t="shared" si="52"/>
        <v>Above Average</v>
      </c>
      <c r="D885" s="11">
        <f>INDEX('2_Clean_Data'!$L$2:$L$1360,MATCH($A885,'2_Clean_Data'!$A$2:$A$1360,0))</f>
        <v>9.6999999999999993</v>
      </c>
      <c r="E885" s="9" t="str">
        <f>IF(D885&lt;'3_Summary_Tables'!$C$16,"Low",IF(D885&lt;'3_Summary_Tables'!$C$17,"Medium","High"))</f>
        <v>Low</v>
      </c>
      <c r="F885" s="12">
        <f>INDEX('2_Clean_Data'!$C$2:$C$1360,MATCH($A885,'2_Clean_Data'!$A$2:$A$1360,0))</f>
        <v>0.745</v>
      </c>
      <c r="G885" s="10">
        <f>INDEX('2_Clean_Data'!$H$2:$H$1360,MATCH($A885,'2_Clean_Data'!$A$2:$A$1360,0))</f>
        <v>48</v>
      </c>
      <c r="H885" s="9" t="str">
        <f t="shared" si="53"/>
        <v>Low</v>
      </c>
      <c r="I885" s="9" t="str">
        <f t="shared" si="54"/>
        <v>Above limit</v>
      </c>
      <c r="J885" s="9" t="str">
        <f t="shared" si="55"/>
        <v>Standard</v>
      </c>
    </row>
    <row r="886" spans="1:10" x14ac:dyDescent="0.3">
      <c r="A886" s="10">
        <f>'2_Clean_Data'!A883</f>
        <v>882</v>
      </c>
      <c r="B886" s="10">
        <f>INDEX('2_Clean_Data'!$M$2:$M$1360,MATCH($A886,'2_Clean_Data'!$A$2:$A$1360,0))</f>
        <v>7</v>
      </c>
      <c r="C886" s="9" t="str">
        <f t="shared" si="52"/>
        <v>Good</v>
      </c>
      <c r="D886" s="11">
        <f>INDEX('2_Clean_Data'!$L$2:$L$1360,MATCH($A886,'2_Clean_Data'!$A$2:$A$1360,0))</f>
        <v>10.6</v>
      </c>
      <c r="E886" s="9" t="str">
        <f>IF(D886&lt;'3_Summary_Tables'!$C$16,"Low",IF(D886&lt;'3_Summary_Tables'!$C$17,"Medium","High"))</f>
        <v>Medium</v>
      </c>
      <c r="F886" s="12">
        <f>INDEX('2_Clean_Data'!$C$2:$C$1360,MATCH($A886,'2_Clean_Data'!$A$2:$A$1360,0))</f>
        <v>0.37</v>
      </c>
      <c r="G886" s="10">
        <f>INDEX('2_Clean_Data'!$H$2:$H$1360,MATCH($A886,'2_Clean_Data'!$A$2:$A$1360,0))</f>
        <v>17</v>
      </c>
      <c r="H886" s="9" t="str">
        <f t="shared" si="53"/>
        <v>Low</v>
      </c>
      <c r="I886" s="9" t="str">
        <f t="shared" si="54"/>
        <v>OK</v>
      </c>
      <c r="J886" s="9" t="str">
        <f t="shared" si="55"/>
        <v>Solid</v>
      </c>
    </row>
    <row r="887" spans="1:10" x14ac:dyDescent="0.3">
      <c r="A887" s="10">
        <f>'2_Clean_Data'!A884</f>
        <v>883</v>
      </c>
      <c r="B887" s="10">
        <f>INDEX('2_Clean_Data'!$M$2:$M$1360,MATCH($A887,'2_Clean_Data'!$A$2:$A$1360,0))</f>
        <v>7</v>
      </c>
      <c r="C887" s="9" t="str">
        <f t="shared" si="52"/>
        <v>Good</v>
      </c>
      <c r="D887" s="11">
        <f>INDEX('2_Clean_Data'!$L$2:$L$1360,MATCH($A887,'2_Clean_Data'!$A$2:$A$1360,0))</f>
        <v>12.5</v>
      </c>
      <c r="E887" s="9" t="str">
        <f>IF(D887&lt;'3_Summary_Tables'!$C$16,"Low",IF(D887&lt;'3_Summary_Tables'!$C$17,"Medium","High"))</f>
        <v>High</v>
      </c>
      <c r="F887" s="12">
        <f>INDEX('2_Clean_Data'!$C$2:$C$1360,MATCH($A887,'2_Clean_Data'!$A$2:$A$1360,0))</f>
        <v>0.31</v>
      </c>
      <c r="G887" s="10">
        <f>INDEX('2_Clean_Data'!$H$2:$H$1360,MATCH($A887,'2_Clean_Data'!$A$2:$A$1360,0))</f>
        <v>35</v>
      </c>
      <c r="H887" s="9" t="str">
        <f t="shared" si="53"/>
        <v>Low</v>
      </c>
      <c r="I887" s="9" t="str">
        <f t="shared" si="54"/>
        <v>OK</v>
      </c>
      <c r="J887" s="9" t="str">
        <f t="shared" si="55"/>
        <v>Premium</v>
      </c>
    </row>
    <row r="888" spans="1:10" x14ac:dyDescent="0.3">
      <c r="A888" s="10">
        <f>'2_Clean_Data'!A885</f>
        <v>884</v>
      </c>
      <c r="B888" s="10">
        <f>INDEX('2_Clean_Data'!$M$2:$M$1360,MATCH($A888,'2_Clean_Data'!$A$2:$A$1360,0))</f>
        <v>5</v>
      </c>
      <c r="C888" s="9" t="str">
        <f t="shared" si="52"/>
        <v>Average</v>
      </c>
      <c r="D888" s="11">
        <f>INDEX('2_Clean_Data'!$L$2:$L$1360,MATCH($A888,'2_Clean_Data'!$A$2:$A$1360,0))</f>
        <v>9.1999999999999993</v>
      </c>
      <c r="E888" s="9" t="str">
        <f>IF(D888&lt;'3_Summary_Tables'!$C$16,"Low",IF(D888&lt;'3_Summary_Tables'!$C$17,"Medium","High"))</f>
        <v>Low</v>
      </c>
      <c r="F888" s="12">
        <f>INDEX('2_Clean_Data'!$C$2:$C$1360,MATCH($A888,'2_Clean_Data'!$A$2:$A$1360,0))</f>
        <v>0.91</v>
      </c>
      <c r="G888" s="10">
        <f>INDEX('2_Clean_Data'!$H$2:$H$1360,MATCH($A888,'2_Clean_Data'!$A$2:$A$1360,0))</f>
        <v>56</v>
      </c>
      <c r="H888" s="9" t="str">
        <f t="shared" si="53"/>
        <v>Moderate</v>
      </c>
      <c r="I888" s="9" t="str">
        <f t="shared" si="54"/>
        <v>Above limit</v>
      </c>
      <c r="J888" s="9" t="str">
        <f t="shared" si="55"/>
        <v>Standard</v>
      </c>
    </row>
    <row r="889" spans="1:10" x14ac:dyDescent="0.3">
      <c r="A889" s="10">
        <f>'2_Clean_Data'!A886</f>
        <v>885</v>
      </c>
      <c r="B889" s="10">
        <f>INDEX('2_Clean_Data'!$M$2:$M$1360,MATCH($A889,'2_Clean_Data'!$A$2:$A$1360,0))</f>
        <v>7</v>
      </c>
      <c r="C889" s="9" t="str">
        <f t="shared" si="52"/>
        <v>Good</v>
      </c>
      <c r="D889" s="11">
        <f>INDEX('2_Clean_Data'!$L$2:$L$1360,MATCH($A889,'2_Clean_Data'!$A$2:$A$1360,0))</f>
        <v>12.6</v>
      </c>
      <c r="E889" s="9" t="str">
        <f>IF(D889&lt;'3_Summary_Tables'!$C$16,"Low",IF(D889&lt;'3_Summary_Tables'!$C$17,"Medium","High"))</f>
        <v>High</v>
      </c>
      <c r="F889" s="12">
        <f>INDEX('2_Clean_Data'!$C$2:$C$1360,MATCH($A889,'2_Clean_Data'!$A$2:$A$1360,0))</f>
        <v>0.41</v>
      </c>
      <c r="G889" s="10">
        <f>INDEX('2_Clean_Data'!$H$2:$H$1360,MATCH($A889,'2_Clean_Data'!$A$2:$A$1360,0))</f>
        <v>42</v>
      </c>
      <c r="H889" s="9" t="str">
        <f t="shared" si="53"/>
        <v>Low</v>
      </c>
      <c r="I889" s="9" t="str">
        <f t="shared" si="54"/>
        <v>OK</v>
      </c>
      <c r="J889" s="9" t="str">
        <f t="shared" si="55"/>
        <v>Premium</v>
      </c>
    </row>
    <row r="890" spans="1:10" x14ac:dyDescent="0.3">
      <c r="A890" s="10">
        <f>'2_Clean_Data'!A887</f>
        <v>886</v>
      </c>
      <c r="B890" s="10">
        <f>INDEX('2_Clean_Data'!$M$2:$M$1360,MATCH($A890,'2_Clean_Data'!$A$2:$A$1360,0))</f>
        <v>6</v>
      </c>
      <c r="C890" s="9" t="str">
        <f t="shared" si="52"/>
        <v>Above Average</v>
      </c>
      <c r="D890" s="11">
        <f>INDEX('2_Clean_Data'!$L$2:$L$1360,MATCH($A890,'2_Clean_Data'!$A$2:$A$1360,0))</f>
        <v>11.1</v>
      </c>
      <c r="E890" s="9" t="str">
        <f>IF(D890&lt;'3_Summary_Tables'!$C$16,"Low",IF(D890&lt;'3_Summary_Tables'!$C$17,"Medium","High"))</f>
        <v>Medium</v>
      </c>
      <c r="F890" s="12">
        <f>INDEX('2_Clean_Data'!$C$2:$C$1360,MATCH($A890,'2_Clean_Data'!$A$2:$A$1360,0))</f>
        <v>0.5</v>
      </c>
      <c r="G890" s="10">
        <f>INDEX('2_Clean_Data'!$H$2:$H$1360,MATCH($A890,'2_Clean_Data'!$A$2:$A$1360,0))</f>
        <v>39</v>
      </c>
      <c r="H890" s="9" t="str">
        <f t="shared" si="53"/>
        <v>Low</v>
      </c>
      <c r="I890" s="9" t="str">
        <f t="shared" si="54"/>
        <v>OK</v>
      </c>
      <c r="J890" s="9" t="str">
        <f t="shared" si="55"/>
        <v>Solid</v>
      </c>
    </row>
    <row r="891" spans="1:10" x14ac:dyDescent="0.3">
      <c r="A891" s="10">
        <f>'2_Clean_Data'!A888</f>
        <v>887</v>
      </c>
      <c r="B891" s="10">
        <f>INDEX('2_Clean_Data'!$M$2:$M$1360,MATCH($A891,'2_Clean_Data'!$A$2:$A$1360,0))</f>
        <v>5</v>
      </c>
      <c r="C891" s="9" t="str">
        <f t="shared" si="52"/>
        <v>Average</v>
      </c>
      <c r="D891" s="11">
        <f>INDEX('2_Clean_Data'!$L$2:$L$1360,MATCH($A891,'2_Clean_Data'!$A$2:$A$1360,0))</f>
        <v>10.199999999999999</v>
      </c>
      <c r="E891" s="9" t="str">
        <f>IF(D891&lt;'3_Summary_Tables'!$C$16,"Low",IF(D891&lt;'3_Summary_Tables'!$C$17,"Medium","High"))</f>
        <v>Medium</v>
      </c>
      <c r="F891" s="12">
        <f>INDEX('2_Clean_Data'!$C$2:$C$1360,MATCH($A891,'2_Clean_Data'!$A$2:$A$1360,0))</f>
        <v>0.96499999999999997</v>
      </c>
      <c r="G891" s="10">
        <f>INDEX('2_Clean_Data'!$H$2:$H$1360,MATCH($A891,'2_Clean_Data'!$A$2:$A$1360,0))</f>
        <v>32</v>
      </c>
      <c r="H891" s="9" t="str">
        <f t="shared" si="53"/>
        <v>Low</v>
      </c>
      <c r="I891" s="9" t="str">
        <f t="shared" si="54"/>
        <v>Above limit</v>
      </c>
      <c r="J891" s="9" t="str">
        <f t="shared" si="55"/>
        <v>Standard</v>
      </c>
    </row>
    <row r="892" spans="1:10" x14ac:dyDescent="0.3">
      <c r="A892" s="10">
        <f>'2_Clean_Data'!A889</f>
        <v>888</v>
      </c>
      <c r="B892" s="10">
        <f>INDEX('2_Clean_Data'!$M$2:$M$1360,MATCH($A892,'2_Clean_Data'!$A$2:$A$1360,0))</f>
        <v>6</v>
      </c>
      <c r="C892" s="9" t="str">
        <f t="shared" si="52"/>
        <v>Above Average</v>
      </c>
      <c r="D892" s="11">
        <f>INDEX('2_Clean_Data'!$L$2:$L$1360,MATCH($A892,'2_Clean_Data'!$A$2:$A$1360,0))</f>
        <v>9.8000000000000007</v>
      </c>
      <c r="E892" s="9" t="str">
        <f>IF(D892&lt;'3_Summary_Tables'!$C$16,"Low",IF(D892&lt;'3_Summary_Tables'!$C$17,"Medium","High"))</f>
        <v>Low</v>
      </c>
      <c r="F892" s="12">
        <f>INDEX('2_Clean_Data'!$C$2:$C$1360,MATCH($A892,'2_Clean_Data'!$A$2:$A$1360,0))</f>
        <v>0.49</v>
      </c>
      <c r="G892" s="10">
        <f>INDEX('2_Clean_Data'!$H$2:$H$1360,MATCH($A892,'2_Clean_Data'!$A$2:$A$1360,0))</f>
        <v>26</v>
      </c>
      <c r="H892" s="9" t="str">
        <f t="shared" si="53"/>
        <v>Low</v>
      </c>
      <c r="I892" s="9" t="str">
        <f t="shared" si="54"/>
        <v>OK</v>
      </c>
      <c r="J892" s="9" t="str">
        <f t="shared" si="55"/>
        <v>Solid</v>
      </c>
    </row>
    <row r="893" spans="1:10" x14ac:dyDescent="0.3">
      <c r="A893" s="10">
        <f>'2_Clean_Data'!A890</f>
        <v>889</v>
      </c>
      <c r="B893" s="10">
        <f>INDEX('2_Clean_Data'!$M$2:$M$1360,MATCH($A893,'2_Clean_Data'!$A$2:$A$1360,0))</f>
        <v>7</v>
      </c>
      <c r="C893" s="9" t="str">
        <f t="shared" si="52"/>
        <v>Good</v>
      </c>
      <c r="D893" s="11">
        <f>INDEX('2_Clean_Data'!$L$2:$L$1360,MATCH($A893,'2_Clean_Data'!$A$2:$A$1360,0))</f>
        <v>10.9</v>
      </c>
      <c r="E893" s="9" t="str">
        <f>IF(D893&lt;'3_Summary_Tables'!$C$16,"Low",IF(D893&lt;'3_Summary_Tables'!$C$17,"Medium","High"))</f>
        <v>Medium</v>
      </c>
      <c r="F893" s="12">
        <f>INDEX('2_Clean_Data'!$C$2:$C$1360,MATCH($A893,'2_Clean_Data'!$A$2:$A$1360,0))</f>
        <v>0.39</v>
      </c>
      <c r="G893" s="10">
        <f>INDEX('2_Clean_Data'!$H$2:$H$1360,MATCH($A893,'2_Clean_Data'!$A$2:$A$1360,0))</f>
        <v>39</v>
      </c>
      <c r="H893" s="9" t="str">
        <f t="shared" si="53"/>
        <v>Low</v>
      </c>
      <c r="I893" s="9" t="str">
        <f t="shared" si="54"/>
        <v>OK</v>
      </c>
      <c r="J893" s="9" t="str">
        <f t="shared" si="55"/>
        <v>Solid</v>
      </c>
    </row>
    <row r="894" spans="1:10" x14ac:dyDescent="0.3">
      <c r="A894" s="10">
        <f>'2_Clean_Data'!A891</f>
        <v>890</v>
      </c>
      <c r="B894" s="10">
        <f>INDEX('2_Clean_Data'!$M$2:$M$1360,MATCH($A894,'2_Clean_Data'!$A$2:$A$1360,0))</f>
        <v>6</v>
      </c>
      <c r="C894" s="9" t="str">
        <f t="shared" si="52"/>
        <v>Above Average</v>
      </c>
      <c r="D894" s="11">
        <f>INDEX('2_Clean_Data'!$L$2:$L$1360,MATCH($A894,'2_Clean_Data'!$A$2:$A$1360,0))</f>
        <v>12.2</v>
      </c>
      <c r="E894" s="9" t="str">
        <f>IF(D894&lt;'3_Summary_Tables'!$C$16,"Low",IF(D894&lt;'3_Summary_Tables'!$C$17,"Medium","High"))</f>
        <v>High</v>
      </c>
      <c r="F894" s="12">
        <f>INDEX('2_Clean_Data'!$C$2:$C$1360,MATCH($A894,'2_Clean_Data'!$A$2:$A$1360,0))</f>
        <v>0.39</v>
      </c>
      <c r="G894" s="10">
        <f>INDEX('2_Clean_Data'!$H$2:$H$1360,MATCH($A894,'2_Clean_Data'!$A$2:$A$1360,0))</f>
        <v>53</v>
      </c>
      <c r="H894" s="9" t="str">
        <f t="shared" si="53"/>
        <v>Moderate</v>
      </c>
      <c r="I894" s="9" t="str">
        <f t="shared" si="54"/>
        <v>OK</v>
      </c>
      <c r="J894" s="9" t="str">
        <f t="shared" si="55"/>
        <v>Solid</v>
      </c>
    </row>
    <row r="895" spans="1:10" x14ac:dyDescent="0.3">
      <c r="A895" s="10">
        <f>'2_Clean_Data'!A892</f>
        <v>891</v>
      </c>
      <c r="B895" s="10">
        <f>INDEX('2_Clean_Data'!$M$2:$M$1360,MATCH($A895,'2_Clean_Data'!$A$2:$A$1360,0))</f>
        <v>6</v>
      </c>
      <c r="C895" s="9" t="str">
        <f t="shared" si="52"/>
        <v>Above Average</v>
      </c>
      <c r="D895" s="11">
        <f>INDEX('2_Clean_Data'!$L$2:$L$1360,MATCH($A895,'2_Clean_Data'!$A$2:$A$1360,0))</f>
        <v>11.4</v>
      </c>
      <c r="E895" s="9" t="str">
        <f>IF(D895&lt;'3_Summary_Tables'!$C$16,"Low",IF(D895&lt;'3_Summary_Tables'!$C$17,"Medium","High"))</f>
        <v>Medium</v>
      </c>
      <c r="F895" s="12">
        <f>INDEX('2_Clean_Data'!$C$2:$C$1360,MATCH($A895,'2_Clean_Data'!$A$2:$A$1360,0))</f>
        <v>0.44</v>
      </c>
      <c r="G895" s="10">
        <f>INDEX('2_Clean_Data'!$H$2:$H$1360,MATCH($A895,'2_Clean_Data'!$A$2:$A$1360,0))</f>
        <v>38</v>
      </c>
      <c r="H895" s="9" t="str">
        <f t="shared" si="53"/>
        <v>Low</v>
      </c>
      <c r="I895" s="9" t="str">
        <f t="shared" si="54"/>
        <v>OK</v>
      </c>
      <c r="J895" s="9" t="str">
        <f t="shared" si="55"/>
        <v>Solid</v>
      </c>
    </row>
    <row r="896" spans="1:10" x14ac:dyDescent="0.3">
      <c r="A896" s="10">
        <f>'2_Clean_Data'!A893</f>
        <v>892</v>
      </c>
      <c r="B896" s="10">
        <f>INDEX('2_Clean_Data'!$M$2:$M$1360,MATCH($A896,'2_Clean_Data'!$A$2:$A$1360,0))</f>
        <v>6</v>
      </c>
      <c r="C896" s="9" t="str">
        <f t="shared" si="52"/>
        <v>Above Average</v>
      </c>
      <c r="D896" s="11">
        <f>INDEX('2_Clean_Data'!$L$2:$L$1360,MATCH($A896,'2_Clean_Data'!$A$2:$A$1360,0))</f>
        <v>10.7</v>
      </c>
      <c r="E896" s="9" t="str">
        <f>IF(D896&lt;'3_Summary_Tables'!$C$16,"Low",IF(D896&lt;'3_Summary_Tables'!$C$17,"Medium","High"))</f>
        <v>Medium</v>
      </c>
      <c r="F896" s="12">
        <f>INDEX('2_Clean_Data'!$C$2:$C$1360,MATCH($A896,'2_Clean_Data'!$A$2:$A$1360,0))</f>
        <v>0.78</v>
      </c>
      <c r="G896" s="10">
        <f>INDEX('2_Clean_Data'!$H$2:$H$1360,MATCH($A896,'2_Clean_Data'!$A$2:$A$1360,0))</f>
        <v>45</v>
      </c>
      <c r="H896" s="9" t="str">
        <f t="shared" si="53"/>
        <v>Low</v>
      </c>
      <c r="I896" s="9" t="str">
        <f t="shared" si="54"/>
        <v>Above limit</v>
      </c>
      <c r="J896" s="9" t="str">
        <f t="shared" si="55"/>
        <v>Standard</v>
      </c>
    </row>
    <row r="897" spans="1:10" x14ac:dyDescent="0.3">
      <c r="A897" s="10">
        <f>'2_Clean_Data'!A894</f>
        <v>893</v>
      </c>
      <c r="B897" s="10">
        <f>INDEX('2_Clean_Data'!$M$2:$M$1360,MATCH($A897,'2_Clean_Data'!$A$2:$A$1360,0))</f>
        <v>5</v>
      </c>
      <c r="C897" s="9" t="str">
        <f t="shared" si="52"/>
        <v>Average</v>
      </c>
      <c r="D897" s="11">
        <f>INDEX('2_Clean_Data'!$L$2:$L$1360,MATCH($A897,'2_Clean_Data'!$A$2:$A$1360,0))</f>
        <v>10.4</v>
      </c>
      <c r="E897" s="9" t="str">
        <f>IF(D897&lt;'3_Summary_Tables'!$C$16,"Low",IF(D897&lt;'3_Summary_Tables'!$C$17,"Medium","High"))</f>
        <v>Medium</v>
      </c>
      <c r="F897" s="12">
        <f>INDEX('2_Clean_Data'!$C$2:$C$1360,MATCH($A897,'2_Clean_Data'!$A$2:$A$1360,0))</f>
        <v>0.43</v>
      </c>
      <c r="G897" s="10">
        <f>INDEX('2_Clean_Data'!$H$2:$H$1360,MATCH($A897,'2_Clean_Data'!$A$2:$A$1360,0))</f>
        <v>51</v>
      </c>
      <c r="H897" s="9" t="str">
        <f t="shared" si="53"/>
        <v>Moderate</v>
      </c>
      <c r="I897" s="9" t="str">
        <f t="shared" si="54"/>
        <v>OK</v>
      </c>
      <c r="J897" s="9" t="str">
        <f t="shared" si="55"/>
        <v>Standard</v>
      </c>
    </row>
    <row r="898" spans="1:10" x14ac:dyDescent="0.3">
      <c r="A898" s="10">
        <f>'2_Clean_Data'!A895</f>
        <v>894</v>
      </c>
      <c r="B898" s="10">
        <f>INDEX('2_Clean_Data'!$M$2:$M$1360,MATCH($A898,'2_Clean_Data'!$A$2:$A$1360,0))</f>
        <v>6</v>
      </c>
      <c r="C898" s="9" t="str">
        <f t="shared" si="52"/>
        <v>Above Average</v>
      </c>
      <c r="D898" s="11">
        <f>INDEX('2_Clean_Data'!$L$2:$L$1360,MATCH($A898,'2_Clean_Data'!$A$2:$A$1360,0))</f>
        <v>10.9</v>
      </c>
      <c r="E898" s="9" t="str">
        <f>IF(D898&lt;'3_Summary_Tables'!$C$16,"Low",IF(D898&lt;'3_Summary_Tables'!$C$17,"Medium","High"))</f>
        <v>Medium</v>
      </c>
      <c r="F898" s="12">
        <f>INDEX('2_Clean_Data'!$C$2:$C$1360,MATCH($A898,'2_Clean_Data'!$A$2:$A$1360,0))</f>
        <v>0.49</v>
      </c>
      <c r="G898" s="10">
        <f>INDEX('2_Clean_Data'!$H$2:$H$1360,MATCH($A898,'2_Clean_Data'!$A$2:$A$1360,0))</f>
        <v>14</v>
      </c>
      <c r="H898" s="9" t="str">
        <f t="shared" si="53"/>
        <v>Low</v>
      </c>
      <c r="I898" s="9" t="str">
        <f t="shared" si="54"/>
        <v>OK</v>
      </c>
      <c r="J898" s="9" t="str">
        <f t="shared" si="55"/>
        <v>Solid</v>
      </c>
    </row>
    <row r="899" spans="1:10" x14ac:dyDescent="0.3">
      <c r="A899" s="10">
        <f>'2_Clean_Data'!A896</f>
        <v>895</v>
      </c>
      <c r="B899" s="10">
        <f>INDEX('2_Clean_Data'!$M$2:$M$1360,MATCH($A899,'2_Clean_Data'!$A$2:$A$1360,0))</f>
        <v>6</v>
      </c>
      <c r="C899" s="9" t="str">
        <f t="shared" si="52"/>
        <v>Above Average</v>
      </c>
      <c r="D899" s="11">
        <f>INDEX('2_Clean_Data'!$L$2:$L$1360,MATCH($A899,'2_Clean_Data'!$A$2:$A$1360,0))</f>
        <v>10.8</v>
      </c>
      <c r="E899" s="9" t="str">
        <f>IF(D899&lt;'3_Summary_Tables'!$C$16,"Low",IF(D899&lt;'3_Summary_Tables'!$C$17,"Medium","High"))</f>
        <v>Medium</v>
      </c>
      <c r="F899" s="12">
        <f>INDEX('2_Clean_Data'!$C$2:$C$1360,MATCH($A899,'2_Clean_Data'!$A$2:$A$1360,0))</f>
        <v>0.5</v>
      </c>
      <c r="G899" s="10">
        <f>INDEX('2_Clean_Data'!$H$2:$H$1360,MATCH($A899,'2_Clean_Data'!$A$2:$A$1360,0))</f>
        <v>17</v>
      </c>
      <c r="H899" s="9" t="str">
        <f t="shared" si="53"/>
        <v>Low</v>
      </c>
      <c r="I899" s="9" t="str">
        <f t="shared" si="54"/>
        <v>OK</v>
      </c>
      <c r="J899" s="9" t="str">
        <f t="shared" si="55"/>
        <v>Solid</v>
      </c>
    </row>
    <row r="900" spans="1:10" x14ac:dyDescent="0.3">
      <c r="A900" s="10">
        <f>'2_Clean_Data'!A897</f>
        <v>896</v>
      </c>
      <c r="B900" s="10">
        <f>INDEX('2_Clean_Data'!$M$2:$M$1360,MATCH($A900,'2_Clean_Data'!$A$2:$A$1360,0))</f>
        <v>5</v>
      </c>
      <c r="C900" s="9" t="str">
        <f t="shared" si="52"/>
        <v>Average</v>
      </c>
      <c r="D900" s="11">
        <f>INDEX('2_Clean_Data'!$L$2:$L$1360,MATCH($A900,'2_Clean_Data'!$A$2:$A$1360,0))</f>
        <v>9.1999999999999993</v>
      </c>
      <c r="E900" s="9" t="str">
        <f>IF(D900&lt;'3_Summary_Tables'!$C$16,"Low",IF(D900&lt;'3_Summary_Tables'!$C$17,"Medium","High"))</f>
        <v>Low</v>
      </c>
      <c r="F900" s="12">
        <f>INDEX('2_Clean_Data'!$C$2:$C$1360,MATCH($A900,'2_Clean_Data'!$A$2:$A$1360,0))</f>
        <v>0.46</v>
      </c>
      <c r="G900" s="10">
        <f>INDEX('2_Clean_Data'!$H$2:$H$1360,MATCH($A900,'2_Clean_Data'!$A$2:$A$1360,0))</f>
        <v>45</v>
      </c>
      <c r="H900" s="9" t="str">
        <f t="shared" si="53"/>
        <v>Low</v>
      </c>
      <c r="I900" s="9" t="str">
        <f t="shared" si="54"/>
        <v>OK</v>
      </c>
      <c r="J900" s="9" t="str">
        <f t="shared" si="55"/>
        <v>Standard</v>
      </c>
    </row>
    <row r="901" spans="1:10" x14ac:dyDescent="0.3">
      <c r="A901" s="10">
        <f>'2_Clean_Data'!A898</f>
        <v>897</v>
      </c>
      <c r="B901" s="10">
        <f>INDEX('2_Clean_Data'!$M$2:$M$1360,MATCH($A901,'2_Clean_Data'!$A$2:$A$1360,0))</f>
        <v>5</v>
      </c>
      <c r="C901" s="9" t="str">
        <f t="shared" ref="C901:C964" si="56">VLOOKUP(B901,$L$12:$N$17,2,FALSE())</f>
        <v>Average</v>
      </c>
      <c r="D901" s="11">
        <f>INDEX('2_Clean_Data'!$L$2:$L$1360,MATCH($A901,'2_Clean_Data'!$A$2:$A$1360,0))</f>
        <v>12.9</v>
      </c>
      <c r="E901" s="9" t="str">
        <f>IF(D901&lt;'3_Summary_Tables'!$C$16,"Low",IF(D901&lt;'3_Summary_Tables'!$C$17,"Medium","High"))</f>
        <v>High</v>
      </c>
      <c r="F901" s="12">
        <f>INDEX('2_Clean_Data'!$C$2:$C$1360,MATCH($A901,'2_Clean_Data'!$A$2:$A$1360,0))</f>
        <v>0.60499999999999998</v>
      </c>
      <c r="G901" s="10">
        <f>INDEX('2_Clean_Data'!$H$2:$H$1360,MATCH($A901,'2_Clean_Data'!$A$2:$A$1360,0))</f>
        <v>25</v>
      </c>
      <c r="H901" s="9" t="str">
        <f t="shared" ref="H901:H964" si="57">IF(G901&gt;$M$8,"High",IF(G901&gt;$M$7,"Moderate","Low"))</f>
        <v>Low</v>
      </c>
      <c r="I901" s="9" t="str">
        <f t="shared" ref="I901:I964" si="58">IF(F901&gt;$M$6,"Above limit","OK")</f>
        <v>OK</v>
      </c>
      <c r="J901" s="9" t="str">
        <f t="shared" ref="J901:J964" si="59">IF(AND(B901&gt;=7,E901="High"),"Premium",IF(AND(B901&gt;=6,I901="OK"),"Solid",IF(B901&lt;=4,"Poor","Standard")))</f>
        <v>Standard</v>
      </c>
    </row>
    <row r="902" spans="1:10" x14ac:dyDescent="0.3">
      <c r="A902" s="10">
        <f>'2_Clean_Data'!A899</f>
        <v>898</v>
      </c>
      <c r="B902" s="10">
        <f>INDEX('2_Clean_Data'!$M$2:$M$1360,MATCH($A902,'2_Clean_Data'!$A$2:$A$1360,0))</f>
        <v>7</v>
      </c>
      <c r="C902" s="9" t="str">
        <f t="shared" si="56"/>
        <v>Good</v>
      </c>
      <c r="D902" s="11">
        <f>INDEX('2_Clean_Data'!$L$2:$L$1360,MATCH($A902,'2_Clean_Data'!$A$2:$A$1360,0))</f>
        <v>12.7</v>
      </c>
      <c r="E902" s="9" t="str">
        <f>IF(D902&lt;'3_Summary_Tables'!$C$16,"Low",IF(D902&lt;'3_Summary_Tables'!$C$17,"Medium","High"))</f>
        <v>High</v>
      </c>
      <c r="F902" s="12">
        <f>INDEX('2_Clean_Data'!$C$2:$C$1360,MATCH($A902,'2_Clean_Data'!$A$2:$A$1360,0))</f>
        <v>0.33</v>
      </c>
      <c r="G902" s="10">
        <f>INDEX('2_Clean_Data'!$H$2:$H$1360,MATCH($A902,'2_Clean_Data'!$A$2:$A$1360,0))</f>
        <v>20</v>
      </c>
      <c r="H902" s="9" t="str">
        <f t="shared" si="57"/>
        <v>Low</v>
      </c>
      <c r="I902" s="9" t="str">
        <f t="shared" si="58"/>
        <v>OK</v>
      </c>
      <c r="J902" s="9" t="str">
        <f t="shared" si="59"/>
        <v>Premium</v>
      </c>
    </row>
    <row r="903" spans="1:10" x14ac:dyDescent="0.3">
      <c r="A903" s="10">
        <f>'2_Clean_Data'!A900</f>
        <v>899</v>
      </c>
      <c r="B903" s="10">
        <f>INDEX('2_Clean_Data'!$M$2:$M$1360,MATCH($A903,'2_Clean_Data'!$A$2:$A$1360,0))</f>
        <v>6</v>
      </c>
      <c r="C903" s="9" t="str">
        <f t="shared" si="56"/>
        <v>Above Average</v>
      </c>
      <c r="D903" s="11">
        <f>INDEX('2_Clean_Data'!$L$2:$L$1360,MATCH($A903,'2_Clean_Data'!$A$2:$A$1360,0))</f>
        <v>9.1</v>
      </c>
      <c r="E903" s="9" t="str">
        <f>IF(D903&lt;'3_Summary_Tables'!$C$16,"Low",IF(D903&lt;'3_Summary_Tables'!$C$17,"Medium","High"))</f>
        <v>Low</v>
      </c>
      <c r="F903" s="12">
        <f>INDEX('2_Clean_Data'!$C$2:$C$1360,MATCH($A903,'2_Clean_Data'!$A$2:$A$1360,0))</f>
        <v>0.64</v>
      </c>
      <c r="G903" s="10">
        <f>INDEX('2_Clean_Data'!$H$2:$H$1360,MATCH($A903,'2_Clean_Data'!$A$2:$A$1360,0))</f>
        <v>77</v>
      </c>
      <c r="H903" s="9" t="str">
        <f t="shared" si="57"/>
        <v>Moderate</v>
      </c>
      <c r="I903" s="9" t="str">
        <f t="shared" si="58"/>
        <v>OK</v>
      </c>
      <c r="J903" s="9" t="str">
        <f t="shared" si="59"/>
        <v>Solid</v>
      </c>
    </row>
    <row r="904" spans="1:10" x14ac:dyDescent="0.3">
      <c r="A904" s="10">
        <f>'2_Clean_Data'!A901</f>
        <v>900</v>
      </c>
      <c r="B904" s="10">
        <f>INDEX('2_Clean_Data'!$M$2:$M$1360,MATCH($A904,'2_Clean_Data'!$A$2:$A$1360,0))</f>
        <v>7</v>
      </c>
      <c r="C904" s="9" t="str">
        <f t="shared" si="56"/>
        <v>Good</v>
      </c>
      <c r="D904" s="11">
        <f>INDEX('2_Clean_Data'!$L$2:$L$1360,MATCH($A904,'2_Clean_Data'!$A$2:$A$1360,0))</f>
        <v>12.1</v>
      </c>
      <c r="E904" s="9" t="str">
        <f>IF(D904&lt;'3_Summary_Tables'!$C$16,"Low",IF(D904&lt;'3_Summary_Tables'!$C$17,"Medium","High"))</f>
        <v>High</v>
      </c>
      <c r="F904" s="12">
        <f>INDEX('2_Clean_Data'!$C$2:$C$1360,MATCH($A904,'2_Clean_Data'!$A$2:$A$1360,0))</f>
        <v>0.48</v>
      </c>
      <c r="G904" s="10">
        <f>INDEX('2_Clean_Data'!$H$2:$H$1360,MATCH($A904,'2_Clean_Data'!$A$2:$A$1360,0))</f>
        <v>10</v>
      </c>
      <c r="H904" s="9" t="str">
        <f t="shared" si="57"/>
        <v>Low</v>
      </c>
      <c r="I904" s="9" t="str">
        <f t="shared" si="58"/>
        <v>OK</v>
      </c>
      <c r="J904" s="9" t="str">
        <f t="shared" si="59"/>
        <v>Premium</v>
      </c>
    </row>
    <row r="905" spans="1:10" x14ac:dyDescent="0.3">
      <c r="A905" s="10">
        <f>'2_Clean_Data'!A902</f>
        <v>901</v>
      </c>
      <c r="B905" s="10">
        <f>INDEX('2_Clean_Data'!$M$2:$M$1360,MATCH($A905,'2_Clean_Data'!$A$2:$A$1360,0))</f>
        <v>5</v>
      </c>
      <c r="C905" s="9" t="str">
        <f t="shared" si="56"/>
        <v>Average</v>
      </c>
      <c r="D905" s="11">
        <f>INDEX('2_Clean_Data'!$L$2:$L$1360,MATCH($A905,'2_Clean_Data'!$A$2:$A$1360,0))</f>
        <v>9.1</v>
      </c>
      <c r="E905" s="9" t="str">
        <f>IF(D905&lt;'3_Summary_Tables'!$C$16,"Low",IF(D905&lt;'3_Summary_Tables'!$C$17,"Medium","High"))</f>
        <v>Low</v>
      </c>
      <c r="F905" s="12">
        <f>INDEX('2_Clean_Data'!$C$2:$C$1360,MATCH($A905,'2_Clean_Data'!$A$2:$A$1360,0))</f>
        <v>0.42</v>
      </c>
      <c r="G905" s="10">
        <f>INDEX('2_Clean_Data'!$H$2:$H$1360,MATCH($A905,'2_Clean_Data'!$A$2:$A$1360,0))</f>
        <v>90</v>
      </c>
      <c r="H905" s="9" t="str">
        <f t="shared" si="57"/>
        <v>Moderate</v>
      </c>
      <c r="I905" s="9" t="str">
        <f t="shared" si="58"/>
        <v>OK</v>
      </c>
      <c r="J905" s="9" t="str">
        <f t="shared" si="59"/>
        <v>Standard</v>
      </c>
    </row>
    <row r="906" spans="1:10" x14ac:dyDescent="0.3">
      <c r="A906" s="10">
        <f>'2_Clean_Data'!A903</f>
        <v>902</v>
      </c>
      <c r="B906" s="10">
        <f>INDEX('2_Clean_Data'!$M$2:$M$1360,MATCH($A906,'2_Clean_Data'!$A$2:$A$1360,0))</f>
        <v>7</v>
      </c>
      <c r="C906" s="9" t="str">
        <f t="shared" si="56"/>
        <v>Good</v>
      </c>
      <c r="D906" s="11">
        <f>INDEX('2_Clean_Data'!$L$2:$L$1360,MATCH($A906,'2_Clean_Data'!$A$2:$A$1360,0))</f>
        <v>11.6</v>
      </c>
      <c r="E906" s="9" t="str">
        <f>IF(D906&lt;'3_Summary_Tables'!$C$16,"Low",IF(D906&lt;'3_Summary_Tables'!$C$17,"Medium","High"))</f>
        <v>High</v>
      </c>
      <c r="F906" s="12">
        <f>INDEX('2_Clean_Data'!$C$2:$C$1360,MATCH($A906,'2_Clean_Data'!$A$2:$A$1360,0))</f>
        <v>0.53</v>
      </c>
      <c r="G906" s="10">
        <f>INDEX('2_Clean_Data'!$H$2:$H$1360,MATCH($A906,'2_Clean_Data'!$A$2:$A$1360,0))</f>
        <v>52</v>
      </c>
      <c r="H906" s="9" t="str">
        <f t="shared" si="57"/>
        <v>Moderate</v>
      </c>
      <c r="I906" s="9" t="str">
        <f t="shared" si="58"/>
        <v>OK</v>
      </c>
      <c r="J906" s="9" t="str">
        <f t="shared" si="59"/>
        <v>Premium</v>
      </c>
    </row>
    <row r="907" spans="1:10" x14ac:dyDescent="0.3">
      <c r="A907" s="10">
        <f>'2_Clean_Data'!A904</f>
        <v>903</v>
      </c>
      <c r="B907" s="10">
        <f>INDEX('2_Clean_Data'!$M$2:$M$1360,MATCH($A907,'2_Clean_Data'!$A$2:$A$1360,0))</f>
        <v>6</v>
      </c>
      <c r="C907" s="9" t="str">
        <f t="shared" si="56"/>
        <v>Above Average</v>
      </c>
      <c r="D907" s="11">
        <f>INDEX('2_Clean_Data'!$L$2:$L$1360,MATCH($A907,'2_Clean_Data'!$A$2:$A$1360,0))</f>
        <v>9.9</v>
      </c>
      <c r="E907" s="9" t="str">
        <f>IF(D907&lt;'3_Summary_Tables'!$C$16,"Low",IF(D907&lt;'3_Summary_Tables'!$C$17,"Medium","High"))</f>
        <v>Low</v>
      </c>
      <c r="F907" s="12">
        <f>INDEX('2_Clean_Data'!$C$2:$C$1360,MATCH($A907,'2_Clean_Data'!$A$2:$A$1360,0))</f>
        <v>0.23</v>
      </c>
      <c r="G907" s="10">
        <f>INDEX('2_Clean_Data'!$H$2:$H$1360,MATCH($A907,'2_Clean_Data'!$A$2:$A$1360,0))</f>
        <v>8</v>
      </c>
      <c r="H907" s="9" t="str">
        <f t="shared" si="57"/>
        <v>Low</v>
      </c>
      <c r="I907" s="9" t="str">
        <f t="shared" si="58"/>
        <v>OK</v>
      </c>
      <c r="J907" s="9" t="str">
        <f t="shared" si="59"/>
        <v>Solid</v>
      </c>
    </row>
    <row r="908" spans="1:10" x14ac:dyDescent="0.3">
      <c r="A908" s="10">
        <f>'2_Clean_Data'!A905</f>
        <v>904</v>
      </c>
      <c r="B908" s="10">
        <f>INDEX('2_Clean_Data'!$M$2:$M$1360,MATCH($A908,'2_Clean_Data'!$A$2:$A$1360,0))</f>
        <v>8</v>
      </c>
      <c r="C908" s="9" t="str">
        <f t="shared" si="56"/>
        <v>Excellent</v>
      </c>
      <c r="D908" s="11">
        <f>INDEX('2_Clean_Data'!$L$2:$L$1360,MATCH($A908,'2_Clean_Data'!$A$2:$A$1360,0))</f>
        <v>12.5</v>
      </c>
      <c r="E908" s="9" t="str">
        <f>IF(D908&lt;'3_Summary_Tables'!$C$16,"Low",IF(D908&lt;'3_Summary_Tables'!$C$17,"Medium","High"))</f>
        <v>High</v>
      </c>
      <c r="F908" s="12">
        <f>INDEX('2_Clean_Data'!$C$2:$C$1360,MATCH($A908,'2_Clean_Data'!$A$2:$A$1360,0))</f>
        <v>0.4</v>
      </c>
      <c r="G908" s="10">
        <f>INDEX('2_Clean_Data'!$H$2:$H$1360,MATCH($A908,'2_Clean_Data'!$A$2:$A$1360,0))</f>
        <v>16</v>
      </c>
      <c r="H908" s="9" t="str">
        <f t="shared" si="57"/>
        <v>Low</v>
      </c>
      <c r="I908" s="9" t="str">
        <f t="shared" si="58"/>
        <v>OK</v>
      </c>
      <c r="J908" s="9" t="str">
        <f t="shared" si="59"/>
        <v>Premium</v>
      </c>
    </row>
    <row r="909" spans="1:10" x14ac:dyDescent="0.3">
      <c r="A909" s="10">
        <f>'2_Clean_Data'!A906</f>
        <v>905</v>
      </c>
      <c r="B909" s="10">
        <f>INDEX('2_Clean_Data'!$M$2:$M$1360,MATCH($A909,'2_Clean_Data'!$A$2:$A$1360,0))</f>
        <v>6</v>
      </c>
      <c r="C909" s="9" t="str">
        <f t="shared" si="56"/>
        <v>Above Average</v>
      </c>
      <c r="D909" s="11">
        <f>INDEX('2_Clean_Data'!$L$2:$L$1360,MATCH($A909,'2_Clean_Data'!$A$2:$A$1360,0))</f>
        <v>11.4</v>
      </c>
      <c r="E909" s="9" t="str">
        <f>IF(D909&lt;'3_Summary_Tables'!$C$16,"Low",IF(D909&lt;'3_Summary_Tables'!$C$17,"Medium","High"))</f>
        <v>Medium</v>
      </c>
      <c r="F909" s="12">
        <f>INDEX('2_Clean_Data'!$C$2:$C$1360,MATCH($A909,'2_Clean_Data'!$A$2:$A$1360,0))</f>
        <v>0.38</v>
      </c>
      <c r="G909" s="10">
        <f>INDEX('2_Clean_Data'!$H$2:$H$1360,MATCH($A909,'2_Clean_Data'!$A$2:$A$1360,0))</f>
        <v>15</v>
      </c>
      <c r="H909" s="9" t="str">
        <f t="shared" si="57"/>
        <v>Low</v>
      </c>
      <c r="I909" s="9" t="str">
        <f t="shared" si="58"/>
        <v>OK</v>
      </c>
      <c r="J909" s="9" t="str">
        <f t="shared" si="59"/>
        <v>Solid</v>
      </c>
    </row>
    <row r="910" spans="1:10" x14ac:dyDescent="0.3">
      <c r="A910" s="10">
        <f>'2_Clean_Data'!A907</f>
        <v>906</v>
      </c>
      <c r="B910" s="10">
        <f>INDEX('2_Clean_Data'!$M$2:$M$1360,MATCH($A910,'2_Clean_Data'!$A$2:$A$1360,0))</f>
        <v>6</v>
      </c>
      <c r="C910" s="9" t="str">
        <f t="shared" si="56"/>
        <v>Above Average</v>
      </c>
      <c r="D910" s="11">
        <f>INDEX('2_Clean_Data'!$L$2:$L$1360,MATCH($A910,'2_Clean_Data'!$A$2:$A$1360,0))</f>
        <v>11.8</v>
      </c>
      <c r="E910" s="9" t="str">
        <f>IF(D910&lt;'3_Summary_Tables'!$C$16,"Low",IF(D910&lt;'3_Summary_Tables'!$C$17,"Medium","High"))</f>
        <v>High</v>
      </c>
      <c r="F910" s="12">
        <f>INDEX('2_Clean_Data'!$C$2:$C$1360,MATCH($A910,'2_Clean_Data'!$A$2:$A$1360,0))</f>
        <v>0.28999999999999998</v>
      </c>
      <c r="G910" s="10">
        <f>INDEX('2_Clean_Data'!$H$2:$H$1360,MATCH($A910,'2_Clean_Data'!$A$2:$A$1360,0))</f>
        <v>17</v>
      </c>
      <c r="H910" s="9" t="str">
        <f t="shared" si="57"/>
        <v>Low</v>
      </c>
      <c r="I910" s="9" t="str">
        <f t="shared" si="58"/>
        <v>OK</v>
      </c>
      <c r="J910" s="9" t="str">
        <f t="shared" si="59"/>
        <v>Solid</v>
      </c>
    </row>
    <row r="911" spans="1:10" x14ac:dyDescent="0.3">
      <c r="A911" s="10">
        <f>'2_Clean_Data'!A908</f>
        <v>907</v>
      </c>
      <c r="B911" s="10">
        <f>INDEX('2_Clean_Data'!$M$2:$M$1360,MATCH($A911,'2_Clean_Data'!$A$2:$A$1360,0))</f>
        <v>6</v>
      </c>
      <c r="C911" s="9" t="str">
        <f t="shared" si="56"/>
        <v>Above Average</v>
      </c>
      <c r="D911" s="11">
        <f>INDEX('2_Clean_Data'!$L$2:$L$1360,MATCH($A911,'2_Clean_Data'!$A$2:$A$1360,0))</f>
        <v>11.8</v>
      </c>
      <c r="E911" s="9" t="str">
        <f>IF(D911&lt;'3_Summary_Tables'!$C$16,"Low",IF(D911&lt;'3_Summary_Tables'!$C$17,"Medium","High"))</f>
        <v>High</v>
      </c>
      <c r="F911" s="12">
        <f>INDEX('2_Clean_Data'!$C$2:$C$1360,MATCH($A911,'2_Clean_Data'!$A$2:$A$1360,0))</f>
        <v>0.74</v>
      </c>
      <c r="G911" s="10">
        <f>INDEX('2_Clean_Data'!$H$2:$H$1360,MATCH($A911,'2_Clean_Data'!$A$2:$A$1360,0))</f>
        <v>10</v>
      </c>
      <c r="H911" s="9" t="str">
        <f t="shared" si="57"/>
        <v>Low</v>
      </c>
      <c r="I911" s="9" t="str">
        <f t="shared" si="58"/>
        <v>Above limit</v>
      </c>
      <c r="J911" s="9" t="str">
        <f t="shared" si="59"/>
        <v>Standard</v>
      </c>
    </row>
    <row r="912" spans="1:10" x14ac:dyDescent="0.3">
      <c r="A912" s="10">
        <f>'2_Clean_Data'!A909</f>
        <v>908</v>
      </c>
      <c r="B912" s="10">
        <f>INDEX('2_Clean_Data'!$M$2:$M$1360,MATCH($A912,'2_Clean_Data'!$A$2:$A$1360,0))</f>
        <v>6</v>
      </c>
      <c r="C912" s="9" t="str">
        <f t="shared" si="56"/>
        <v>Above Average</v>
      </c>
      <c r="D912" s="11">
        <f>INDEX('2_Clean_Data'!$L$2:$L$1360,MATCH($A912,'2_Clean_Data'!$A$2:$A$1360,0))</f>
        <v>10.199999999999999</v>
      </c>
      <c r="E912" s="9" t="str">
        <f>IF(D912&lt;'3_Summary_Tables'!$C$16,"Low",IF(D912&lt;'3_Summary_Tables'!$C$17,"Medium","High"))</f>
        <v>Medium</v>
      </c>
      <c r="F912" s="12">
        <f>INDEX('2_Clean_Data'!$C$2:$C$1360,MATCH($A912,'2_Clean_Data'!$A$2:$A$1360,0))</f>
        <v>0.61</v>
      </c>
      <c r="G912" s="10">
        <f>INDEX('2_Clean_Data'!$H$2:$H$1360,MATCH($A912,'2_Clean_Data'!$A$2:$A$1360,0))</f>
        <v>20</v>
      </c>
      <c r="H912" s="9" t="str">
        <f t="shared" si="57"/>
        <v>Low</v>
      </c>
      <c r="I912" s="9" t="str">
        <f t="shared" si="58"/>
        <v>OK</v>
      </c>
      <c r="J912" s="9" t="str">
        <f t="shared" si="59"/>
        <v>Solid</v>
      </c>
    </row>
    <row r="913" spans="1:10" x14ac:dyDescent="0.3">
      <c r="A913" s="10">
        <f>'2_Clean_Data'!A910</f>
        <v>909</v>
      </c>
      <c r="B913" s="10">
        <f>INDEX('2_Clean_Data'!$M$2:$M$1360,MATCH($A913,'2_Clean_Data'!$A$2:$A$1360,0))</f>
        <v>7</v>
      </c>
      <c r="C913" s="9" t="str">
        <f t="shared" si="56"/>
        <v>Good</v>
      </c>
      <c r="D913" s="11">
        <f>INDEX('2_Clean_Data'!$L$2:$L$1360,MATCH($A913,'2_Clean_Data'!$A$2:$A$1360,0))</f>
        <v>12.5</v>
      </c>
      <c r="E913" s="9" t="str">
        <f>IF(D913&lt;'3_Summary_Tables'!$C$16,"Low",IF(D913&lt;'3_Summary_Tables'!$C$17,"Medium","High"))</f>
        <v>High</v>
      </c>
      <c r="F913" s="12">
        <f>INDEX('2_Clean_Data'!$C$2:$C$1360,MATCH($A913,'2_Clean_Data'!$A$2:$A$1360,0))</f>
        <v>0.52</v>
      </c>
      <c r="G913" s="10">
        <f>INDEX('2_Clean_Data'!$H$2:$H$1360,MATCH($A913,'2_Clean_Data'!$A$2:$A$1360,0))</f>
        <v>26</v>
      </c>
      <c r="H913" s="9" t="str">
        <f t="shared" si="57"/>
        <v>Low</v>
      </c>
      <c r="I913" s="9" t="str">
        <f t="shared" si="58"/>
        <v>OK</v>
      </c>
      <c r="J913" s="9" t="str">
        <f t="shared" si="59"/>
        <v>Premium</v>
      </c>
    </row>
    <row r="914" spans="1:10" x14ac:dyDescent="0.3">
      <c r="A914" s="10">
        <f>'2_Clean_Data'!A911</f>
        <v>910</v>
      </c>
      <c r="B914" s="10">
        <f>INDEX('2_Clean_Data'!$M$2:$M$1360,MATCH($A914,'2_Clean_Data'!$A$2:$A$1360,0))</f>
        <v>7</v>
      </c>
      <c r="C914" s="9" t="str">
        <f t="shared" si="56"/>
        <v>Good</v>
      </c>
      <c r="D914" s="11">
        <f>INDEX('2_Clean_Data'!$L$2:$L$1360,MATCH($A914,'2_Clean_Data'!$A$2:$A$1360,0))</f>
        <v>10.9</v>
      </c>
      <c r="E914" s="9" t="str">
        <f>IF(D914&lt;'3_Summary_Tables'!$C$16,"Low",IF(D914&lt;'3_Summary_Tables'!$C$17,"Medium","High"))</f>
        <v>Medium</v>
      </c>
      <c r="F914" s="12">
        <f>INDEX('2_Clean_Data'!$C$2:$C$1360,MATCH($A914,'2_Clean_Data'!$A$2:$A$1360,0))</f>
        <v>0.31</v>
      </c>
      <c r="G914" s="10">
        <f>INDEX('2_Clean_Data'!$H$2:$H$1360,MATCH($A914,'2_Clean_Data'!$A$2:$A$1360,0))</f>
        <v>10</v>
      </c>
      <c r="H914" s="9" t="str">
        <f t="shared" si="57"/>
        <v>Low</v>
      </c>
      <c r="I914" s="9" t="str">
        <f t="shared" si="58"/>
        <v>OK</v>
      </c>
      <c r="J914" s="9" t="str">
        <f t="shared" si="59"/>
        <v>Solid</v>
      </c>
    </row>
    <row r="915" spans="1:10" x14ac:dyDescent="0.3">
      <c r="A915" s="10">
        <f>'2_Clean_Data'!A912</f>
        <v>911</v>
      </c>
      <c r="B915" s="10">
        <f>INDEX('2_Clean_Data'!$M$2:$M$1360,MATCH($A915,'2_Clean_Data'!$A$2:$A$1360,0))</f>
        <v>5</v>
      </c>
      <c r="C915" s="9" t="str">
        <f t="shared" si="56"/>
        <v>Average</v>
      </c>
      <c r="D915" s="11">
        <f>INDEX('2_Clean_Data'!$L$2:$L$1360,MATCH($A915,'2_Clean_Data'!$A$2:$A$1360,0))</f>
        <v>10.8</v>
      </c>
      <c r="E915" s="9" t="str">
        <f>IF(D915&lt;'3_Summary_Tables'!$C$16,"Low",IF(D915&lt;'3_Summary_Tables'!$C$17,"Medium","High"))</f>
        <v>Medium</v>
      </c>
      <c r="F915" s="12">
        <f>INDEX('2_Clean_Data'!$C$2:$C$1360,MATCH($A915,'2_Clean_Data'!$A$2:$A$1360,0))</f>
        <v>0.62</v>
      </c>
      <c r="G915" s="10">
        <f>INDEX('2_Clean_Data'!$H$2:$H$1360,MATCH($A915,'2_Clean_Data'!$A$2:$A$1360,0))</f>
        <v>52</v>
      </c>
      <c r="H915" s="9" t="str">
        <f t="shared" si="57"/>
        <v>Moderate</v>
      </c>
      <c r="I915" s="9" t="str">
        <f t="shared" si="58"/>
        <v>OK</v>
      </c>
      <c r="J915" s="9" t="str">
        <f t="shared" si="59"/>
        <v>Standard</v>
      </c>
    </row>
    <row r="916" spans="1:10" x14ac:dyDescent="0.3">
      <c r="A916" s="10">
        <f>'2_Clean_Data'!A913</f>
        <v>912</v>
      </c>
      <c r="B916" s="10">
        <f>INDEX('2_Clean_Data'!$M$2:$M$1360,MATCH($A916,'2_Clean_Data'!$A$2:$A$1360,0))</f>
        <v>7</v>
      </c>
      <c r="C916" s="9" t="str">
        <f t="shared" si="56"/>
        <v>Good</v>
      </c>
      <c r="D916" s="11">
        <f>INDEX('2_Clean_Data'!$L$2:$L$1360,MATCH($A916,'2_Clean_Data'!$A$2:$A$1360,0))</f>
        <v>11.1</v>
      </c>
      <c r="E916" s="9" t="str">
        <f>IF(D916&lt;'3_Summary_Tables'!$C$16,"Low",IF(D916&lt;'3_Summary_Tables'!$C$17,"Medium","High"))</f>
        <v>Medium</v>
      </c>
      <c r="F916" s="12">
        <f>INDEX('2_Clean_Data'!$C$2:$C$1360,MATCH($A916,'2_Clean_Data'!$A$2:$A$1360,0))</f>
        <v>0.33</v>
      </c>
      <c r="G916" s="10">
        <f>INDEX('2_Clean_Data'!$H$2:$H$1360,MATCH($A916,'2_Clean_Data'!$A$2:$A$1360,0))</f>
        <v>37</v>
      </c>
      <c r="H916" s="9" t="str">
        <f t="shared" si="57"/>
        <v>Low</v>
      </c>
      <c r="I916" s="9" t="str">
        <f t="shared" si="58"/>
        <v>OK</v>
      </c>
      <c r="J916" s="9" t="str">
        <f t="shared" si="59"/>
        <v>Solid</v>
      </c>
    </row>
    <row r="917" spans="1:10" x14ac:dyDescent="0.3">
      <c r="A917" s="10">
        <f>'2_Clean_Data'!A914</f>
        <v>913</v>
      </c>
      <c r="B917" s="10">
        <f>INDEX('2_Clean_Data'!$M$2:$M$1360,MATCH($A917,'2_Clean_Data'!$A$2:$A$1360,0))</f>
        <v>5</v>
      </c>
      <c r="C917" s="9" t="str">
        <f t="shared" si="56"/>
        <v>Average</v>
      </c>
      <c r="D917" s="11">
        <f>INDEX('2_Clean_Data'!$L$2:$L$1360,MATCH($A917,'2_Clean_Data'!$A$2:$A$1360,0))</f>
        <v>9.1999999999999993</v>
      </c>
      <c r="E917" s="9" t="str">
        <f>IF(D917&lt;'3_Summary_Tables'!$C$16,"Low",IF(D917&lt;'3_Summary_Tables'!$C$17,"Medium","High"))</f>
        <v>Low</v>
      </c>
      <c r="F917" s="12">
        <f>INDEX('2_Clean_Data'!$C$2:$C$1360,MATCH($A917,'2_Clean_Data'!$A$2:$A$1360,0))</f>
        <v>0.77</v>
      </c>
      <c r="G917" s="10">
        <f>INDEX('2_Clean_Data'!$H$2:$H$1360,MATCH($A917,'2_Clean_Data'!$A$2:$A$1360,0))</f>
        <v>92</v>
      </c>
      <c r="H917" s="9" t="str">
        <f t="shared" si="57"/>
        <v>Moderate</v>
      </c>
      <c r="I917" s="9" t="str">
        <f t="shared" si="58"/>
        <v>Above limit</v>
      </c>
      <c r="J917" s="9" t="str">
        <f t="shared" si="59"/>
        <v>Standard</v>
      </c>
    </row>
    <row r="918" spans="1:10" x14ac:dyDescent="0.3">
      <c r="A918" s="10">
        <f>'2_Clean_Data'!A915</f>
        <v>914</v>
      </c>
      <c r="B918" s="10">
        <f>INDEX('2_Clean_Data'!$M$2:$M$1360,MATCH($A918,'2_Clean_Data'!$A$2:$A$1360,0))</f>
        <v>6</v>
      </c>
      <c r="C918" s="9" t="str">
        <f t="shared" si="56"/>
        <v>Above Average</v>
      </c>
      <c r="D918" s="11">
        <f>INDEX('2_Clean_Data'!$L$2:$L$1360,MATCH($A918,'2_Clean_Data'!$A$2:$A$1360,0))</f>
        <v>9.5</v>
      </c>
      <c r="E918" s="9" t="str">
        <f>IF(D918&lt;'3_Summary_Tables'!$C$16,"Low",IF(D918&lt;'3_Summary_Tables'!$C$17,"Medium","High"))</f>
        <v>Low</v>
      </c>
      <c r="F918" s="12">
        <f>INDEX('2_Clean_Data'!$C$2:$C$1360,MATCH($A918,'2_Clean_Data'!$A$2:$A$1360,0))</f>
        <v>0.35</v>
      </c>
      <c r="G918" s="10">
        <f>INDEX('2_Clean_Data'!$H$2:$H$1360,MATCH($A918,'2_Clean_Data'!$A$2:$A$1360,0))</f>
        <v>75</v>
      </c>
      <c r="H918" s="9" t="str">
        <f t="shared" si="57"/>
        <v>Moderate</v>
      </c>
      <c r="I918" s="9" t="str">
        <f t="shared" si="58"/>
        <v>OK</v>
      </c>
      <c r="J918" s="9" t="str">
        <f t="shared" si="59"/>
        <v>Solid</v>
      </c>
    </row>
    <row r="919" spans="1:10" x14ac:dyDescent="0.3">
      <c r="A919" s="10">
        <f>'2_Clean_Data'!A916</f>
        <v>915</v>
      </c>
      <c r="B919" s="10">
        <f>INDEX('2_Clean_Data'!$M$2:$M$1360,MATCH($A919,'2_Clean_Data'!$A$2:$A$1360,0))</f>
        <v>6</v>
      </c>
      <c r="C919" s="9" t="str">
        <f t="shared" si="56"/>
        <v>Above Average</v>
      </c>
      <c r="D919" s="11">
        <f>INDEX('2_Clean_Data'!$L$2:$L$1360,MATCH($A919,'2_Clean_Data'!$A$2:$A$1360,0))</f>
        <v>10.7</v>
      </c>
      <c r="E919" s="9" t="str">
        <f>IF(D919&lt;'3_Summary_Tables'!$C$16,"Low",IF(D919&lt;'3_Summary_Tables'!$C$17,"Medium","High"))</f>
        <v>Medium</v>
      </c>
      <c r="F919" s="12">
        <f>INDEX('2_Clean_Data'!$C$2:$C$1360,MATCH($A919,'2_Clean_Data'!$A$2:$A$1360,0))</f>
        <v>0.62</v>
      </c>
      <c r="G919" s="10">
        <f>INDEX('2_Clean_Data'!$H$2:$H$1360,MATCH($A919,'2_Clean_Data'!$A$2:$A$1360,0))</f>
        <v>37</v>
      </c>
      <c r="H919" s="9" t="str">
        <f t="shared" si="57"/>
        <v>Low</v>
      </c>
      <c r="I919" s="9" t="str">
        <f t="shared" si="58"/>
        <v>OK</v>
      </c>
      <c r="J919" s="9" t="str">
        <f t="shared" si="59"/>
        <v>Solid</v>
      </c>
    </row>
    <row r="920" spans="1:10" x14ac:dyDescent="0.3">
      <c r="A920" s="10">
        <f>'2_Clean_Data'!A917</f>
        <v>916</v>
      </c>
      <c r="B920" s="10">
        <f>INDEX('2_Clean_Data'!$M$2:$M$1360,MATCH($A920,'2_Clean_Data'!$A$2:$A$1360,0))</f>
        <v>7</v>
      </c>
      <c r="C920" s="9" t="str">
        <f t="shared" si="56"/>
        <v>Good</v>
      </c>
      <c r="D920" s="11">
        <f>INDEX('2_Clean_Data'!$L$2:$L$1360,MATCH($A920,'2_Clean_Data'!$A$2:$A$1360,0))</f>
        <v>10.199999999999999</v>
      </c>
      <c r="E920" s="9" t="str">
        <f>IF(D920&lt;'3_Summary_Tables'!$C$16,"Low",IF(D920&lt;'3_Summary_Tables'!$C$17,"Medium","High"))</f>
        <v>Medium</v>
      </c>
      <c r="F920" s="12">
        <f>INDEX('2_Clean_Data'!$C$2:$C$1360,MATCH($A920,'2_Clean_Data'!$A$2:$A$1360,0))</f>
        <v>0.25</v>
      </c>
      <c r="G920" s="10">
        <f>INDEX('2_Clean_Data'!$H$2:$H$1360,MATCH($A920,'2_Clean_Data'!$A$2:$A$1360,0))</f>
        <v>67</v>
      </c>
      <c r="H920" s="9" t="str">
        <f t="shared" si="57"/>
        <v>Moderate</v>
      </c>
      <c r="I920" s="9" t="str">
        <f t="shared" si="58"/>
        <v>OK</v>
      </c>
      <c r="J920" s="9" t="str">
        <f t="shared" si="59"/>
        <v>Solid</v>
      </c>
    </row>
    <row r="921" spans="1:10" x14ac:dyDescent="0.3">
      <c r="A921" s="10">
        <f>'2_Clean_Data'!A918</f>
        <v>917</v>
      </c>
      <c r="B921" s="10">
        <f>INDEX('2_Clean_Data'!$M$2:$M$1360,MATCH($A921,'2_Clean_Data'!$A$2:$A$1360,0))</f>
        <v>6</v>
      </c>
      <c r="C921" s="9" t="str">
        <f t="shared" si="56"/>
        <v>Above Average</v>
      </c>
      <c r="D921" s="11">
        <f>INDEX('2_Clean_Data'!$L$2:$L$1360,MATCH($A921,'2_Clean_Data'!$A$2:$A$1360,0))</f>
        <v>11.4</v>
      </c>
      <c r="E921" s="9" t="str">
        <f>IF(D921&lt;'3_Summary_Tables'!$C$16,"Low",IF(D921&lt;'3_Summary_Tables'!$C$17,"Medium","High"))</f>
        <v>Medium</v>
      </c>
      <c r="F921" s="12">
        <f>INDEX('2_Clean_Data'!$C$2:$C$1360,MATCH($A921,'2_Clean_Data'!$A$2:$A$1360,0))</f>
        <v>0.32</v>
      </c>
      <c r="G921" s="10">
        <f>INDEX('2_Clean_Data'!$H$2:$H$1360,MATCH($A921,'2_Clean_Data'!$A$2:$A$1360,0))</f>
        <v>8</v>
      </c>
      <c r="H921" s="9" t="str">
        <f t="shared" si="57"/>
        <v>Low</v>
      </c>
      <c r="I921" s="9" t="str">
        <f t="shared" si="58"/>
        <v>OK</v>
      </c>
      <c r="J921" s="9" t="str">
        <f t="shared" si="59"/>
        <v>Solid</v>
      </c>
    </row>
    <row r="922" spans="1:10" x14ac:dyDescent="0.3">
      <c r="A922" s="10">
        <f>'2_Clean_Data'!A919</f>
        <v>918</v>
      </c>
      <c r="B922" s="10">
        <f>INDEX('2_Clean_Data'!$M$2:$M$1360,MATCH($A922,'2_Clean_Data'!$A$2:$A$1360,0))</f>
        <v>5</v>
      </c>
      <c r="C922" s="9" t="str">
        <f t="shared" si="56"/>
        <v>Average</v>
      </c>
      <c r="D922" s="11">
        <f>INDEX('2_Clean_Data'!$L$2:$L$1360,MATCH($A922,'2_Clean_Data'!$A$2:$A$1360,0))</f>
        <v>11</v>
      </c>
      <c r="E922" s="9" t="str">
        <f>IF(D922&lt;'3_Summary_Tables'!$C$16,"Low",IF(D922&lt;'3_Summary_Tables'!$C$17,"Medium","High"))</f>
        <v>Medium</v>
      </c>
      <c r="F922" s="12">
        <f>INDEX('2_Clean_Data'!$C$2:$C$1360,MATCH($A922,'2_Clean_Data'!$A$2:$A$1360,0))</f>
        <v>0.37</v>
      </c>
      <c r="G922" s="10">
        <f>INDEX('2_Clean_Data'!$H$2:$H$1360,MATCH($A922,'2_Clean_Data'!$A$2:$A$1360,0))</f>
        <v>8</v>
      </c>
      <c r="H922" s="9" t="str">
        <f t="shared" si="57"/>
        <v>Low</v>
      </c>
      <c r="I922" s="9" t="str">
        <f t="shared" si="58"/>
        <v>OK</v>
      </c>
      <c r="J922" s="9" t="str">
        <f t="shared" si="59"/>
        <v>Standard</v>
      </c>
    </row>
    <row r="923" spans="1:10" x14ac:dyDescent="0.3">
      <c r="A923" s="10">
        <f>'2_Clean_Data'!A920</f>
        <v>919</v>
      </c>
      <c r="B923" s="10">
        <f>INDEX('2_Clean_Data'!$M$2:$M$1360,MATCH($A923,'2_Clean_Data'!$A$2:$A$1360,0))</f>
        <v>7</v>
      </c>
      <c r="C923" s="9" t="str">
        <f t="shared" si="56"/>
        <v>Good</v>
      </c>
      <c r="D923" s="11">
        <f>INDEX('2_Clean_Data'!$L$2:$L$1360,MATCH($A923,'2_Clean_Data'!$A$2:$A$1360,0))</f>
        <v>12.3</v>
      </c>
      <c r="E923" s="9" t="str">
        <f>IF(D923&lt;'3_Summary_Tables'!$C$16,"Low",IF(D923&lt;'3_Summary_Tables'!$C$17,"Medium","High"))</f>
        <v>High</v>
      </c>
      <c r="F923" s="12">
        <f>INDEX('2_Clean_Data'!$C$2:$C$1360,MATCH($A923,'2_Clean_Data'!$A$2:$A$1360,0))</f>
        <v>0.3</v>
      </c>
      <c r="G923" s="10">
        <f>INDEX('2_Clean_Data'!$H$2:$H$1360,MATCH($A923,'2_Clean_Data'!$A$2:$A$1360,0))</f>
        <v>278</v>
      </c>
      <c r="H923" s="9" t="str">
        <f t="shared" si="57"/>
        <v>High</v>
      </c>
      <c r="I923" s="9" t="str">
        <f t="shared" si="58"/>
        <v>OK</v>
      </c>
      <c r="J923" s="9" t="str">
        <f t="shared" si="59"/>
        <v>Premium</v>
      </c>
    </row>
    <row r="924" spans="1:10" x14ac:dyDescent="0.3">
      <c r="A924" s="10">
        <f>'2_Clean_Data'!A921</f>
        <v>920</v>
      </c>
      <c r="B924" s="10">
        <f>INDEX('2_Clean_Data'!$M$2:$M$1360,MATCH($A924,'2_Clean_Data'!$A$2:$A$1360,0))</f>
        <v>6</v>
      </c>
      <c r="C924" s="9" t="str">
        <f t="shared" si="56"/>
        <v>Above Average</v>
      </c>
      <c r="D924" s="11">
        <f>INDEX('2_Clean_Data'!$L$2:$L$1360,MATCH($A924,'2_Clean_Data'!$A$2:$A$1360,0))</f>
        <v>11.8</v>
      </c>
      <c r="E924" s="9" t="str">
        <f>IF(D924&lt;'3_Summary_Tables'!$C$16,"Low",IF(D924&lt;'3_Summary_Tables'!$C$17,"Medium","High"))</f>
        <v>High</v>
      </c>
      <c r="F924" s="12">
        <f>INDEX('2_Clean_Data'!$C$2:$C$1360,MATCH($A924,'2_Clean_Data'!$A$2:$A$1360,0))</f>
        <v>0.27</v>
      </c>
      <c r="G924" s="10">
        <f>INDEX('2_Clean_Data'!$H$2:$H$1360,MATCH($A924,'2_Clean_Data'!$A$2:$A$1360,0))</f>
        <v>8</v>
      </c>
      <c r="H924" s="9" t="str">
        <f t="shared" si="57"/>
        <v>Low</v>
      </c>
      <c r="I924" s="9" t="str">
        <f t="shared" si="58"/>
        <v>OK</v>
      </c>
      <c r="J924" s="9" t="str">
        <f t="shared" si="59"/>
        <v>Solid</v>
      </c>
    </row>
    <row r="925" spans="1:10" x14ac:dyDescent="0.3">
      <c r="A925" s="10">
        <f>'2_Clean_Data'!A922</f>
        <v>921</v>
      </c>
      <c r="B925" s="10">
        <f>INDEX('2_Clean_Data'!$M$2:$M$1360,MATCH($A925,'2_Clean_Data'!$A$2:$A$1360,0))</f>
        <v>7</v>
      </c>
      <c r="C925" s="9" t="str">
        <f t="shared" si="56"/>
        <v>Good</v>
      </c>
      <c r="D925" s="11">
        <f>INDEX('2_Clean_Data'!$L$2:$L$1360,MATCH($A925,'2_Clean_Data'!$A$2:$A$1360,0))</f>
        <v>12.3</v>
      </c>
      <c r="E925" s="9" t="str">
        <f>IF(D925&lt;'3_Summary_Tables'!$C$16,"Low",IF(D925&lt;'3_Summary_Tables'!$C$17,"Medium","High"))</f>
        <v>High</v>
      </c>
      <c r="F925" s="12">
        <f>INDEX('2_Clean_Data'!$C$2:$C$1360,MATCH($A925,'2_Clean_Data'!$A$2:$A$1360,0))</f>
        <v>0.3</v>
      </c>
      <c r="G925" s="10">
        <f>INDEX('2_Clean_Data'!$H$2:$H$1360,MATCH($A925,'2_Clean_Data'!$A$2:$A$1360,0))</f>
        <v>289</v>
      </c>
      <c r="H925" s="9" t="str">
        <f t="shared" si="57"/>
        <v>High</v>
      </c>
      <c r="I925" s="9" t="str">
        <f t="shared" si="58"/>
        <v>OK</v>
      </c>
      <c r="J925" s="9" t="str">
        <f t="shared" si="59"/>
        <v>Premium</v>
      </c>
    </row>
    <row r="926" spans="1:10" x14ac:dyDescent="0.3">
      <c r="A926" s="10">
        <f>'2_Clean_Data'!A923</f>
        <v>922</v>
      </c>
      <c r="B926" s="10">
        <f>INDEX('2_Clean_Data'!$M$2:$M$1360,MATCH($A926,'2_Clean_Data'!$A$2:$A$1360,0))</f>
        <v>6</v>
      </c>
      <c r="C926" s="9" t="str">
        <f t="shared" si="56"/>
        <v>Above Average</v>
      </c>
      <c r="D926" s="11">
        <f>INDEX('2_Clean_Data'!$L$2:$L$1360,MATCH($A926,'2_Clean_Data'!$A$2:$A$1360,0))</f>
        <v>9.5</v>
      </c>
      <c r="E926" s="9" t="str">
        <f>IF(D926&lt;'3_Summary_Tables'!$C$16,"Low",IF(D926&lt;'3_Summary_Tables'!$C$17,"Medium","High"))</f>
        <v>Low</v>
      </c>
      <c r="F926" s="12">
        <f>INDEX('2_Clean_Data'!$C$2:$C$1360,MATCH($A926,'2_Clean_Data'!$A$2:$A$1360,0))</f>
        <v>0.38</v>
      </c>
      <c r="G926" s="10">
        <f>INDEX('2_Clean_Data'!$H$2:$H$1360,MATCH($A926,'2_Clean_Data'!$A$2:$A$1360,0))</f>
        <v>70</v>
      </c>
      <c r="H926" s="9" t="str">
        <f t="shared" si="57"/>
        <v>Moderate</v>
      </c>
      <c r="I926" s="9" t="str">
        <f t="shared" si="58"/>
        <v>OK</v>
      </c>
      <c r="J926" s="9" t="str">
        <f t="shared" si="59"/>
        <v>Solid</v>
      </c>
    </row>
    <row r="927" spans="1:10" x14ac:dyDescent="0.3">
      <c r="A927" s="10">
        <f>'2_Clean_Data'!A924</f>
        <v>923</v>
      </c>
      <c r="B927" s="10">
        <f>INDEX('2_Clean_Data'!$M$2:$M$1360,MATCH($A927,'2_Clean_Data'!$A$2:$A$1360,0))</f>
        <v>6</v>
      </c>
      <c r="C927" s="9" t="str">
        <f t="shared" si="56"/>
        <v>Above Average</v>
      </c>
      <c r="D927" s="11">
        <f>INDEX('2_Clean_Data'!$L$2:$L$1360,MATCH($A927,'2_Clean_Data'!$A$2:$A$1360,0))</f>
        <v>12</v>
      </c>
      <c r="E927" s="9" t="str">
        <f>IF(D927&lt;'3_Summary_Tables'!$C$16,"Low",IF(D927&lt;'3_Summary_Tables'!$C$17,"Medium","High"))</f>
        <v>High</v>
      </c>
      <c r="F927" s="12">
        <f>INDEX('2_Clean_Data'!$C$2:$C$1360,MATCH($A927,'2_Clean_Data'!$A$2:$A$1360,0))</f>
        <v>0.42</v>
      </c>
      <c r="G927" s="10">
        <f>INDEX('2_Clean_Data'!$H$2:$H$1360,MATCH($A927,'2_Clean_Data'!$A$2:$A$1360,0))</f>
        <v>59</v>
      </c>
      <c r="H927" s="9" t="str">
        <f t="shared" si="57"/>
        <v>Moderate</v>
      </c>
      <c r="I927" s="9" t="str">
        <f t="shared" si="58"/>
        <v>OK</v>
      </c>
      <c r="J927" s="9" t="str">
        <f t="shared" si="59"/>
        <v>Solid</v>
      </c>
    </row>
    <row r="928" spans="1:10" x14ac:dyDescent="0.3">
      <c r="A928" s="10">
        <f>'2_Clean_Data'!A925</f>
        <v>924</v>
      </c>
      <c r="B928" s="10">
        <f>INDEX('2_Clean_Data'!$M$2:$M$1360,MATCH($A928,'2_Clean_Data'!$A$2:$A$1360,0))</f>
        <v>5</v>
      </c>
      <c r="C928" s="9" t="str">
        <f t="shared" si="56"/>
        <v>Average</v>
      </c>
      <c r="D928" s="11">
        <f>INDEX('2_Clean_Data'!$L$2:$L$1360,MATCH($A928,'2_Clean_Data'!$A$2:$A$1360,0))</f>
        <v>9.6</v>
      </c>
      <c r="E928" s="9" t="str">
        <f>IF(D928&lt;'3_Summary_Tables'!$C$16,"Low",IF(D928&lt;'3_Summary_Tables'!$C$17,"Medium","High"))</f>
        <v>Low</v>
      </c>
      <c r="F928" s="12">
        <f>INDEX('2_Clean_Data'!$C$2:$C$1360,MATCH($A928,'2_Clean_Data'!$A$2:$A$1360,0))</f>
        <v>0.48</v>
      </c>
      <c r="G928" s="10">
        <f>INDEX('2_Clean_Data'!$H$2:$H$1360,MATCH($A928,'2_Clean_Data'!$A$2:$A$1360,0))</f>
        <v>64</v>
      </c>
      <c r="H928" s="9" t="str">
        <f t="shared" si="57"/>
        <v>Moderate</v>
      </c>
      <c r="I928" s="9" t="str">
        <f t="shared" si="58"/>
        <v>OK</v>
      </c>
      <c r="J928" s="9" t="str">
        <f t="shared" si="59"/>
        <v>Standard</v>
      </c>
    </row>
    <row r="929" spans="1:10" x14ac:dyDescent="0.3">
      <c r="A929" s="10">
        <f>'2_Clean_Data'!A926</f>
        <v>925</v>
      </c>
      <c r="B929" s="10">
        <f>INDEX('2_Clean_Data'!$M$2:$M$1360,MATCH($A929,'2_Clean_Data'!$A$2:$A$1360,0))</f>
        <v>7</v>
      </c>
      <c r="C929" s="9" t="str">
        <f t="shared" si="56"/>
        <v>Good</v>
      </c>
      <c r="D929" s="11">
        <f>INDEX('2_Clean_Data'!$L$2:$L$1360,MATCH($A929,'2_Clean_Data'!$A$2:$A$1360,0))</f>
        <v>11.6</v>
      </c>
      <c r="E929" s="9" t="str">
        <f>IF(D929&lt;'3_Summary_Tables'!$C$16,"Low",IF(D929&lt;'3_Summary_Tables'!$C$17,"Medium","High"))</f>
        <v>High</v>
      </c>
      <c r="F929" s="12">
        <f>INDEX('2_Clean_Data'!$C$2:$C$1360,MATCH($A929,'2_Clean_Data'!$A$2:$A$1360,0))</f>
        <v>0.34</v>
      </c>
      <c r="G929" s="10">
        <f>INDEX('2_Clean_Data'!$H$2:$H$1360,MATCH($A929,'2_Clean_Data'!$A$2:$A$1360,0))</f>
        <v>9</v>
      </c>
      <c r="H929" s="9" t="str">
        <f t="shared" si="57"/>
        <v>Low</v>
      </c>
      <c r="I929" s="9" t="str">
        <f t="shared" si="58"/>
        <v>OK</v>
      </c>
      <c r="J929" s="9" t="str">
        <f t="shared" si="59"/>
        <v>Premium</v>
      </c>
    </row>
    <row r="930" spans="1:10" x14ac:dyDescent="0.3">
      <c r="A930" s="10">
        <f>'2_Clean_Data'!A927</f>
        <v>926</v>
      </c>
      <c r="B930" s="10">
        <f>INDEX('2_Clean_Data'!$M$2:$M$1360,MATCH($A930,'2_Clean_Data'!$A$2:$A$1360,0))</f>
        <v>6</v>
      </c>
      <c r="C930" s="9" t="str">
        <f t="shared" si="56"/>
        <v>Above Average</v>
      </c>
      <c r="D930" s="11">
        <f>INDEX('2_Clean_Data'!$L$2:$L$1360,MATCH($A930,'2_Clean_Data'!$A$2:$A$1360,0))</f>
        <v>11.2</v>
      </c>
      <c r="E930" s="9" t="str">
        <f>IF(D930&lt;'3_Summary_Tables'!$C$16,"Low",IF(D930&lt;'3_Summary_Tables'!$C$17,"Medium","High"))</f>
        <v>Medium</v>
      </c>
      <c r="F930" s="12">
        <f>INDEX('2_Clean_Data'!$C$2:$C$1360,MATCH($A930,'2_Clean_Data'!$A$2:$A$1360,0))</f>
        <v>0.19</v>
      </c>
      <c r="G930" s="10">
        <f>INDEX('2_Clean_Data'!$H$2:$H$1360,MATCH($A930,'2_Clean_Data'!$A$2:$A$1360,0))</f>
        <v>30</v>
      </c>
      <c r="H930" s="9" t="str">
        <f t="shared" si="57"/>
        <v>Low</v>
      </c>
      <c r="I930" s="9" t="str">
        <f t="shared" si="58"/>
        <v>OK</v>
      </c>
      <c r="J930" s="9" t="str">
        <f t="shared" si="59"/>
        <v>Solid</v>
      </c>
    </row>
    <row r="931" spans="1:10" x14ac:dyDescent="0.3">
      <c r="A931" s="10">
        <f>'2_Clean_Data'!A928</f>
        <v>927</v>
      </c>
      <c r="B931" s="10">
        <f>INDEX('2_Clean_Data'!$M$2:$M$1360,MATCH($A931,'2_Clean_Data'!$A$2:$A$1360,0))</f>
        <v>7</v>
      </c>
      <c r="C931" s="9" t="str">
        <f t="shared" si="56"/>
        <v>Good</v>
      </c>
      <c r="D931" s="11">
        <f>INDEX('2_Clean_Data'!$L$2:$L$1360,MATCH($A931,'2_Clean_Data'!$A$2:$A$1360,0))</f>
        <v>9.9</v>
      </c>
      <c r="E931" s="9" t="str">
        <f>IF(D931&lt;'3_Summary_Tables'!$C$16,"Low",IF(D931&lt;'3_Summary_Tables'!$C$17,"Medium","High"))</f>
        <v>Low</v>
      </c>
      <c r="F931" s="12">
        <f>INDEX('2_Clean_Data'!$C$2:$C$1360,MATCH($A931,'2_Clean_Data'!$A$2:$A$1360,0))</f>
        <v>0.41</v>
      </c>
      <c r="G931" s="10">
        <f>INDEX('2_Clean_Data'!$H$2:$H$1360,MATCH($A931,'2_Clean_Data'!$A$2:$A$1360,0))</f>
        <v>41</v>
      </c>
      <c r="H931" s="9" t="str">
        <f t="shared" si="57"/>
        <v>Low</v>
      </c>
      <c r="I931" s="9" t="str">
        <f t="shared" si="58"/>
        <v>OK</v>
      </c>
      <c r="J931" s="9" t="str">
        <f t="shared" si="59"/>
        <v>Solid</v>
      </c>
    </row>
    <row r="932" spans="1:10" x14ac:dyDescent="0.3">
      <c r="A932" s="10">
        <f>'2_Clean_Data'!A929</f>
        <v>928</v>
      </c>
      <c r="B932" s="10">
        <f>INDEX('2_Clean_Data'!$M$2:$M$1360,MATCH($A932,'2_Clean_Data'!$A$2:$A$1360,0))</f>
        <v>8</v>
      </c>
      <c r="C932" s="9" t="str">
        <f t="shared" si="56"/>
        <v>Excellent</v>
      </c>
      <c r="D932" s="11">
        <f>INDEX('2_Clean_Data'!$L$2:$L$1360,MATCH($A932,'2_Clean_Data'!$A$2:$A$1360,0))</f>
        <v>11.8</v>
      </c>
      <c r="E932" s="9" t="str">
        <f>IF(D932&lt;'3_Summary_Tables'!$C$16,"Low",IF(D932&lt;'3_Summary_Tables'!$C$17,"Medium","High"))</f>
        <v>High</v>
      </c>
      <c r="F932" s="12">
        <f>INDEX('2_Clean_Data'!$C$2:$C$1360,MATCH($A932,'2_Clean_Data'!$A$2:$A$1360,0))</f>
        <v>0.26</v>
      </c>
      <c r="G932" s="10">
        <f>INDEX('2_Clean_Data'!$H$2:$H$1360,MATCH($A932,'2_Clean_Data'!$A$2:$A$1360,0))</f>
        <v>74</v>
      </c>
      <c r="H932" s="9" t="str">
        <f t="shared" si="57"/>
        <v>Moderate</v>
      </c>
      <c r="I932" s="9" t="str">
        <f t="shared" si="58"/>
        <v>OK</v>
      </c>
      <c r="J932" s="9" t="str">
        <f t="shared" si="59"/>
        <v>Premium</v>
      </c>
    </row>
    <row r="933" spans="1:10" x14ac:dyDescent="0.3">
      <c r="A933" s="10">
        <f>'2_Clean_Data'!A930</f>
        <v>929</v>
      </c>
      <c r="B933" s="10">
        <f>INDEX('2_Clean_Data'!$M$2:$M$1360,MATCH($A933,'2_Clean_Data'!$A$2:$A$1360,0))</f>
        <v>6</v>
      </c>
      <c r="C933" s="9" t="str">
        <f t="shared" si="56"/>
        <v>Above Average</v>
      </c>
      <c r="D933" s="11">
        <f>INDEX('2_Clean_Data'!$L$2:$L$1360,MATCH($A933,'2_Clean_Data'!$A$2:$A$1360,0))</f>
        <v>11.4</v>
      </c>
      <c r="E933" s="9" t="str">
        <f>IF(D933&lt;'3_Summary_Tables'!$C$16,"Low",IF(D933&lt;'3_Summary_Tables'!$C$17,"Medium","High"))</f>
        <v>Medium</v>
      </c>
      <c r="F933" s="12">
        <f>INDEX('2_Clean_Data'!$C$2:$C$1360,MATCH($A933,'2_Clean_Data'!$A$2:$A$1360,0))</f>
        <v>0.34</v>
      </c>
      <c r="G933" s="10">
        <f>INDEX('2_Clean_Data'!$H$2:$H$1360,MATCH($A933,'2_Clean_Data'!$A$2:$A$1360,0))</f>
        <v>19</v>
      </c>
      <c r="H933" s="9" t="str">
        <f t="shared" si="57"/>
        <v>Low</v>
      </c>
      <c r="I933" s="9" t="str">
        <f t="shared" si="58"/>
        <v>OK</v>
      </c>
      <c r="J933" s="9" t="str">
        <f t="shared" si="59"/>
        <v>Solid</v>
      </c>
    </row>
    <row r="934" spans="1:10" x14ac:dyDescent="0.3">
      <c r="A934" s="10">
        <f>'2_Clean_Data'!A931</f>
        <v>930</v>
      </c>
      <c r="B934" s="10">
        <f>INDEX('2_Clean_Data'!$M$2:$M$1360,MATCH($A934,'2_Clean_Data'!$A$2:$A$1360,0))</f>
        <v>6</v>
      </c>
      <c r="C934" s="9" t="str">
        <f t="shared" si="56"/>
        <v>Above Average</v>
      </c>
      <c r="D934" s="11">
        <f>INDEX('2_Clean_Data'!$L$2:$L$1360,MATCH($A934,'2_Clean_Data'!$A$2:$A$1360,0))</f>
        <v>11.5</v>
      </c>
      <c r="E934" s="9" t="str">
        <f>IF(D934&lt;'3_Summary_Tables'!$C$16,"Low",IF(D934&lt;'3_Summary_Tables'!$C$17,"Medium","High"))</f>
        <v>High</v>
      </c>
      <c r="F934" s="12">
        <f>INDEX('2_Clean_Data'!$C$2:$C$1360,MATCH($A934,'2_Clean_Data'!$A$2:$A$1360,0))</f>
        <v>0.54</v>
      </c>
      <c r="G934" s="10">
        <f>INDEX('2_Clean_Data'!$H$2:$H$1360,MATCH($A934,'2_Clean_Data'!$A$2:$A$1360,0))</f>
        <v>16</v>
      </c>
      <c r="H934" s="9" t="str">
        <f t="shared" si="57"/>
        <v>Low</v>
      </c>
      <c r="I934" s="9" t="str">
        <f t="shared" si="58"/>
        <v>OK</v>
      </c>
      <c r="J934" s="9" t="str">
        <f t="shared" si="59"/>
        <v>Solid</v>
      </c>
    </row>
    <row r="935" spans="1:10" x14ac:dyDescent="0.3">
      <c r="A935" s="10">
        <f>'2_Clean_Data'!A932</f>
        <v>931</v>
      </c>
      <c r="B935" s="10">
        <f>INDEX('2_Clean_Data'!$M$2:$M$1360,MATCH($A935,'2_Clean_Data'!$A$2:$A$1360,0))</f>
        <v>7</v>
      </c>
      <c r="C935" s="9" t="str">
        <f t="shared" si="56"/>
        <v>Good</v>
      </c>
      <c r="D935" s="11">
        <f>INDEX('2_Clean_Data'!$L$2:$L$1360,MATCH($A935,'2_Clean_Data'!$A$2:$A$1360,0))</f>
        <v>12</v>
      </c>
      <c r="E935" s="9" t="str">
        <f>IF(D935&lt;'3_Summary_Tables'!$C$16,"Low",IF(D935&lt;'3_Summary_Tables'!$C$17,"Medium","High"))</f>
        <v>High</v>
      </c>
      <c r="F935" s="12">
        <f>INDEX('2_Clean_Data'!$C$2:$C$1360,MATCH($A935,'2_Clean_Data'!$A$2:$A$1360,0))</f>
        <v>0.31</v>
      </c>
      <c r="G935" s="10">
        <f>INDEX('2_Clean_Data'!$H$2:$H$1360,MATCH($A935,'2_Clean_Data'!$A$2:$A$1360,0))</f>
        <v>31</v>
      </c>
      <c r="H935" s="9" t="str">
        <f t="shared" si="57"/>
        <v>Low</v>
      </c>
      <c r="I935" s="9" t="str">
        <f t="shared" si="58"/>
        <v>OK</v>
      </c>
      <c r="J935" s="9" t="str">
        <f t="shared" si="59"/>
        <v>Premium</v>
      </c>
    </row>
    <row r="936" spans="1:10" x14ac:dyDescent="0.3">
      <c r="A936" s="10">
        <f>'2_Clean_Data'!A933</f>
        <v>932</v>
      </c>
      <c r="B936" s="10">
        <f>INDEX('2_Clean_Data'!$M$2:$M$1360,MATCH($A936,'2_Clean_Data'!$A$2:$A$1360,0))</f>
        <v>6</v>
      </c>
      <c r="C936" s="9" t="str">
        <f t="shared" si="56"/>
        <v>Above Average</v>
      </c>
      <c r="D936" s="11">
        <f>INDEX('2_Clean_Data'!$L$2:$L$1360,MATCH($A936,'2_Clean_Data'!$A$2:$A$1360,0))</f>
        <v>10.8</v>
      </c>
      <c r="E936" s="9" t="str">
        <f>IF(D936&lt;'3_Summary_Tables'!$C$16,"Low",IF(D936&lt;'3_Summary_Tables'!$C$17,"Medium","High"))</f>
        <v>Medium</v>
      </c>
      <c r="F936" s="12">
        <f>INDEX('2_Clean_Data'!$C$2:$C$1360,MATCH($A936,'2_Clean_Data'!$A$2:$A$1360,0))</f>
        <v>0.72499999999999998</v>
      </c>
      <c r="G936" s="10">
        <f>INDEX('2_Clean_Data'!$H$2:$H$1360,MATCH($A936,'2_Clean_Data'!$A$2:$A$1360,0))</f>
        <v>17</v>
      </c>
      <c r="H936" s="9" t="str">
        <f t="shared" si="57"/>
        <v>Low</v>
      </c>
      <c r="I936" s="9" t="str">
        <f t="shared" si="58"/>
        <v>Above limit</v>
      </c>
      <c r="J936" s="9" t="str">
        <f t="shared" si="59"/>
        <v>Standard</v>
      </c>
    </row>
    <row r="937" spans="1:10" x14ac:dyDescent="0.3">
      <c r="A937" s="10">
        <f>'2_Clean_Data'!A934</f>
        <v>933</v>
      </c>
      <c r="B937" s="10">
        <f>INDEX('2_Clean_Data'!$M$2:$M$1360,MATCH($A937,'2_Clean_Data'!$A$2:$A$1360,0))</f>
        <v>5</v>
      </c>
      <c r="C937" s="9" t="str">
        <f t="shared" si="56"/>
        <v>Average</v>
      </c>
      <c r="D937" s="11">
        <f>INDEX('2_Clean_Data'!$L$2:$L$1360,MATCH($A937,'2_Clean_Data'!$A$2:$A$1360,0))</f>
        <v>10.5</v>
      </c>
      <c r="E937" s="9" t="str">
        <f>IF(D937&lt;'3_Summary_Tables'!$C$16,"Low",IF(D937&lt;'3_Summary_Tables'!$C$17,"Medium","High"))</f>
        <v>Medium</v>
      </c>
      <c r="F937" s="12">
        <f>INDEX('2_Clean_Data'!$C$2:$C$1360,MATCH($A937,'2_Clean_Data'!$A$2:$A$1360,0))</f>
        <v>0.4</v>
      </c>
      <c r="G937" s="10">
        <f>INDEX('2_Clean_Data'!$H$2:$H$1360,MATCH($A937,'2_Clean_Data'!$A$2:$A$1360,0))</f>
        <v>20</v>
      </c>
      <c r="H937" s="9" t="str">
        <f t="shared" si="57"/>
        <v>Low</v>
      </c>
      <c r="I937" s="9" t="str">
        <f t="shared" si="58"/>
        <v>OK</v>
      </c>
      <c r="J937" s="9" t="str">
        <f t="shared" si="59"/>
        <v>Standard</v>
      </c>
    </row>
    <row r="938" spans="1:10" x14ac:dyDescent="0.3">
      <c r="A938" s="10">
        <f>'2_Clean_Data'!A935</f>
        <v>934</v>
      </c>
      <c r="B938" s="10">
        <f>INDEX('2_Clean_Data'!$M$2:$M$1360,MATCH($A938,'2_Clean_Data'!$A$2:$A$1360,0))</f>
        <v>5</v>
      </c>
      <c r="C938" s="9" t="str">
        <f t="shared" si="56"/>
        <v>Average</v>
      </c>
      <c r="D938" s="11">
        <f>INDEX('2_Clean_Data'!$L$2:$L$1360,MATCH($A938,'2_Clean_Data'!$A$2:$A$1360,0))</f>
        <v>9.4</v>
      </c>
      <c r="E938" s="9" t="str">
        <f>IF(D938&lt;'3_Summary_Tables'!$C$16,"Low",IF(D938&lt;'3_Summary_Tables'!$C$17,"Medium","High"))</f>
        <v>Low</v>
      </c>
      <c r="F938" s="12">
        <f>INDEX('2_Clean_Data'!$C$2:$C$1360,MATCH($A938,'2_Clean_Data'!$A$2:$A$1360,0))</f>
        <v>0.52</v>
      </c>
      <c r="G938" s="10">
        <f>INDEX('2_Clean_Data'!$H$2:$H$1360,MATCH($A938,'2_Clean_Data'!$A$2:$A$1360,0))</f>
        <v>18</v>
      </c>
      <c r="H938" s="9" t="str">
        <f t="shared" si="57"/>
        <v>Low</v>
      </c>
      <c r="I938" s="9" t="str">
        <f t="shared" si="58"/>
        <v>OK</v>
      </c>
      <c r="J938" s="9" t="str">
        <f t="shared" si="59"/>
        <v>Standard</v>
      </c>
    </row>
    <row r="939" spans="1:10" x14ac:dyDescent="0.3">
      <c r="A939" s="10">
        <f>'2_Clean_Data'!A936</f>
        <v>935</v>
      </c>
      <c r="B939" s="10">
        <f>INDEX('2_Clean_Data'!$M$2:$M$1360,MATCH($A939,'2_Clean_Data'!$A$2:$A$1360,0))</f>
        <v>7</v>
      </c>
      <c r="C939" s="9" t="str">
        <f t="shared" si="56"/>
        <v>Good</v>
      </c>
      <c r="D939" s="11">
        <f>INDEX('2_Clean_Data'!$L$2:$L$1360,MATCH($A939,'2_Clean_Data'!$A$2:$A$1360,0))</f>
        <v>12.5</v>
      </c>
      <c r="E939" s="9" t="str">
        <f>IF(D939&lt;'3_Summary_Tables'!$C$16,"Low",IF(D939&lt;'3_Summary_Tables'!$C$17,"Medium","High"))</f>
        <v>High</v>
      </c>
      <c r="F939" s="12">
        <f>INDEX('2_Clean_Data'!$C$2:$C$1360,MATCH($A939,'2_Clean_Data'!$A$2:$A$1360,0))</f>
        <v>0.31</v>
      </c>
      <c r="G939" s="10">
        <f>INDEX('2_Clean_Data'!$H$2:$H$1360,MATCH($A939,'2_Clean_Data'!$A$2:$A$1360,0))</f>
        <v>16</v>
      </c>
      <c r="H939" s="9" t="str">
        <f t="shared" si="57"/>
        <v>Low</v>
      </c>
      <c r="I939" s="9" t="str">
        <f t="shared" si="58"/>
        <v>OK</v>
      </c>
      <c r="J939" s="9" t="str">
        <f t="shared" si="59"/>
        <v>Premium</v>
      </c>
    </row>
    <row r="940" spans="1:10" x14ac:dyDescent="0.3">
      <c r="A940" s="10">
        <f>'2_Clean_Data'!A937</f>
        <v>936</v>
      </c>
      <c r="B940" s="10">
        <f>INDEX('2_Clean_Data'!$M$2:$M$1360,MATCH($A940,'2_Clean_Data'!$A$2:$A$1360,0))</f>
        <v>6</v>
      </c>
      <c r="C940" s="9" t="str">
        <f t="shared" si="56"/>
        <v>Above Average</v>
      </c>
      <c r="D940" s="11">
        <f>INDEX('2_Clean_Data'!$L$2:$L$1360,MATCH($A940,'2_Clean_Data'!$A$2:$A$1360,0))</f>
        <v>12.4</v>
      </c>
      <c r="E940" s="9" t="str">
        <f>IF(D940&lt;'3_Summary_Tables'!$C$16,"Low",IF(D940&lt;'3_Summary_Tables'!$C$17,"Medium","High"))</f>
        <v>High</v>
      </c>
      <c r="F940" s="12">
        <f>INDEX('2_Clean_Data'!$C$2:$C$1360,MATCH($A940,'2_Clean_Data'!$A$2:$A$1360,0))</f>
        <v>0.34</v>
      </c>
      <c r="G940" s="10">
        <f>INDEX('2_Clean_Data'!$H$2:$H$1360,MATCH($A940,'2_Clean_Data'!$A$2:$A$1360,0))</f>
        <v>36</v>
      </c>
      <c r="H940" s="9" t="str">
        <f t="shared" si="57"/>
        <v>Low</v>
      </c>
      <c r="I940" s="9" t="str">
        <f t="shared" si="58"/>
        <v>OK</v>
      </c>
      <c r="J940" s="9" t="str">
        <f t="shared" si="59"/>
        <v>Solid</v>
      </c>
    </row>
    <row r="941" spans="1:10" x14ac:dyDescent="0.3">
      <c r="A941" s="10">
        <f>'2_Clean_Data'!A938</f>
        <v>937</v>
      </c>
      <c r="B941" s="10">
        <f>INDEX('2_Clean_Data'!$M$2:$M$1360,MATCH($A941,'2_Clean_Data'!$A$2:$A$1360,0))</f>
        <v>6</v>
      </c>
      <c r="C941" s="9" t="str">
        <f t="shared" si="56"/>
        <v>Above Average</v>
      </c>
      <c r="D941" s="11">
        <f>INDEX('2_Clean_Data'!$L$2:$L$1360,MATCH($A941,'2_Clean_Data'!$A$2:$A$1360,0))</f>
        <v>12</v>
      </c>
      <c r="E941" s="9" t="str">
        <f>IF(D941&lt;'3_Summary_Tables'!$C$16,"Low",IF(D941&lt;'3_Summary_Tables'!$C$17,"Medium","High"))</f>
        <v>High</v>
      </c>
      <c r="F941" s="12">
        <f>INDEX('2_Clean_Data'!$C$2:$C$1360,MATCH($A941,'2_Clean_Data'!$A$2:$A$1360,0))</f>
        <v>0.49</v>
      </c>
      <c r="G941" s="10">
        <f>INDEX('2_Clean_Data'!$H$2:$H$1360,MATCH($A941,'2_Clean_Data'!$A$2:$A$1360,0))</f>
        <v>25</v>
      </c>
      <c r="H941" s="9" t="str">
        <f t="shared" si="57"/>
        <v>Low</v>
      </c>
      <c r="I941" s="9" t="str">
        <f t="shared" si="58"/>
        <v>OK</v>
      </c>
      <c r="J941" s="9" t="str">
        <f t="shared" si="59"/>
        <v>Solid</v>
      </c>
    </row>
    <row r="942" spans="1:10" x14ac:dyDescent="0.3">
      <c r="A942" s="10">
        <f>'2_Clean_Data'!A939</f>
        <v>938</v>
      </c>
      <c r="B942" s="10">
        <f>INDEX('2_Clean_Data'!$M$2:$M$1360,MATCH($A942,'2_Clean_Data'!$A$2:$A$1360,0))</f>
        <v>6</v>
      </c>
      <c r="C942" s="9" t="str">
        <f t="shared" si="56"/>
        <v>Above Average</v>
      </c>
      <c r="D942" s="11">
        <f>INDEX('2_Clean_Data'!$L$2:$L$1360,MATCH($A942,'2_Clean_Data'!$A$2:$A$1360,0))</f>
        <v>11.2</v>
      </c>
      <c r="E942" s="9" t="str">
        <f>IF(D942&lt;'3_Summary_Tables'!$C$16,"Low",IF(D942&lt;'3_Summary_Tables'!$C$17,"Medium","High"))</f>
        <v>Medium</v>
      </c>
      <c r="F942" s="12">
        <f>INDEX('2_Clean_Data'!$C$2:$C$1360,MATCH($A942,'2_Clean_Data'!$A$2:$A$1360,0))</f>
        <v>0.48</v>
      </c>
      <c r="G942" s="10">
        <f>INDEX('2_Clean_Data'!$H$2:$H$1360,MATCH($A942,'2_Clean_Data'!$A$2:$A$1360,0))</f>
        <v>30</v>
      </c>
      <c r="H942" s="9" t="str">
        <f t="shared" si="57"/>
        <v>Low</v>
      </c>
      <c r="I942" s="9" t="str">
        <f t="shared" si="58"/>
        <v>OK</v>
      </c>
      <c r="J942" s="9" t="str">
        <f t="shared" si="59"/>
        <v>Solid</v>
      </c>
    </row>
    <row r="943" spans="1:10" x14ac:dyDescent="0.3">
      <c r="A943" s="10">
        <f>'2_Clean_Data'!A940</f>
        <v>939</v>
      </c>
      <c r="B943" s="10">
        <f>INDEX('2_Clean_Data'!$M$2:$M$1360,MATCH($A943,'2_Clean_Data'!$A$2:$A$1360,0))</f>
        <v>6</v>
      </c>
      <c r="C943" s="9" t="str">
        <f t="shared" si="56"/>
        <v>Above Average</v>
      </c>
      <c r="D943" s="11">
        <f>INDEX('2_Clean_Data'!$L$2:$L$1360,MATCH($A943,'2_Clean_Data'!$A$2:$A$1360,0))</f>
        <v>12.4</v>
      </c>
      <c r="E943" s="9" t="str">
        <f>IF(D943&lt;'3_Summary_Tables'!$C$16,"Low",IF(D943&lt;'3_Summary_Tables'!$C$17,"Medium","High"))</f>
        <v>High</v>
      </c>
      <c r="F943" s="12">
        <f>INDEX('2_Clean_Data'!$C$2:$C$1360,MATCH($A943,'2_Clean_Data'!$A$2:$A$1360,0))</f>
        <v>0.48</v>
      </c>
      <c r="G943" s="10">
        <f>INDEX('2_Clean_Data'!$H$2:$H$1360,MATCH($A943,'2_Clean_Data'!$A$2:$A$1360,0))</f>
        <v>25</v>
      </c>
      <c r="H943" s="9" t="str">
        <f t="shared" si="57"/>
        <v>Low</v>
      </c>
      <c r="I943" s="9" t="str">
        <f t="shared" si="58"/>
        <v>OK</v>
      </c>
      <c r="J943" s="9" t="str">
        <f t="shared" si="59"/>
        <v>Solid</v>
      </c>
    </row>
    <row r="944" spans="1:10" x14ac:dyDescent="0.3">
      <c r="A944" s="10">
        <f>'2_Clean_Data'!A941</f>
        <v>940</v>
      </c>
      <c r="B944" s="10">
        <f>INDEX('2_Clean_Data'!$M$2:$M$1360,MATCH($A944,'2_Clean_Data'!$A$2:$A$1360,0))</f>
        <v>5</v>
      </c>
      <c r="C944" s="9" t="str">
        <f t="shared" si="56"/>
        <v>Average</v>
      </c>
      <c r="D944" s="11">
        <f>INDEX('2_Clean_Data'!$L$2:$L$1360,MATCH($A944,'2_Clean_Data'!$A$2:$A$1360,0))</f>
        <v>12.8</v>
      </c>
      <c r="E944" s="9" t="str">
        <f>IF(D944&lt;'3_Summary_Tables'!$C$16,"Low",IF(D944&lt;'3_Summary_Tables'!$C$17,"Medium","High"))</f>
        <v>High</v>
      </c>
      <c r="F944" s="12">
        <f>INDEX('2_Clean_Data'!$C$2:$C$1360,MATCH($A944,'2_Clean_Data'!$A$2:$A$1360,0))</f>
        <v>0.56999999999999995</v>
      </c>
      <c r="G944" s="10">
        <f>INDEX('2_Clean_Data'!$H$2:$H$1360,MATCH($A944,'2_Clean_Data'!$A$2:$A$1360,0))</f>
        <v>49</v>
      </c>
      <c r="H944" s="9" t="str">
        <f t="shared" si="57"/>
        <v>Low</v>
      </c>
      <c r="I944" s="9" t="str">
        <f t="shared" si="58"/>
        <v>OK</v>
      </c>
      <c r="J944" s="9" t="str">
        <f t="shared" si="59"/>
        <v>Standard</v>
      </c>
    </row>
    <row r="945" spans="1:10" x14ac:dyDescent="0.3">
      <c r="A945" s="10">
        <f>'2_Clean_Data'!A942</f>
        <v>941</v>
      </c>
      <c r="B945" s="10">
        <f>INDEX('2_Clean_Data'!$M$2:$M$1360,MATCH($A945,'2_Clean_Data'!$A$2:$A$1360,0))</f>
        <v>6</v>
      </c>
      <c r="C945" s="9" t="str">
        <f t="shared" si="56"/>
        <v>Above Average</v>
      </c>
      <c r="D945" s="11">
        <f>INDEX('2_Clean_Data'!$L$2:$L$1360,MATCH($A945,'2_Clean_Data'!$A$2:$A$1360,0))</f>
        <v>12.3</v>
      </c>
      <c r="E945" s="9" t="str">
        <f>IF(D945&lt;'3_Summary_Tables'!$C$16,"Low",IF(D945&lt;'3_Summary_Tables'!$C$17,"Medium","High"))</f>
        <v>High</v>
      </c>
      <c r="F945" s="12">
        <f>INDEX('2_Clean_Data'!$C$2:$C$1360,MATCH($A945,'2_Clean_Data'!$A$2:$A$1360,0))</f>
        <v>0.23</v>
      </c>
      <c r="G945" s="10">
        <f>INDEX('2_Clean_Data'!$H$2:$H$1360,MATCH($A945,'2_Clean_Data'!$A$2:$A$1360,0))</f>
        <v>17</v>
      </c>
      <c r="H945" s="9" t="str">
        <f t="shared" si="57"/>
        <v>Low</v>
      </c>
      <c r="I945" s="9" t="str">
        <f t="shared" si="58"/>
        <v>OK</v>
      </c>
      <c r="J945" s="9" t="str">
        <f t="shared" si="59"/>
        <v>Solid</v>
      </c>
    </row>
    <row r="946" spans="1:10" x14ac:dyDescent="0.3">
      <c r="A946" s="10">
        <f>'2_Clean_Data'!A943</f>
        <v>942</v>
      </c>
      <c r="B946" s="10">
        <f>INDEX('2_Clean_Data'!$M$2:$M$1360,MATCH($A946,'2_Clean_Data'!$A$2:$A$1360,0))</f>
        <v>7</v>
      </c>
      <c r="C946" s="9" t="str">
        <f t="shared" si="56"/>
        <v>Good</v>
      </c>
      <c r="D946" s="11">
        <f>INDEX('2_Clean_Data'!$L$2:$L$1360,MATCH($A946,'2_Clean_Data'!$A$2:$A$1360,0))</f>
        <v>11.7</v>
      </c>
      <c r="E946" s="9" t="str">
        <f>IF(D946&lt;'3_Summary_Tables'!$C$16,"Low",IF(D946&lt;'3_Summary_Tables'!$C$17,"Medium","High"))</f>
        <v>High</v>
      </c>
      <c r="F946" s="12">
        <f>INDEX('2_Clean_Data'!$C$2:$C$1360,MATCH($A946,'2_Clean_Data'!$A$2:$A$1360,0))</f>
        <v>0.3</v>
      </c>
      <c r="G946" s="10">
        <f>INDEX('2_Clean_Data'!$H$2:$H$1360,MATCH($A946,'2_Clean_Data'!$A$2:$A$1360,0))</f>
        <v>24</v>
      </c>
      <c r="H946" s="9" t="str">
        <f t="shared" si="57"/>
        <v>Low</v>
      </c>
      <c r="I946" s="9" t="str">
        <f t="shared" si="58"/>
        <v>OK</v>
      </c>
      <c r="J946" s="9" t="str">
        <f t="shared" si="59"/>
        <v>Premium</v>
      </c>
    </row>
    <row r="947" spans="1:10" x14ac:dyDescent="0.3">
      <c r="A947" s="10">
        <f>'2_Clean_Data'!A944</f>
        <v>943</v>
      </c>
      <c r="B947" s="10">
        <f>INDEX('2_Clean_Data'!$M$2:$M$1360,MATCH($A947,'2_Clean_Data'!$A$2:$A$1360,0))</f>
        <v>5</v>
      </c>
      <c r="C947" s="9" t="str">
        <f t="shared" si="56"/>
        <v>Average</v>
      </c>
      <c r="D947" s="11">
        <f>INDEX('2_Clean_Data'!$L$2:$L$1360,MATCH($A947,'2_Clean_Data'!$A$2:$A$1360,0))</f>
        <v>9.5</v>
      </c>
      <c r="E947" s="9" t="str">
        <f>IF(D947&lt;'3_Summary_Tables'!$C$16,"Low",IF(D947&lt;'3_Summary_Tables'!$C$17,"Medium","High"))</f>
        <v>Low</v>
      </c>
      <c r="F947" s="12">
        <f>INDEX('2_Clean_Data'!$C$2:$C$1360,MATCH($A947,'2_Clean_Data'!$A$2:$A$1360,0))</f>
        <v>0.78</v>
      </c>
      <c r="G947" s="10">
        <f>INDEX('2_Clean_Data'!$H$2:$H$1360,MATCH($A947,'2_Clean_Data'!$A$2:$A$1360,0))</f>
        <v>13</v>
      </c>
      <c r="H947" s="9" t="str">
        <f t="shared" si="57"/>
        <v>Low</v>
      </c>
      <c r="I947" s="9" t="str">
        <f t="shared" si="58"/>
        <v>Above limit</v>
      </c>
      <c r="J947" s="9" t="str">
        <f t="shared" si="59"/>
        <v>Standard</v>
      </c>
    </row>
    <row r="948" spans="1:10" x14ac:dyDescent="0.3">
      <c r="A948" s="10">
        <f>'2_Clean_Data'!A945</f>
        <v>944</v>
      </c>
      <c r="B948" s="10">
        <f>INDEX('2_Clean_Data'!$M$2:$M$1360,MATCH($A948,'2_Clean_Data'!$A$2:$A$1360,0))</f>
        <v>6</v>
      </c>
      <c r="C948" s="9" t="str">
        <f t="shared" si="56"/>
        <v>Above Average</v>
      </c>
      <c r="D948" s="11">
        <f>INDEX('2_Clean_Data'!$L$2:$L$1360,MATCH($A948,'2_Clean_Data'!$A$2:$A$1360,0))</f>
        <v>10.8</v>
      </c>
      <c r="E948" s="9" t="str">
        <f>IF(D948&lt;'3_Summary_Tables'!$C$16,"Low",IF(D948&lt;'3_Summary_Tables'!$C$17,"Medium","High"))</f>
        <v>Medium</v>
      </c>
      <c r="F948" s="12">
        <f>INDEX('2_Clean_Data'!$C$2:$C$1360,MATCH($A948,'2_Clean_Data'!$A$2:$A$1360,0))</f>
        <v>0.47</v>
      </c>
      <c r="G948" s="10">
        <f>INDEX('2_Clean_Data'!$H$2:$H$1360,MATCH($A948,'2_Clean_Data'!$A$2:$A$1360,0))</f>
        <v>66</v>
      </c>
      <c r="H948" s="9" t="str">
        <f t="shared" si="57"/>
        <v>Moderate</v>
      </c>
      <c r="I948" s="9" t="str">
        <f t="shared" si="58"/>
        <v>OK</v>
      </c>
      <c r="J948" s="9" t="str">
        <f t="shared" si="59"/>
        <v>Solid</v>
      </c>
    </row>
    <row r="949" spans="1:10" x14ac:dyDescent="0.3">
      <c r="A949" s="10">
        <f>'2_Clean_Data'!A946</f>
        <v>945</v>
      </c>
      <c r="B949" s="10">
        <f>INDEX('2_Clean_Data'!$M$2:$M$1360,MATCH($A949,'2_Clean_Data'!$A$2:$A$1360,0))</f>
        <v>6</v>
      </c>
      <c r="C949" s="9" t="str">
        <f t="shared" si="56"/>
        <v>Above Average</v>
      </c>
      <c r="D949" s="11">
        <f>INDEX('2_Clean_Data'!$L$2:$L$1360,MATCH($A949,'2_Clean_Data'!$A$2:$A$1360,0))</f>
        <v>10</v>
      </c>
      <c r="E949" s="9" t="str">
        <f>IF(D949&lt;'3_Summary_Tables'!$C$16,"Low",IF(D949&lt;'3_Summary_Tables'!$C$17,"Medium","High"))</f>
        <v>Medium</v>
      </c>
      <c r="F949" s="12">
        <f>INDEX('2_Clean_Data'!$C$2:$C$1360,MATCH($A949,'2_Clean_Data'!$A$2:$A$1360,0))</f>
        <v>0.53</v>
      </c>
      <c r="G949" s="10">
        <f>INDEX('2_Clean_Data'!$H$2:$H$1360,MATCH($A949,'2_Clean_Data'!$A$2:$A$1360,0))</f>
        <v>14</v>
      </c>
      <c r="H949" s="9" t="str">
        <f t="shared" si="57"/>
        <v>Low</v>
      </c>
      <c r="I949" s="9" t="str">
        <f t="shared" si="58"/>
        <v>OK</v>
      </c>
      <c r="J949" s="9" t="str">
        <f t="shared" si="59"/>
        <v>Solid</v>
      </c>
    </row>
    <row r="950" spans="1:10" x14ac:dyDescent="0.3">
      <c r="A950" s="10">
        <f>'2_Clean_Data'!A947</f>
        <v>946</v>
      </c>
      <c r="B950" s="10">
        <f>INDEX('2_Clean_Data'!$M$2:$M$1360,MATCH($A950,'2_Clean_Data'!$A$2:$A$1360,0))</f>
        <v>7</v>
      </c>
      <c r="C950" s="9" t="str">
        <f t="shared" si="56"/>
        <v>Good</v>
      </c>
      <c r="D950" s="11">
        <f>INDEX('2_Clean_Data'!$L$2:$L$1360,MATCH($A950,'2_Clean_Data'!$A$2:$A$1360,0))</f>
        <v>12.3</v>
      </c>
      <c r="E950" s="9" t="str">
        <f>IF(D950&lt;'3_Summary_Tables'!$C$16,"Low",IF(D950&lt;'3_Summary_Tables'!$C$17,"Medium","High"))</f>
        <v>High</v>
      </c>
      <c r="F950" s="12">
        <f>INDEX('2_Clean_Data'!$C$2:$C$1360,MATCH($A950,'2_Clean_Data'!$A$2:$A$1360,0))</f>
        <v>0.42</v>
      </c>
      <c r="G950" s="10">
        <f>INDEX('2_Clean_Data'!$H$2:$H$1360,MATCH($A950,'2_Clean_Data'!$A$2:$A$1360,0))</f>
        <v>55</v>
      </c>
      <c r="H950" s="9" t="str">
        <f t="shared" si="57"/>
        <v>Moderate</v>
      </c>
      <c r="I950" s="9" t="str">
        <f t="shared" si="58"/>
        <v>OK</v>
      </c>
      <c r="J950" s="9" t="str">
        <f t="shared" si="59"/>
        <v>Premium</v>
      </c>
    </row>
    <row r="951" spans="1:10" x14ac:dyDescent="0.3">
      <c r="A951" s="10">
        <f>'2_Clean_Data'!A948</f>
        <v>947</v>
      </c>
      <c r="B951" s="10">
        <f>INDEX('2_Clean_Data'!$M$2:$M$1360,MATCH($A951,'2_Clean_Data'!$A$2:$A$1360,0))</f>
        <v>6</v>
      </c>
      <c r="C951" s="9" t="str">
        <f t="shared" si="56"/>
        <v>Above Average</v>
      </c>
      <c r="D951" s="11">
        <f>INDEX('2_Clean_Data'!$L$2:$L$1360,MATCH($A951,'2_Clean_Data'!$A$2:$A$1360,0))</f>
        <v>11</v>
      </c>
      <c r="E951" s="9" t="str">
        <f>IF(D951&lt;'3_Summary_Tables'!$C$16,"Low",IF(D951&lt;'3_Summary_Tables'!$C$17,"Medium","High"))</f>
        <v>Medium</v>
      </c>
      <c r="F951" s="12">
        <f>INDEX('2_Clean_Data'!$C$2:$C$1360,MATCH($A951,'2_Clean_Data'!$A$2:$A$1360,0))</f>
        <v>0.33</v>
      </c>
      <c r="G951" s="10">
        <f>INDEX('2_Clean_Data'!$H$2:$H$1360,MATCH($A951,'2_Clean_Data'!$A$2:$A$1360,0))</f>
        <v>35</v>
      </c>
      <c r="H951" s="9" t="str">
        <f t="shared" si="57"/>
        <v>Low</v>
      </c>
      <c r="I951" s="9" t="str">
        <f t="shared" si="58"/>
        <v>OK</v>
      </c>
      <c r="J951" s="9" t="str">
        <f t="shared" si="59"/>
        <v>Solid</v>
      </c>
    </row>
    <row r="952" spans="1:10" x14ac:dyDescent="0.3">
      <c r="A952" s="10">
        <f>'2_Clean_Data'!A949</f>
        <v>948</v>
      </c>
      <c r="B952" s="10">
        <f>INDEX('2_Clean_Data'!$M$2:$M$1360,MATCH($A952,'2_Clean_Data'!$A$2:$A$1360,0))</f>
        <v>6</v>
      </c>
      <c r="C952" s="9" t="str">
        <f t="shared" si="56"/>
        <v>Above Average</v>
      </c>
      <c r="D952" s="11">
        <f>INDEX('2_Clean_Data'!$L$2:$L$1360,MATCH($A952,'2_Clean_Data'!$A$2:$A$1360,0))</f>
        <v>9.5</v>
      </c>
      <c r="E952" s="9" t="str">
        <f>IF(D952&lt;'3_Summary_Tables'!$C$16,"Low",IF(D952&lt;'3_Summary_Tables'!$C$17,"Medium","High"))</f>
        <v>Low</v>
      </c>
      <c r="F952" s="12">
        <f>INDEX('2_Clean_Data'!$C$2:$C$1360,MATCH($A952,'2_Clean_Data'!$A$2:$A$1360,0))</f>
        <v>0.24</v>
      </c>
      <c r="G952" s="10">
        <f>INDEX('2_Clean_Data'!$H$2:$H$1360,MATCH($A952,'2_Clean_Data'!$A$2:$A$1360,0))</f>
        <v>10</v>
      </c>
      <c r="H952" s="9" t="str">
        <f t="shared" si="57"/>
        <v>Low</v>
      </c>
      <c r="I952" s="9" t="str">
        <f t="shared" si="58"/>
        <v>OK</v>
      </c>
      <c r="J952" s="9" t="str">
        <f t="shared" si="59"/>
        <v>Solid</v>
      </c>
    </row>
    <row r="953" spans="1:10" x14ac:dyDescent="0.3">
      <c r="A953" s="10">
        <f>'2_Clean_Data'!A950</f>
        <v>949</v>
      </c>
      <c r="B953" s="10">
        <f>INDEX('2_Clean_Data'!$M$2:$M$1360,MATCH($A953,'2_Clean_Data'!$A$2:$A$1360,0))</f>
        <v>6</v>
      </c>
      <c r="C953" s="9" t="str">
        <f t="shared" si="56"/>
        <v>Above Average</v>
      </c>
      <c r="D953" s="11">
        <f>INDEX('2_Clean_Data'!$L$2:$L$1360,MATCH($A953,'2_Clean_Data'!$A$2:$A$1360,0))</f>
        <v>13.6</v>
      </c>
      <c r="E953" s="9" t="str">
        <f>IF(D953&lt;'3_Summary_Tables'!$C$16,"Low",IF(D953&lt;'3_Summary_Tables'!$C$17,"Medium","High"))</f>
        <v>High</v>
      </c>
      <c r="F953" s="12">
        <f>INDEX('2_Clean_Data'!$C$2:$C$1360,MATCH($A953,'2_Clean_Data'!$A$2:$A$1360,0))</f>
        <v>0.4</v>
      </c>
      <c r="G953" s="10">
        <f>INDEX('2_Clean_Data'!$H$2:$H$1360,MATCH($A953,'2_Clean_Data'!$A$2:$A$1360,0))</f>
        <v>80</v>
      </c>
      <c r="H953" s="9" t="str">
        <f t="shared" si="57"/>
        <v>Moderate</v>
      </c>
      <c r="I953" s="9" t="str">
        <f t="shared" si="58"/>
        <v>OK</v>
      </c>
      <c r="J953" s="9" t="str">
        <f t="shared" si="59"/>
        <v>Solid</v>
      </c>
    </row>
    <row r="954" spans="1:10" x14ac:dyDescent="0.3">
      <c r="A954" s="10">
        <f>'2_Clean_Data'!A951</f>
        <v>950</v>
      </c>
      <c r="B954" s="10">
        <f>INDEX('2_Clean_Data'!$M$2:$M$1360,MATCH($A954,'2_Clean_Data'!$A$2:$A$1360,0))</f>
        <v>6</v>
      </c>
      <c r="C954" s="9" t="str">
        <f t="shared" si="56"/>
        <v>Above Average</v>
      </c>
      <c r="D954" s="11">
        <f>INDEX('2_Clean_Data'!$L$2:$L$1360,MATCH($A954,'2_Clean_Data'!$A$2:$A$1360,0))</f>
        <v>11.3</v>
      </c>
      <c r="E954" s="9" t="str">
        <f>IF(D954&lt;'3_Summary_Tables'!$C$16,"Low",IF(D954&lt;'3_Summary_Tables'!$C$17,"Medium","High"))</f>
        <v>Medium</v>
      </c>
      <c r="F954" s="12">
        <f>INDEX('2_Clean_Data'!$C$2:$C$1360,MATCH($A954,'2_Clean_Data'!$A$2:$A$1360,0))</f>
        <v>0.69</v>
      </c>
      <c r="G954" s="10">
        <f>INDEX('2_Clean_Data'!$H$2:$H$1360,MATCH($A954,'2_Clean_Data'!$A$2:$A$1360,0))</f>
        <v>21</v>
      </c>
      <c r="H954" s="9" t="str">
        <f t="shared" si="57"/>
        <v>Low</v>
      </c>
      <c r="I954" s="9" t="str">
        <f t="shared" si="58"/>
        <v>OK</v>
      </c>
      <c r="J954" s="9" t="str">
        <f t="shared" si="59"/>
        <v>Solid</v>
      </c>
    </row>
    <row r="955" spans="1:10" x14ac:dyDescent="0.3">
      <c r="A955" s="10">
        <f>'2_Clean_Data'!A952</f>
        <v>951</v>
      </c>
      <c r="B955" s="10">
        <f>INDEX('2_Clean_Data'!$M$2:$M$1360,MATCH($A955,'2_Clean_Data'!$A$2:$A$1360,0))</f>
        <v>6</v>
      </c>
      <c r="C955" s="9" t="str">
        <f t="shared" si="56"/>
        <v>Above Average</v>
      </c>
      <c r="D955" s="11">
        <f>INDEX('2_Clean_Data'!$L$2:$L$1360,MATCH($A955,'2_Clean_Data'!$A$2:$A$1360,0))</f>
        <v>13.3</v>
      </c>
      <c r="E955" s="9" t="str">
        <f>IF(D955&lt;'3_Summary_Tables'!$C$16,"Low",IF(D955&lt;'3_Summary_Tables'!$C$17,"Medium","High"))</f>
        <v>High</v>
      </c>
      <c r="F955" s="12">
        <f>INDEX('2_Clean_Data'!$C$2:$C$1360,MATCH($A955,'2_Clean_Data'!$A$2:$A$1360,0))</f>
        <v>0.39</v>
      </c>
      <c r="G955" s="10">
        <f>INDEX('2_Clean_Data'!$H$2:$H$1360,MATCH($A955,'2_Clean_Data'!$A$2:$A$1360,0))</f>
        <v>24</v>
      </c>
      <c r="H955" s="9" t="str">
        <f t="shared" si="57"/>
        <v>Low</v>
      </c>
      <c r="I955" s="9" t="str">
        <f t="shared" si="58"/>
        <v>OK</v>
      </c>
      <c r="J955" s="9" t="str">
        <f t="shared" si="59"/>
        <v>Solid</v>
      </c>
    </row>
    <row r="956" spans="1:10" x14ac:dyDescent="0.3">
      <c r="A956" s="10">
        <f>'2_Clean_Data'!A953</f>
        <v>952</v>
      </c>
      <c r="B956" s="10">
        <f>INDEX('2_Clean_Data'!$M$2:$M$1360,MATCH($A956,'2_Clean_Data'!$A$2:$A$1360,0))</f>
        <v>5</v>
      </c>
      <c r="C956" s="9" t="str">
        <f t="shared" si="56"/>
        <v>Average</v>
      </c>
      <c r="D956" s="11">
        <f>INDEX('2_Clean_Data'!$L$2:$L$1360,MATCH($A956,'2_Clean_Data'!$A$2:$A$1360,0))</f>
        <v>12.9</v>
      </c>
      <c r="E956" s="9" t="str">
        <f>IF(D956&lt;'3_Summary_Tables'!$C$16,"Low",IF(D956&lt;'3_Summary_Tables'!$C$17,"Medium","High"))</f>
        <v>High</v>
      </c>
      <c r="F956" s="12">
        <f>INDEX('2_Clean_Data'!$C$2:$C$1360,MATCH($A956,'2_Clean_Data'!$A$2:$A$1360,0))</f>
        <v>0.66</v>
      </c>
      <c r="G956" s="10">
        <f>INDEX('2_Clean_Data'!$H$2:$H$1360,MATCH($A956,'2_Clean_Data'!$A$2:$A$1360,0))</f>
        <v>15</v>
      </c>
      <c r="H956" s="9" t="str">
        <f t="shared" si="57"/>
        <v>Low</v>
      </c>
      <c r="I956" s="9" t="str">
        <f t="shared" si="58"/>
        <v>OK</v>
      </c>
      <c r="J956" s="9" t="str">
        <f t="shared" si="59"/>
        <v>Standard</v>
      </c>
    </row>
    <row r="957" spans="1:10" x14ac:dyDescent="0.3">
      <c r="A957" s="10">
        <f>'2_Clean_Data'!A954</f>
        <v>953</v>
      </c>
      <c r="B957" s="10">
        <f>INDEX('2_Clean_Data'!$M$2:$M$1360,MATCH($A957,'2_Clean_Data'!$A$2:$A$1360,0))</f>
        <v>8</v>
      </c>
      <c r="C957" s="9" t="str">
        <f t="shared" si="56"/>
        <v>Excellent</v>
      </c>
      <c r="D957" s="11">
        <f>INDEX('2_Clean_Data'!$L$2:$L$1360,MATCH($A957,'2_Clean_Data'!$A$2:$A$1360,0))</f>
        <v>13.1</v>
      </c>
      <c r="E957" s="9" t="str">
        <f>IF(D957&lt;'3_Summary_Tables'!$C$16,"Low",IF(D957&lt;'3_Summary_Tables'!$C$17,"Medium","High"))</f>
        <v>High</v>
      </c>
      <c r="F957" s="12">
        <f>INDEX('2_Clean_Data'!$C$2:$C$1360,MATCH($A957,'2_Clean_Data'!$A$2:$A$1360,0))</f>
        <v>0.54</v>
      </c>
      <c r="G957" s="10">
        <f>INDEX('2_Clean_Data'!$H$2:$H$1360,MATCH($A957,'2_Clean_Data'!$A$2:$A$1360,0))</f>
        <v>17</v>
      </c>
      <c r="H957" s="9" t="str">
        <f t="shared" si="57"/>
        <v>Low</v>
      </c>
      <c r="I957" s="9" t="str">
        <f t="shared" si="58"/>
        <v>OK</v>
      </c>
      <c r="J957" s="9" t="str">
        <f t="shared" si="59"/>
        <v>Premium</v>
      </c>
    </row>
    <row r="958" spans="1:10" x14ac:dyDescent="0.3">
      <c r="A958" s="10">
        <f>'2_Clean_Data'!A955</f>
        <v>954</v>
      </c>
      <c r="B958" s="10">
        <f>INDEX('2_Clean_Data'!$M$2:$M$1360,MATCH($A958,'2_Clean_Data'!$A$2:$A$1360,0))</f>
        <v>6</v>
      </c>
      <c r="C958" s="9" t="str">
        <f t="shared" si="56"/>
        <v>Above Average</v>
      </c>
      <c r="D958" s="11">
        <f>INDEX('2_Clean_Data'!$L$2:$L$1360,MATCH($A958,'2_Clean_Data'!$A$2:$A$1360,0))</f>
        <v>12.3</v>
      </c>
      <c r="E958" s="9" t="str">
        <f>IF(D958&lt;'3_Summary_Tables'!$C$16,"Low",IF(D958&lt;'3_Summary_Tables'!$C$17,"Medium","High"))</f>
        <v>High</v>
      </c>
      <c r="F958" s="12">
        <f>INDEX('2_Clean_Data'!$C$2:$C$1360,MATCH($A958,'2_Clean_Data'!$A$2:$A$1360,0))</f>
        <v>0.5</v>
      </c>
      <c r="G958" s="10">
        <f>INDEX('2_Clean_Data'!$H$2:$H$1360,MATCH($A958,'2_Clean_Data'!$A$2:$A$1360,0))</f>
        <v>28</v>
      </c>
      <c r="H958" s="9" t="str">
        <f t="shared" si="57"/>
        <v>Low</v>
      </c>
      <c r="I958" s="9" t="str">
        <f t="shared" si="58"/>
        <v>OK</v>
      </c>
      <c r="J958" s="9" t="str">
        <f t="shared" si="59"/>
        <v>Solid</v>
      </c>
    </row>
    <row r="959" spans="1:10" x14ac:dyDescent="0.3">
      <c r="A959" s="10">
        <f>'2_Clean_Data'!A956</f>
        <v>955</v>
      </c>
      <c r="B959" s="10">
        <f>INDEX('2_Clean_Data'!$M$2:$M$1360,MATCH($A959,'2_Clean_Data'!$A$2:$A$1360,0))</f>
        <v>6</v>
      </c>
      <c r="C959" s="9" t="str">
        <f t="shared" si="56"/>
        <v>Above Average</v>
      </c>
      <c r="D959" s="11">
        <f>INDEX('2_Clean_Data'!$L$2:$L$1360,MATCH($A959,'2_Clean_Data'!$A$2:$A$1360,0))</f>
        <v>12.3</v>
      </c>
      <c r="E959" s="9" t="str">
        <f>IF(D959&lt;'3_Summary_Tables'!$C$16,"Low",IF(D959&lt;'3_Summary_Tables'!$C$17,"Medium","High"))</f>
        <v>High</v>
      </c>
      <c r="F959" s="12">
        <f>INDEX('2_Clean_Data'!$C$2:$C$1360,MATCH($A959,'2_Clean_Data'!$A$2:$A$1360,0))</f>
        <v>0.47</v>
      </c>
      <c r="G959" s="10">
        <f>INDEX('2_Clean_Data'!$H$2:$H$1360,MATCH($A959,'2_Clean_Data'!$A$2:$A$1360,0))</f>
        <v>33</v>
      </c>
      <c r="H959" s="9" t="str">
        <f t="shared" si="57"/>
        <v>Low</v>
      </c>
      <c r="I959" s="9" t="str">
        <f t="shared" si="58"/>
        <v>OK</v>
      </c>
      <c r="J959" s="9" t="str">
        <f t="shared" si="59"/>
        <v>Solid</v>
      </c>
    </row>
    <row r="960" spans="1:10" x14ac:dyDescent="0.3">
      <c r="A960" s="10">
        <f>'2_Clean_Data'!A957</f>
        <v>956</v>
      </c>
      <c r="B960" s="10">
        <f>INDEX('2_Clean_Data'!$M$2:$M$1360,MATCH($A960,'2_Clean_Data'!$A$2:$A$1360,0))</f>
        <v>6</v>
      </c>
      <c r="C960" s="9" t="str">
        <f t="shared" si="56"/>
        <v>Above Average</v>
      </c>
      <c r="D960" s="11">
        <f>INDEX('2_Clean_Data'!$L$2:$L$1360,MATCH($A960,'2_Clean_Data'!$A$2:$A$1360,0))</f>
        <v>11.2</v>
      </c>
      <c r="E960" s="9" t="str">
        <f>IF(D960&lt;'3_Summary_Tables'!$C$16,"Low",IF(D960&lt;'3_Summary_Tables'!$C$17,"Medium","High"))</f>
        <v>Medium</v>
      </c>
      <c r="F960" s="12">
        <f>INDEX('2_Clean_Data'!$C$2:$C$1360,MATCH($A960,'2_Clean_Data'!$A$2:$A$1360,0))</f>
        <v>0.4</v>
      </c>
      <c r="G960" s="10">
        <f>INDEX('2_Clean_Data'!$H$2:$H$1360,MATCH($A960,'2_Clean_Data'!$A$2:$A$1360,0))</f>
        <v>29</v>
      </c>
      <c r="H960" s="9" t="str">
        <f t="shared" si="57"/>
        <v>Low</v>
      </c>
      <c r="I960" s="9" t="str">
        <f t="shared" si="58"/>
        <v>OK</v>
      </c>
      <c r="J960" s="9" t="str">
        <f t="shared" si="59"/>
        <v>Solid</v>
      </c>
    </row>
    <row r="961" spans="1:10" x14ac:dyDescent="0.3">
      <c r="A961" s="10">
        <f>'2_Clean_Data'!A958</f>
        <v>957</v>
      </c>
      <c r="B961" s="10">
        <f>INDEX('2_Clean_Data'!$M$2:$M$1360,MATCH($A961,'2_Clean_Data'!$A$2:$A$1360,0))</f>
        <v>4</v>
      </c>
      <c r="C961" s="9" t="str">
        <f t="shared" si="56"/>
        <v>Poor</v>
      </c>
      <c r="D961" s="11">
        <f>INDEX('2_Clean_Data'!$L$2:$L$1360,MATCH($A961,'2_Clean_Data'!$A$2:$A$1360,0))</f>
        <v>11.5</v>
      </c>
      <c r="E961" s="9" t="str">
        <f>IF(D961&lt;'3_Summary_Tables'!$C$16,"Low",IF(D961&lt;'3_Summary_Tables'!$C$17,"Medium","High"))</f>
        <v>High</v>
      </c>
      <c r="F961" s="12">
        <f>INDEX('2_Clean_Data'!$C$2:$C$1360,MATCH($A961,'2_Clean_Data'!$A$2:$A$1360,0))</f>
        <v>0.57999999999999996</v>
      </c>
      <c r="G961" s="10">
        <f>INDEX('2_Clean_Data'!$H$2:$H$1360,MATCH($A961,'2_Clean_Data'!$A$2:$A$1360,0))</f>
        <v>13</v>
      </c>
      <c r="H961" s="9" t="str">
        <f t="shared" si="57"/>
        <v>Low</v>
      </c>
      <c r="I961" s="9" t="str">
        <f t="shared" si="58"/>
        <v>OK</v>
      </c>
      <c r="J961" s="9" t="str">
        <f t="shared" si="59"/>
        <v>Poor</v>
      </c>
    </row>
    <row r="962" spans="1:10" x14ac:dyDescent="0.3">
      <c r="A962" s="10">
        <f>'2_Clean_Data'!A959</f>
        <v>958</v>
      </c>
      <c r="B962" s="10">
        <f>INDEX('2_Clean_Data'!$M$2:$M$1360,MATCH($A962,'2_Clean_Data'!$A$2:$A$1360,0))</f>
        <v>7</v>
      </c>
      <c r="C962" s="9" t="str">
        <f t="shared" si="56"/>
        <v>Good</v>
      </c>
      <c r="D962" s="11">
        <f>INDEX('2_Clean_Data'!$L$2:$L$1360,MATCH($A962,'2_Clean_Data'!$A$2:$A$1360,0))</f>
        <v>11.3</v>
      </c>
      <c r="E962" s="9" t="str">
        <f>IF(D962&lt;'3_Summary_Tables'!$C$16,"Low",IF(D962&lt;'3_Summary_Tables'!$C$17,"Medium","High"))</f>
        <v>Medium</v>
      </c>
      <c r="F962" s="12">
        <f>INDEX('2_Clean_Data'!$C$2:$C$1360,MATCH($A962,'2_Clean_Data'!$A$2:$A$1360,0))</f>
        <v>0.24</v>
      </c>
      <c r="G962" s="10">
        <f>INDEX('2_Clean_Data'!$H$2:$H$1360,MATCH($A962,'2_Clean_Data'!$A$2:$A$1360,0))</f>
        <v>27</v>
      </c>
      <c r="H962" s="9" t="str">
        <f t="shared" si="57"/>
        <v>Low</v>
      </c>
      <c r="I962" s="9" t="str">
        <f t="shared" si="58"/>
        <v>OK</v>
      </c>
      <c r="J962" s="9" t="str">
        <f t="shared" si="59"/>
        <v>Solid</v>
      </c>
    </row>
    <row r="963" spans="1:10" x14ac:dyDescent="0.3">
      <c r="A963" s="10">
        <f>'2_Clean_Data'!A960</f>
        <v>959</v>
      </c>
      <c r="B963" s="10">
        <f>INDEX('2_Clean_Data'!$M$2:$M$1360,MATCH($A963,'2_Clean_Data'!$A$2:$A$1360,0))</f>
        <v>6</v>
      </c>
      <c r="C963" s="9" t="str">
        <f t="shared" si="56"/>
        <v>Above Average</v>
      </c>
      <c r="D963" s="11">
        <f>INDEX('2_Clean_Data'!$L$2:$L$1360,MATCH($A963,'2_Clean_Data'!$A$2:$A$1360,0))</f>
        <v>13.5</v>
      </c>
      <c r="E963" s="9" t="str">
        <f>IF(D963&lt;'3_Summary_Tables'!$C$16,"Low",IF(D963&lt;'3_Summary_Tables'!$C$17,"Medium","High"))</f>
        <v>High</v>
      </c>
      <c r="F963" s="12">
        <f>INDEX('2_Clean_Data'!$C$2:$C$1360,MATCH($A963,'2_Clean_Data'!$A$2:$A$1360,0))</f>
        <v>0.28999999999999998</v>
      </c>
      <c r="G963" s="10">
        <f>INDEX('2_Clean_Data'!$H$2:$H$1360,MATCH($A963,'2_Clean_Data'!$A$2:$A$1360,0))</f>
        <v>11</v>
      </c>
      <c r="H963" s="9" t="str">
        <f t="shared" si="57"/>
        <v>Low</v>
      </c>
      <c r="I963" s="9" t="str">
        <f t="shared" si="58"/>
        <v>OK</v>
      </c>
      <c r="J963" s="9" t="str">
        <f t="shared" si="59"/>
        <v>Solid</v>
      </c>
    </row>
    <row r="964" spans="1:10" x14ac:dyDescent="0.3">
      <c r="A964" s="10">
        <f>'2_Clean_Data'!A961</f>
        <v>960</v>
      </c>
      <c r="B964" s="10">
        <f>INDEX('2_Clean_Data'!$M$2:$M$1360,MATCH($A964,'2_Clean_Data'!$A$2:$A$1360,0))</f>
        <v>6</v>
      </c>
      <c r="C964" s="9" t="str">
        <f t="shared" si="56"/>
        <v>Above Average</v>
      </c>
      <c r="D964" s="11">
        <f>INDEX('2_Clean_Data'!$L$2:$L$1360,MATCH($A964,'2_Clean_Data'!$A$2:$A$1360,0))</f>
        <v>11.5</v>
      </c>
      <c r="E964" s="9" t="str">
        <f>IF(D964&lt;'3_Summary_Tables'!$C$16,"Low",IF(D964&lt;'3_Summary_Tables'!$C$17,"Medium","High"))</f>
        <v>High</v>
      </c>
      <c r="F964" s="12">
        <f>INDEX('2_Clean_Data'!$C$2:$C$1360,MATCH($A964,'2_Clean_Data'!$A$2:$A$1360,0))</f>
        <v>0.76</v>
      </c>
      <c r="G964" s="10">
        <f>INDEX('2_Clean_Data'!$H$2:$H$1360,MATCH($A964,'2_Clean_Data'!$A$2:$A$1360,0))</f>
        <v>52</v>
      </c>
      <c r="H964" s="9" t="str">
        <f t="shared" si="57"/>
        <v>Moderate</v>
      </c>
      <c r="I964" s="9" t="str">
        <f t="shared" si="58"/>
        <v>Above limit</v>
      </c>
      <c r="J964" s="9" t="str">
        <f t="shared" si="59"/>
        <v>Standard</v>
      </c>
    </row>
    <row r="965" spans="1:10" x14ac:dyDescent="0.3">
      <c r="A965" s="10">
        <f>'2_Clean_Data'!A962</f>
        <v>961</v>
      </c>
      <c r="B965" s="10">
        <f>INDEX('2_Clean_Data'!$M$2:$M$1360,MATCH($A965,'2_Clean_Data'!$A$2:$A$1360,0))</f>
        <v>5</v>
      </c>
      <c r="C965" s="9" t="str">
        <f t="shared" ref="C965:C1028" si="60">VLOOKUP(B965,$L$12:$N$17,2,FALSE())</f>
        <v>Average</v>
      </c>
      <c r="D965" s="11">
        <f>INDEX('2_Clean_Data'!$L$2:$L$1360,MATCH($A965,'2_Clean_Data'!$A$2:$A$1360,0))</f>
        <v>10</v>
      </c>
      <c r="E965" s="9" t="str">
        <f>IF(D965&lt;'3_Summary_Tables'!$C$16,"Low",IF(D965&lt;'3_Summary_Tables'!$C$17,"Medium","High"))</f>
        <v>Medium</v>
      </c>
      <c r="F965" s="12">
        <f>INDEX('2_Clean_Data'!$C$2:$C$1360,MATCH($A965,'2_Clean_Data'!$A$2:$A$1360,0))</f>
        <v>0.43</v>
      </c>
      <c r="G965" s="10">
        <f>INDEX('2_Clean_Data'!$H$2:$H$1360,MATCH($A965,'2_Clean_Data'!$A$2:$A$1360,0))</f>
        <v>89</v>
      </c>
      <c r="H965" s="9" t="str">
        <f t="shared" ref="H965:H1028" si="61">IF(G965&gt;$M$8,"High",IF(G965&gt;$M$7,"Moderate","Low"))</f>
        <v>Moderate</v>
      </c>
      <c r="I965" s="9" t="str">
        <f t="shared" ref="I965:I1028" si="62">IF(F965&gt;$M$6,"Above limit","OK")</f>
        <v>OK</v>
      </c>
      <c r="J965" s="9" t="str">
        <f t="shared" ref="J965:J1028" si="63">IF(AND(B965&gt;=7,E965="High"),"Premium",IF(AND(B965&gt;=6,I965="OK"),"Solid",IF(B965&lt;=4,"Poor","Standard")))</f>
        <v>Standard</v>
      </c>
    </row>
    <row r="966" spans="1:10" x14ac:dyDescent="0.3">
      <c r="A966" s="10">
        <f>'2_Clean_Data'!A963</f>
        <v>962</v>
      </c>
      <c r="B966" s="10">
        <f>INDEX('2_Clean_Data'!$M$2:$M$1360,MATCH($A966,'2_Clean_Data'!$A$2:$A$1360,0))</f>
        <v>6</v>
      </c>
      <c r="C966" s="9" t="str">
        <f t="shared" si="60"/>
        <v>Above Average</v>
      </c>
      <c r="D966" s="11">
        <f>INDEX('2_Clean_Data'!$L$2:$L$1360,MATCH($A966,'2_Clean_Data'!$A$2:$A$1360,0))</f>
        <v>10.5</v>
      </c>
      <c r="E966" s="9" t="str">
        <f>IF(D966&lt;'3_Summary_Tables'!$C$16,"Low",IF(D966&lt;'3_Summary_Tables'!$C$17,"Medium","High"))</f>
        <v>Medium</v>
      </c>
      <c r="F966" s="12">
        <f>INDEX('2_Clean_Data'!$C$2:$C$1360,MATCH($A966,'2_Clean_Data'!$A$2:$A$1360,0))</f>
        <v>0.43</v>
      </c>
      <c r="G966" s="10">
        <f>INDEX('2_Clean_Data'!$H$2:$H$1360,MATCH($A966,'2_Clean_Data'!$A$2:$A$1360,0))</f>
        <v>70</v>
      </c>
      <c r="H966" s="9" t="str">
        <f t="shared" si="61"/>
        <v>Moderate</v>
      </c>
      <c r="I966" s="9" t="str">
        <f t="shared" si="62"/>
        <v>OK</v>
      </c>
      <c r="J966" s="9" t="str">
        <f t="shared" si="63"/>
        <v>Solid</v>
      </c>
    </row>
    <row r="967" spans="1:10" x14ac:dyDescent="0.3">
      <c r="A967" s="10">
        <f>'2_Clean_Data'!A964</f>
        <v>963</v>
      </c>
      <c r="B967" s="10">
        <f>INDEX('2_Clean_Data'!$M$2:$M$1360,MATCH($A967,'2_Clean_Data'!$A$2:$A$1360,0))</f>
        <v>6</v>
      </c>
      <c r="C967" s="9" t="str">
        <f t="shared" si="60"/>
        <v>Above Average</v>
      </c>
      <c r="D967" s="11">
        <f>INDEX('2_Clean_Data'!$L$2:$L$1360,MATCH($A967,'2_Clean_Data'!$A$2:$A$1360,0))</f>
        <v>10.4</v>
      </c>
      <c r="E967" s="9" t="str">
        <f>IF(D967&lt;'3_Summary_Tables'!$C$16,"Low",IF(D967&lt;'3_Summary_Tables'!$C$17,"Medium","High"))</f>
        <v>Medium</v>
      </c>
      <c r="F967" s="12">
        <f>INDEX('2_Clean_Data'!$C$2:$C$1360,MATCH($A967,'2_Clean_Data'!$A$2:$A$1360,0))</f>
        <v>0.6</v>
      </c>
      <c r="G967" s="10">
        <f>INDEX('2_Clean_Data'!$H$2:$H$1360,MATCH($A967,'2_Clean_Data'!$A$2:$A$1360,0))</f>
        <v>10</v>
      </c>
      <c r="H967" s="9" t="str">
        <f t="shared" si="61"/>
        <v>Low</v>
      </c>
      <c r="I967" s="9" t="str">
        <f t="shared" si="62"/>
        <v>OK</v>
      </c>
      <c r="J967" s="9" t="str">
        <f t="shared" si="63"/>
        <v>Solid</v>
      </c>
    </row>
    <row r="968" spans="1:10" x14ac:dyDescent="0.3">
      <c r="A968" s="10">
        <f>'2_Clean_Data'!A965</f>
        <v>964</v>
      </c>
      <c r="B968" s="10">
        <f>INDEX('2_Clean_Data'!$M$2:$M$1360,MATCH($A968,'2_Clean_Data'!$A$2:$A$1360,0))</f>
        <v>5</v>
      </c>
      <c r="C968" s="9" t="str">
        <f t="shared" si="60"/>
        <v>Average</v>
      </c>
      <c r="D968" s="11">
        <f>INDEX('2_Clean_Data'!$L$2:$L$1360,MATCH($A968,'2_Clean_Data'!$A$2:$A$1360,0))</f>
        <v>9.5</v>
      </c>
      <c r="E968" s="9" t="str">
        <f>IF(D968&lt;'3_Summary_Tables'!$C$16,"Low",IF(D968&lt;'3_Summary_Tables'!$C$17,"Medium","High"))</f>
        <v>Low</v>
      </c>
      <c r="F968" s="12">
        <f>INDEX('2_Clean_Data'!$C$2:$C$1360,MATCH($A968,'2_Clean_Data'!$A$2:$A$1360,0))</f>
        <v>0.19</v>
      </c>
      <c r="G968" s="10">
        <f>INDEX('2_Clean_Data'!$H$2:$H$1360,MATCH($A968,'2_Clean_Data'!$A$2:$A$1360,0))</f>
        <v>135</v>
      </c>
      <c r="H968" s="9" t="str">
        <f t="shared" si="61"/>
        <v>High</v>
      </c>
      <c r="I968" s="9" t="str">
        <f t="shared" si="62"/>
        <v>OK</v>
      </c>
      <c r="J968" s="9" t="str">
        <f t="shared" si="63"/>
        <v>Standard</v>
      </c>
    </row>
    <row r="969" spans="1:10" x14ac:dyDescent="0.3">
      <c r="A969" s="10">
        <f>'2_Clean_Data'!A966</f>
        <v>965</v>
      </c>
      <c r="B969" s="10">
        <f>INDEX('2_Clean_Data'!$M$2:$M$1360,MATCH($A969,'2_Clean_Data'!$A$2:$A$1360,0))</f>
        <v>7</v>
      </c>
      <c r="C969" s="9" t="str">
        <f t="shared" si="60"/>
        <v>Good</v>
      </c>
      <c r="D969" s="11">
        <f>INDEX('2_Clean_Data'!$L$2:$L$1360,MATCH($A969,'2_Clean_Data'!$A$2:$A$1360,0))</f>
        <v>13.6</v>
      </c>
      <c r="E969" s="9" t="str">
        <f>IF(D969&lt;'3_Summary_Tables'!$C$16,"Low",IF(D969&lt;'3_Summary_Tables'!$C$17,"Medium","High"))</f>
        <v>High</v>
      </c>
      <c r="F969" s="12">
        <f>INDEX('2_Clean_Data'!$C$2:$C$1360,MATCH($A969,'2_Clean_Data'!$A$2:$A$1360,0))</f>
        <v>0.36</v>
      </c>
      <c r="G969" s="10">
        <f>INDEX('2_Clean_Data'!$H$2:$H$1360,MATCH($A969,'2_Clean_Data'!$A$2:$A$1360,0))</f>
        <v>38</v>
      </c>
      <c r="H969" s="9" t="str">
        <f t="shared" si="61"/>
        <v>Low</v>
      </c>
      <c r="I969" s="9" t="str">
        <f t="shared" si="62"/>
        <v>OK</v>
      </c>
      <c r="J969" s="9" t="str">
        <f t="shared" si="63"/>
        <v>Premium</v>
      </c>
    </row>
    <row r="970" spans="1:10" x14ac:dyDescent="0.3">
      <c r="A970" s="10">
        <f>'2_Clean_Data'!A967</f>
        <v>966</v>
      </c>
      <c r="B970" s="10">
        <f>INDEX('2_Clean_Data'!$M$2:$M$1360,MATCH($A970,'2_Clean_Data'!$A$2:$A$1360,0))</f>
        <v>7</v>
      </c>
      <c r="C970" s="9" t="str">
        <f t="shared" si="60"/>
        <v>Good</v>
      </c>
      <c r="D970" s="11">
        <f>INDEX('2_Clean_Data'!$L$2:$L$1360,MATCH($A970,'2_Clean_Data'!$A$2:$A$1360,0))</f>
        <v>11.2</v>
      </c>
      <c r="E970" s="9" t="str">
        <f>IF(D970&lt;'3_Summary_Tables'!$C$16,"Low",IF(D970&lt;'3_Summary_Tables'!$C$17,"Medium","High"))</f>
        <v>Medium</v>
      </c>
      <c r="F970" s="12">
        <f>INDEX('2_Clean_Data'!$C$2:$C$1360,MATCH($A970,'2_Clean_Data'!$A$2:$A$1360,0))</f>
        <v>0.48</v>
      </c>
      <c r="G970" s="10">
        <f>INDEX('2_Clean_Data'!$H$2:$H$1360,MATCH($A970,'2_Clean_Data'!$A$2:$A$1360,0))</f>
        <v>18</v>
      </c>
      <c r="H970" s="9" t="str">
        <f t="shared" si="61"/>
        <v>Low</v>
      </c>
      <c r="I970" s="9" t="str">
        <f t="shared" si="62"/>
        <v>OK</v>
      </c>
      <c r="J970" s="9" t="str">
        <f t="shared" si="63"/>
        <v>Solid</v>
      </c>
    </row>
    <row r="971" spans="1:10" x14ac:dyDescent="0.3">
      <c r="A971" s="10">
        <f>'2_Clean_Data'!A968</f>
        <v>967</v>
      </c>
      <c r="B971" s="10">
        <f>INDEX('2_Clean_Data'!$M$2:$M$1360,MATCH($A971,'2_Clean_Data'!$A$2:$A$1360,0))</f>
        <v>7</v>
      </c>
      <c r="C971" s="9" t="str">
        <f t="shared" si="60"/>
        <v>Good</v>
      </c>
      <c r="D971" s="11">
        <f>INDEX('2_Clean_Data'!$L$2:$L$1360,MATCH($A971,'2_Clean_Data'!$A$2:$A$1360,0))</f>
        <v>11.8</v>
      </c>
      <c r="E971" s="9" t="str">
        <f>IF(D971&lt;'3_Summary_Tables'!$C$16,"Low",IF(D971&lt;'3_Summary_Tables'!$C$17,"Medium","High"))</f>
        <v>High</v>
      </c>
      <c r="F971" s="12">
        <f>INDEX('2_Clean_Data'!$C$2:$C$1360,MATCH($A971,'2_Clean_Data'!$A$2:$A$1360,0))</f>
        <v>0.28000000000000003</v>
      </c>
      <c r="G971" s="10">
        <f>INDEX('2_Clean_Data'!$H$2:$H$1360,MATCH($A971,'2_Clean_Data'!$A$2:$A$1360,0))</f>
        <v>15</v>
      </c>
      <c r="H971" s="9" t="str">
        <f t="shared" si="61"/>
        <v>Low</v>
      </c>
      <c r="I971" s="9" t="str">
        <f t="shared" si="62"/>
        <v>OK</v>
      </c>
      <c r="J971" s="9" t="str">
        <f t="shared" si="63"/>
        <v>Premium</v>
      </c>
    </row>
    <row r="972" spans="1:10" x14ac:dyDescent="0.3">
      <c r="A972" s="10">
        <f>'2_Clean_Data'!A969</f>
        <v>968</v>
      </c>
      <c r="B972" s="10">
        <f>INDEX('2_Clean_Data'!$M$2:$M$1360,MATCH($A972,'2_Clean_Data'!$A$2:$A$1360,0))</f>
        <v>6</v>
      </c>
      <c r="C972" s="9" t="str">
        <f t="shared" si="60"/>
        <v>Above Average</v>
      </c>
      <c r="D972" s="11">
        <f>INDEX('2_Clean_Data'!$L$2:$L$1360,MATCH($A972,'2_Clean_Data'!$A$2:$A$1360,0))</f>
        <v>11.9</v>
      </c>
      <c r="E972" s="9" t="str">
        <f>IF(D972&lt;'3_Summary_Tables'!$C$16,"Low",IF(D972&lt;'3_Summary_Tables'!$C$17,"Medium","High"))</f>
        <v>High</v>
      </c>
      <c r="F972" s="12">
        <f>INDEX('2_Clean_Data'!$C$2:$C$1360,MATCH($A972,'2_Clean_Data'!$A$2:$A$1360,0))</f>
        <v>0.25</v>
      </c>
      <c r="G972" s="10">
        <f>INDEX('2_Clean_Data'!$H$2:$H$1360,MATCH($A972,'2_Clean_Data'!$A$2:$A$1360,0))</f>
        <v>50</v>
      </c>
      <c r="H972" s="9" t="str">
        <f t="shared" si="61"/>
        <v>Low</v>
      </c>
      <c r="I972" s="9" t="str">
        <f t="shared" si="62"/>
        <v>OK</v>
      </c>
      <c r="J972" s="9" t="str">
        <f t="shared" si="63"/>
        <v>Solid</v>
      </c>
    </row>
    <row r="973" spans="1:10" x14ac:dyDescent="0.3">
      <c r="A973" s="10">
        <f>'2_Clean_Data'!A970</f>
        <v>969</v>
      </c>
      <c r="B973" s="10">
        <f>INDEX('2_Clean_Data'!$M$2:$M$1360,MATCH($A973,'2_Clean_Data'!$A$2:$A$1360,0))</f>
        <v>6</v>
      </c>
      <c r="C973" s="9" t="str">
        <f t="shared" si="60"/>
        <v>Above Average</v>
      </c>
      <c r="D973" s="11">
        <f>INDEX('2_Clean_Data'!$L$2:$L$1360,MATCH($A973,'2_Clean_Data'!$A$2:$A$1360,0))</f>
        <v>11.4</v>
      </c>
      <c r="E973" s="9" t="str">
        <f>IF(D973&lt;'3_Summary_Tables'!$C$16,"Low",IF(D973&lt;'3_Summary_Tables'!$C$17,"Medium","High"))</f>
        <v>Medium</v>
      </c>
      <c r="F973" s="12">
        <f>INDEX('2_Clean_Data'!$C$2:$C$1360,MATCH($A973,'2_Clean_Data'!$A$2:$A$1360,0))</f>
        <v>0.52</v>
      </c>
      <c r="G973" s="10">
        <f>INDEX('2_Clean_Data'!$H$2:$H$1360,MATCH($A973,'2_Clean_Data'!$A$2:$A$1360,0))</f>
        <v>13</v>
      </c>
      <c r="H973" s="9" t="str">
        <f t="shared" si="61"/>
        <v>Low</v>
      </c>
      <c r="I973" s="9" t="str">
        <f t="shared" si="62"/>
        <v>OK</v>
      </c>
      <c r="J973" s="9" t="str">
        <f t="shared" si="63"/>
        <v>Solid</v>
      </c>
    </row>
    <row r="974" spans="1:10" x14ac:dyDescent="0.3">
      <c r="A974" s="10">
        <f>'2_Clean_Data'!A971</f>
        <v>970</v>
      </c>
      <c r="B974" s="10">
        <f>INDEX('2_Clean_Data'!$M$2:$M$1360,MATCH($A974,'2_Clean_Data'!$A$2:$A$1360,0))</f>
        <v>5</v>
      </c>
      <c r="C974" s="9" t="str">
        <f t="shared" si="60"/>
        <v>Average</v>
      </c>
      <c r="D974" s="11">
        <f>INDEX('2_Clean_Data'!$L$2:$L$1360,MATCH($A974,'2_Clean_Data'!$A$2:$A$1360,0))</f>
        <v>9.1</v>
      </c>
      <c r="E974" s="9" t="str">
        <f>IF(D974&lt;'3_Summary_Tables'!$C$16,"Low",IF(D974&lt;'3_Summary_Tables'!$C$17,"Medium","High"))</f>
        <v>Low</v>
      </c>
      <c r="F974" s="12">
        <f>INDEX('2_Clean_Data'!$C$2:$C$1360,MATCH($A974,'2_Clean_Data'!$A$2:$A$1360,0))</f>
        <v>0.41</v>
      </c>
      <c r="G974" s="10">
        <f>INDEX('2_Clean_Data'!$H$2:$H$1360,MATCH($A974,'2_Clean_Data'!$A$2:$A$1360,0))</f>
        <v>94</v>
      </c>
      <c r="H974" s="9" t="str">
        <f t="shared" si="61"/>
        <v>Moderate</v>
      </c>
      <c r="I974" s="9" t="str">
        <f t="shared" si="62"/>
        <v>OK</v>
      </c>
      <c r="J974" s="9" t="str">
        <f t="shared" si="63"/>
        <v>Standard</v>
      </c>
    </row>
    <row r="975" spans="1:10" x14ac:dyDescent="0.3">
      <c r="A975" s="10">
        <f>'2_Clean_Data'!A972</f>
        <v>971</v>
      </c>
      <c r="B975" s="10">
        <f>INDEX('2_Clean_Data'!$M$2:$M$1360,MATCH($A975,'2_Clean_Data'!$A$2:$A$1360,0))</f>
        <v>6</v>
      </c>
      <c r="C975" s="9" t="str">
        <f t="shared" si="60"/>
        <v>Above Average</v>
      </c>
      <c r="D975" s="11">
        <f>INDEX('2_Clean_Data'!$L$2:$L$1360,MATCH($A975,'2_Clean_Data'!$A$2:$A$1360,0))</f>
        <v>9.5</v>
      </c>
      <c r="E975" s="9" t="str">
        <f>IF(D975&lt;'3_Summary_Tables'!$C$16,"Low",IF(D975&lt;'3_Summary_Tables'!$C$17,"Medium","High"))</f>
        <v>Low</v>
      </c>
      <c r="F975" s="12">
        <f>INDEX('2_Clean_Data'!$C$2:$C$1360,MATCH($A975,'2_Clean_Data'!$A$2:$A$1360,0))</f>
        <v>0.51</v>
      </c>
      <c r="G975" s="10">
        <f>INDEX('2_Clean_Data'!$H$2:$H$1360,MATCH($A975,'2_Clean_Data'!$A$2:$A$1360,0))</f>
        <v>86</v>
      </c>
      <c r="H975" s="9" t="str">
        <f t="shared" si="61"/>
        <v>Moderate</v>
      </c>
      <c r="I975" s="9" t="str">
        <f t="shared" si="62"/>
        <v>OK</v>
      </c>
      <c r="J975" s="9" t="str">
        <f t="shared" si="63"/>
        <v>Solid</v>
      </c>
    </row>
    <row r="976" spans="1:10" x14ac:dyDescent="0.3">
      <c r="A976" s="10">
        <f>'2_Clean_Data'!A973</f>
        <v>972</v>
      </c>
      <c r="B976" s="10">
        <f>INDEX('2_Clean_Data'!$M$2:$M$1360,MATCH($A976,'2_Clean_Data'!$A$2:$A$1360,0))</f>
        <v>6</v>
      </c>
      <c r="C976" s="9" t="str">
        <f t="shared" si="60"/>
        <v>Above Average</v>
      </c>
      <c r="D976" s="11">
        <f>INDEX('2_Clean_Data'!$L$2:$L$1360,MATCH($A976,'2_Clean_Data'!$A$2:$A$1360,0))</f>
        <v>9.5</v>
      </c>
      <c r="E976" s="9" t="str">
        <f>IF(D976&lt;'3_Summary_Tables'!$C$16,"Low",IF(D976&lt;'3_Summary_Tables'!$C$17,"Medium","High"))</f>
        <v>Low</v>
      </c>
      <c r="F976" s="12">
        <f>INDEX('2_Clean_Data'!$C$2:$C$1360,MATCH($A976,'2_Clean_Data'!$A$2:$A$1360,0))</f>
        <v>0.4</v>
      </c>
      <c r="G976" s="10">
        <f>INDEX('2_Clean_Data'!$H$2:$H$1360,MATCH($A976,'2_Clean_Data'!$A$2:$A$1360,0))</f>
        <v>79</v>
      </c>
      <c r="H976" s="9" t="str">
        <f t="shared" si="61"/>
        <v>Moderate</v>
      </c>
      <c r="I976" s="9" t="str">
        <f t="shared" si="62"/>
        <v>OK</v>
      </c>
      <c r="J976" s="9" t="str">
        <f t="shared" si="63"/>
        <v>Solid</v>
      </c>
    </row>
    <row r="977" spans="1:10" x14ac:dyDescent="0.3">
      <c r="A977" s="10">
        <f>'2_Clean_Data'!A974</f>
        <v>973</v>
      </c>
      <c r="B977" s="10">
        <f>INDEX('2_Clean_Data'!$M$2:$M$1360,MATCH($A977,'2_Clean_Data'!$A$2:$A$1360,0))</f>
        <v>6</v>
      </c>
      <c r="C977" s="9" t="str">
        <f t="shared" si="60"/>
        <v>Above Average</v>
      </c>
      <c r="D977" s="11">
        <f>INDEX('2_Clean_Data'!$L$2:$L$1360,MATCH($A977,'2_Clean_Data'!$A$2:$A$1360,0))</f>
        <v>11</v>
      </c>
      <c r="E977" s="9" t="str">
        <f>IF(D977&lt;'3_Summary_Tables'!$C$16,"Low",IF(D977&lt;'3_Summary_Tables'!$C$17,"Medium","High"))</f>
        <v>Medium</v>
      </c>
      <c r="F977" s="12">
        <f>INDEX('2_Clean_Data'!$C$2:$C$1360,MATCH($A977,'2_Clean_Data'!$A$2:$A$1360,0))</f>
        <v>0.38</v>
      </c>
      <c r="G977" s="10">
        <f>INDEX('2_Clean_Data'!$H$2:$H$1360,MATCH($A977,'2_Clean_Data'!$A$2:$A$1360,0))</f>
        <v>71</v>
      </c>
      <c r="H977" s="9" t="str">
        <f t="shared" si="61"/>
        <v>Moderate</v>
      </c>
      <c r="I977" s="9" t="str">
        <f t="shared" si="62"/>
        <v>OK</v>
      </c>
      <c r="J977" s="9" t="str">
        <f t="shared" si="63"/>
        <v>Solid</v>
      </c>
    </row>
    <row r="978" spans="1:10" x14ac:dyDescent="0.3">
      <c r="A978" s="10">
        <f>'2_Clean_Data'!A975</f>
        <v>974</v>
      </c>
      <c r="B978" s="10">
        <f>INDEX('2_Clean_Data'!$M$2:$M$1360,MATCH($A978,'2_Clean_Data'!$A$2:$A$1360,0))</f>
        <v>6</v>
      </c>
      <c r="C978" s="9" t="str">
        <f t="shared" si="60"/>
        <v>Above Average</v>
      </c>
      <c r="D978" s="11">
        <f>INDEX('2_Clean_Data'!$L$2:$L$1360,MATCH($A978,'2_Clean_Data'!$A$2:$A$1360,0))</f>
        <v>11.4</v>
      </c>
      <c r="E978" s="9" t="str">
        <f>IF(D978&lt;'3_Summary_Tables'!$C$16,"Low",IF(D978&lt;'3_Summary_Tables'!$C$17,"Medium","High"))</f>
        <v>Medium</v>
      </c>
      <c r="F978" s="12">
        <f>INDEX('2_Clean_Data'!$C$2:$C$1360,MATCH($A978,'2_Clean_Data'!$A$2:$A$1360,0))</f>
        <v>0.45</v>
      </c>
      <c r="G978" s="10">
        <f>INDEX('2_Clean_Data'!$H$2:$H$1360,MATCH($A978,'2_Clean_Data'!$A$2:$A$1360,0))</f>
        <v>12</v>
      </c>
      <c r="H978" s="9" t="str">
        <f t="shared" si="61"/>
        <v>Low</v>
      </c>
      <c r="I978" s="9" t="str">
        <f t="shared" si="62"/>
        <v>OK</v>
      </c>
      <c r="J978" s="9" t="str">
        <f t="shared" si="63"/>
        <v>Solid</v>
      </c>
    </row>
    <row r="979" spans="1:10" x14ac:dyDescent="0.3">
      <c r="A979" s="10">
        <f>'2_Clean_Data'!A976</f>
        <v>975</v>
      </c>
      <c r="B979" s="10">
        <f>INDEX('2_Clean_Data'!$M$2:$M$1360,MATCH($A979,'2_Clean_Data'!$A$2:$A$1360,0))</f>
        <v>6</v>
      </c>
      <c r="C979" s="9" t="str">
        <f t="shared" si="60"/>
        <v>Above Average</v>
      </c>
      <c r="D979" s="11">
        <f>INDEX('2_Clean_Data'!$L$2:$L$1360,MATCH($A979,'2_Clean_Data'!$A$2:$A$1360,0))</f>
        <v>10</v>
      </c>
      <c r="E979" s="9" t="str">
        <f>IF(D979&lt;'3_Summary_Tables'!$C$16,"Low",IF(D979&lt;'3_Summary_Tables'!$C$17,"Medium","High"))</f>
        <v>Medium</v>
      </c>
      <c r="F979" s="12">
        <f>INDEX('2_Clean_Data'!$C$2:$C$1360,MATCH($A979,'2_Clean_Data'!$A$2:$A$1360,0))</f>
        <v>0.22</v>
      </c>
      <c r="G979" s="10">
        <f>INDEX('2_Clean_Data'!$H$2:$H$1360,MATCH($A979,'2_Clean_Data'!$A$2:$A$1360,0))</f>
        <v>20</v>
      </c>
      <c r="H979" s="9" t="str">
        <f t="shared" si="61"/>
        <v>Low</v>
      </c>
      <c r="I979" s="9" t="str">
        <f t="shared" si="62"/>
        <v>OK</v>
      </c>
      <c r="J979" s="9" t="str">
        <f t="shared" si="63"/>
        <v>Solid</v>
      </c>
    </row>
    <row r="980" spans="1:10" x14ac:dyDescent="0.3">
      <c r="A980" s="10">
        <f>'2_Clean_Data'!A977</f>
        <v>976</v>
      </c>
      <c r="B980" s="10">
        <f>INDEX('2_Clean_Data'!$M$2:$M$1360,MATCH($A980,'2_Clean_Data'!$A$2:$A$1360,0))</f>
        <v>5</v>
      </c>
      <c r="C980" s="9" t="str">
        <f t="shared" si="60"/>
        <v>Average</v>
      </c>
      <c r="D980" s="11">
        <f>INDEX('2_Clean_Data'!$L$2:$L$1360,MATCH($A980,'2_Clean_Data'!$A$2:$A$1360,0))</f>
        <v>10.1</v>
      </c>
      <c r="E980" s="9" t="str">
        <f>IF(D980&lt;'3_Summary_Tables'!$C$16,"Low",IF(D980&lt;'3_Summary_Tables'!$C$17,"Medium","High"))</f>
        <v>Medium</v>
      </c>
      <c r="F980" s="12">
        <f>INDEX('2_Clean_Data'!$C$2:$C$1360,MATCH($A980,'2_Clean_Data'!$A$2:$A$1360,0))</f>
        <v>0.32</v>
      </c>
      <c r="G980" s="10">
        <f>INDEX('2_Clean_Data'!$H$2:$H$1360,MATCH($A980,'2_Clean_Data'!$A$2:$A$1360,0))</f>
        <v>70</v>
      </c>
      <c r="H980" s="9" t="str">
        <f t="shared" si="61"/>
        <v>Moderate</v>
      </c>
      <c r="I980" s="9" t="str">
        <f t="shared" si="62"/>
        <v>OK</v>
      </c>
      <c r="J980" s="9" t="str">
        <f t="shared" si="63"/>
        <v>Standard</v>
      </c>
    </row>
    <row r="981" spans="1:10" x14ac:dyDescent="0.3">
      <c r="A981" s="10">
        <f>'2_Clean_Data'!A978</f>
        <v>977</v>
      </c>
      <c r="B981" s="10">
        <f>INDEX('2_Clean_Data'!$M$2:$M$1360,MATCH($A981,'2_Clean_Data'!$A$2:$A$1360,0))</f>
        <v>6</v>
      </c>
      <c r="C981" s="9" t="str">
        <f t="shared" si="60"/>
        <v>Above Average</v>
      </c>
      <c r="D981" s="11">
        <f>INDEX('2_Clean_Data'!$L$2:$L$1360,MATCH($A981,'2_Clean_Data'!$A$2:$A$1360,0))</f>
        <v>10.4</v>
      </c>
      <c r="E981" s="9" t="str">
        <f>IF(D981&lt;'3_Summary_Tables'!$C$16,"Low",IF(D981&lt;'3_Summary_Tables'!$C$17,"Medium","High"))</f>
        <v>Medium</v>
      </c>
      <c r="F981" s="12">
        <f>INDEX('2_Clean_Data'!$C$2:$C$1360,MATCH($A981,'2_Clean_Data'!$A$2:$A$1360,0))</f>
        <v>0.2</v>
      </c>
      <c r="G981" s="10">
        <f>INDEX('2_Clean_Data'!$H$2:$H$1360,MATCH($A981,'2_Clean_Data'!$A$2:$A$1360,0))</f>
        <v>51</v>
      </c>
      <c r="H981" s="9" t="str">
        <f t="shared" si="61"/>
        <v>Moderate</v>
      </c>
      <c r="I981" s="9" t="str">
        <f t="shared" si="62"/>
        <v>OK</v>
      </c>
      <c r="J981" s="9" t="str">
        <f t="shared" si="63"/>
        <v>Solid</v>
      </c>
    </row>
    <row r="982" spans="1:10" x14ac:dyDescent="0.3">
      <c r="A982" s="10">
        <f>'2_Clean_Data'!A979</f>
        <v>978</v>
      </c>
      <c r="B982" s="10">
        <f>INDEX('2_Clean_Data'!$M$2:$M$1360,MATCH($A982,'2_Clean_Data'!$A$2:$A$1360,0))</f>
        <v>6</v>
      </c>
      <c r="C982" s="9" t="str">
        <f t="shared" si="60"/>
        <v>Above Average</v>
      </c>
      <c r="D982" s="11">
        <f>INDEX('2_Clean_Data'!$L$2:$L$1360,MATCH($A982,'2_Clean_Data'!$A$2:$A$1360,0))</f>
        <v>9.8000000000000007</v>
      </c>
      <c r="E982" s="9" t="str">
        <f>IF(D982&lt;'3_Summary_Tables'!$C$16,"Low",IF(D982&lt;'3_Summary_Tables'!$C$17,"Medium","High"))</f>
        <v>Low</v>
      </c>
      <c r="F982" s="12">
        <f>INDEX('2_Clean_Data'!$C$2:$C$1360,MATCH($A982,'2_Clean_Data'!$A$2:$A$1360,0))</f>
        <v>0.5</v>
      </c>
      <c r="G982" s="10">
        <f>INDEX('2_Clean_Data'!$H$2:$H$1360,MATCH($A982,'2_Clean_Data'!$A$2:$A$1360,0))</f>
        <v>21</v>
      </c>
      <c r="H982" s="9" t="str">
        <f t="shared" si="61"/>
        <v>Low</v>
      </c>
      <c r="I982" s="9" t="str">
        <f t="shared" si="62"/>
        <v>OK</v>
      </c>
      <c r="J982" s="9" t="str">
        <f t="shared" si="63"/>
        <v>Solid</v>
      </c>
    </row>
    <row r="983" spans="1:10" x14ac:dyDescent="0.3">
      <c r="A983" s="10">
        <f>'2_Clean_Data'!A980</f>
        <v>979</v>
      </c>
      <c r="B983" s="10">
        <f>INDEX('2_Clean_Data'!$M$2:$M$1360,MATCH($A983,'2_Clean_Data'!$A$2:$A$1360,0))</f>
        <v>7</v>
      </c>
      <c r="C983" s="9" t="str">
        <f t="shared" si="60"/>
        <v>Good</v>
      </c>
      <c r="D983" s="11">
        <f>INDEX('2_Clean_Data'!$L$2:$L$1360,MATCH($A983,'2_Clean_Data'!$A$2:$A$1360,0))</f>
        <v>11.8</v>
      </c>
      <c r="E983" s="9" t="str">
        <f>IF(D983&lt;'3_Summary_Tables'!$C$16,"Low",IF(D983&lt;'3_Summary_Tables'!$C$17,"Medium","High"))</f>
        <v>High</v>
      </c>
      <c r="F983" s="12">
        <f>INDEX('2_Clean_Data'!$C$2:$C$1360,MATCH($A983,'2_Clean_Data'!$A$2:$A$1360,0))</f>
        <v>0.41</v>
      </c>
      <c r="G983" s="10">
        <f>INDEX('2_Clean_Data'!$H$2:$H$1360,MATCH($A983,'2_Clean_Data'!$A$2:$A$1360,0))</f>
        <v>14</v>
      </c>
      <c r="H983" s="9" t="str">
        <f t="shared" si="61"/>
        <v>Low</v>
      </c>
      <c r="I983" s="9" t="str">
        <f t="shared" si="62"/>
        <v>OK</v>
      </c>
      <c r="J983" s="9" t="str">
        <f t="shared" si="63"/>
        <v>Premium</v>
      </c>
    </row>
    <row r="984" spans="1:10" x14ac:dyDescent="0.3">
      <c r="A984" s="10">
        <f>'2_Clean_Data'!A981</f>
        <v>980</v>
      </c>
      <c r="B984" s="10">
        <f>INDEX('2_Clean_Data'!$M$2:$M$1360,MATCH($A984,'2_Clean_Data'!$A$2:$A$1360,0))</f>
        <v>6</v>
      </c>
      <c r="C984" s="9" t="str">
        <f t="shared" si="60"/>
        <v>Above Average</v>
      </c>
      <c r="D984" s="11">
        <f>INDEX('2_Clean_Data'!$L$2:$L$1360,MATCH($A984,'2_Clean_Data'!$A$2:$A$1360,0))</f>
        <v>11.6</v>
      </c>
      <c r="E984" s="9" t="str">
        <f>IF(D984&lt;'3_Summary_Tables'!$C$16,"Low",IF(D984&lt;'3_Summary_Tables'!$C$17,"Medium","High"))</f>
        <v>High</v>
      </c>
      <c r="F984" s="12">
        <f>INDEX('2_Clean_Data'!$C$2:$C$1360,MATCH($A984,'2_Clean_Data'!$A$2:$A$1360,0))</f>
        <v>0.39</v>
      </c>
      <c r="G984" s="10">
        <f>INDEX('2_Clean_Data'!$H$2:$H$1360,MATCH($A984,'2_Clean_Data'!$A$2:$A$1360,0))</f>
        <v>21</v>
      </c>
      <c r="H984" s="9" t="str">
        <f t="shared" si="61"/>
        <v>Low</v>
      </c>
      <c r="I984" s="9" t="str">
        <f t="shared" si="62"/>
        <v>OK</v>
      </c>
      <c r="J984" s="9" t="str">
        <f t="shared" si="63"/>
        <v>Solid</v>
      </c>
    </row>
    <row r="985" spans="1:10" x14ac:dyDescent="0.3">
      <c r="A985" s="10">
        <f>'2_Clean_Data'!A982</f>
        <v>981</v>
      </c>
      <c r="B985" s="10">
        <f>INDEX('2_Clean_Data'!$M$2:$M$1360,MATCH($A985,'2_Clean_Data'!$A$2:$A$1360,0))</f>
        <v>6</v>
      </c>
      <c r="C985" s="9" t="str">
        <f t="shared" si="60"/>
        <v>Above Average</v>
      </c>
      <c r="D985" s="11">
        <f>INDEX('2_Clean_Data'!$L$2:$L$1360,MATCH($A985,'2_Clean_Data'!$A$2:$A$1360,0))</f>
        <v>12</v>
      </c>
      <c r="E985" s="9" t="str">
        <f>IF(D985&lt;'3_Summary_Tables'!$C$16,"Low",IF(D985&lt;'3_Summary_Tables'!$C$17,"Medium","High"))</f>
        <v>High</v>
      </c>
      <c r="F985" s="12">
        <f>INDEX('2_Clean_Data'!$C$2:$C$1360,MATCH($A985,'2_Clean_Data'!$A$2:$A$1360,0))</f>
        <v>0.35</v>
      </c>
      <c r="G985" s="10">
        <f>INDEX('2_Clean_Data'!$H$2:$H$1360,MATCH($A985,'2_Clean_Data'!$A$2:$A$1360,0))</f>
        <v>11</v>
      </c>
      <c r="H985" s="9" t="str">
        <f t="shared" si="61"/>
        <v>Low</v>
      </c>
      <c r="I985" s="9" t="str">
        <f t="shared" si="62"/>
        <v>OK</v>
      </c>
      <c r="J985" s="9" t="str">
        <f t="shared" si="63"/>
        <v>Solid</v>
      </c>
    </row>
    <row r="986" spans="1:10" x14ac:dyDescent="0.3">
      <c r="A986" s="10">
        <f>'2_Clean_Data'!A983</f>
        <v>982</v>
      </c>
      <c r="B986" s="10">
        <f>INDEX('2_Clean_Data'!$M$2:$M$1360,MATCH($A986,'2_Clean_Data'!$A$2:$A$1360,0))</f>
        <v>7</v>
      </c>
      <c r="C986" s="9" t="str">
        <f t="shared" si="60"/>
        <v>Good</v>
      </c>
      <c r="D986" s="11">
        <f>INDEX('2_Clean_Data'!$L$2:$L$1360,MATCH($A986,'2_Clean_Data'!$A$2:$A$1360,0))</f>
        <v>12.8</v>
      </c>
      <c r="E986" s="9" t="str">
        <f>IF(D986&lt;'3_Summary_Tables'!$C$16,"Low",IF(D986&lt;'3_Summary_Tables'!$C$17,"Medium","High"))</f>
        <v>High</v>
      </c>
      <c r="F986" s="12">
        <f>INDEX('2_Clean_Data'!$C$2:$C$1360,MATCH($A986,'2_Clean_Data'!$A$2:$A$1360,0))</f>
        <v>0.33</v>
      </c>
      <c r="G986" s="10">
        <f>INDEX('2_Clean_Data'!$H$2:$H$1360,MATCH($A986,'2_Clean_Data'!$A$2:$A$1360,0))</f>
        <v>12</v>
      </c>
      <c r="H986" s="9" t="str">
        <f t="shared" si="61"/>
        <v>Low</v>
      </c>
      <c r="I986" s="9" t="str">
        <f t="shared" si="62"/>
        <v>OK</v>
      </c>
      <c r="J986" s="9" t="str">
        <f t="shared" si="63"/>
        <v>Premium</v>
      </c>
    </row>
    <row r="987" spans="1:10" x14ac:dyDescent="0.3">
      <c r="A987" s="10">
        <f>'2_Clean_Data'!A984</f>
        <v>983</v>
      </c>
      <c r="B987" s="10">
        <f>INDEX('2_Clean_Data'!$M$2:$M$1360,MATCH($A987,'2_Clean_Data'!$A$2:$A$1360,0))</f>
        <v>6</v>
      </c>
      <c r="C987" s="9" t="str">
        <f t="shared" si="60"/>
        <v>Above Average</v>
      </c>
      <c r="D987" s="11">
        <f>INDEX('2_Clean_Data'!$L$2:$L$1360,MATCH($A987,'2_Clean_Data'!$A$2:$A$1360,0))</f>
        <v>12.5</v>
      </c>
      <c r="E987" s="9" t="str">
        <f>IF(D987&lt;'3_Summary_Tables'!$C$16,"Low",IF(D987&lt;'3_Summary_Tables'!$C$17,"Medium","High"))</f>
        <v>High</v>
      </c>
      <c r="F987" s="12">
        <f>INDEX('2_Clean_Data'!$C$2:$C$1360,MATCH($A987,'2_Clean_Data'!$A$2:$A$1360,0))</f>
        <v>0.57999999999999996</v>
      </c>
      <c r="G987" s="10">
        <f>INDEX('2_Clean_Data'!$H$2:$H$1360,MATCH($A987,'2_Clean_Data'!$A$2:$A$1360,0))</f>
        <v>70</v>
      </c>
      <c r="H987" s="9" t="str">
        <f t="shared" si="61"/>
        <v>Moderate</v>
      </c>
      <c r="I987" s="9" t="str">
        <f t="shared" si="62"/>
        <v>OK</v>
      </c>
      <c r="J987" s="9" t="str">
        <f t="shared" si="63"/>
        <v>Solid</v>
      </c>
    </row>
    <row r="988" spans="1:10" x14ac:dyDescent="0.3">
      <c r="A988" s="10">
        <f>'2_Clean_Data'!A985</f>
        <v>984</v>
      </c>
      <c r="B988" s="10">
        <f>INDEX('2_Clean_Data'!$M$2:$M$1360,MATCH($A988,'2_Clean_Data'!$A$2:$A$1360,0))</f>
        <v>5</v>
      </c>
      <c r="C988" s="9" t="str">
        <f t="shared" si="60"/>
        <v>Average</v>
      </c>
      <c r="D988" s="11">
        <f>INDEX('2_Clean_Data'!$L$2:$L$1360,MATCH($A988,'2_Clean_Data'!$A$2:$A$1360,0))</f>
        <v>9.8000000000000007</v>
      </c>
      <c r="E988" s="9" t="str">
        <f>IF(D988&lt;'3_Summary_Tables'!$C$16,"Low",IF(D988&lt;'3_Summary_Tables'!$C$17,"Medium","High"))</f>
        <v>Low</v>
      </c>
      <c r="F988" s="12">
        <f>INDEX('2_Clean_Data'!$C$2:$C$1360,MATCH($A988,'2_Clean_Data'!$A$2:$A$1360,0))</f>
        <v>0.6</v>
      </c>
      <c r="G988" s="10">
        <f>INDEX('2_Clean_Data'!$H$2:$H$1360,MATCH($A988,'2_Clean_Data'!$A$2:$A$1360,0))</f>
        <v>38</v>
      </c>
      <c r="H988" s="9" t="str">
        <f t="shared" si="61"/>
        <v>Low</v>
      </c>
      <c r="I988" s="9" t="str">
        <f t="shared" si="62"/>
        <v>OK</v>
      </c>
      <c r="J988" s="9" t="str">
        <f t="shared" si="63"/>
        <v>Standard</v>
      </c>
    </row>
    <row r="989" spans="1:10" x14ac:dyDescent="0.3">
      <c r="A989" s="10">
        <f>'2_Clean_Data'!A986</f>
        <v>985</v>
      </c>
      <c r="B989" s="10">
        <f>INDEX('2_Clean_Data'!$M$2:$M$1360,MATCH($A989,'2_Clean_Data'!$A$2:$A$1360,0))</f>
        <v>6</v>
      </c>
      <c r="C989" s="9" t="str">
        <f t="shared" si="60"/>
        <v>Above Average</v>
      </c>
      <c r="D989" s="11">
        <f>INDEX('2_Clean_Data'!$L$2:$L$1360,MATCH($A989,'2_Clean_Data'!$A$2:$A$1360,0))</f>
        <v>11.1</v>
      </c>
      <c r="E989" s="9" t="str">
        <f>IF(D989&lt;'3_Summary_Tables'!$C$16,"Low",IF(D989&lt;'3_Summary_Tables'!$C$17,"Medium","High"))</f>
        <v>Medium</v>
      </c>
      <c r="F989" s="12">
        <f>INDEX('2_Clean_Data'!$C$2:$C$1360,MATCH($A989,'2_Clean_Data'!$A$2:$A$1360,0))</f>
        <v>0.42</v>
      </c>
      <c r="G989" s="10">
        <f>INDEX('2_Clean_Data'!$H$2:$H$1360,MATCH($A989,'2_Clean_Data'!$A$2:$A$1360,0))</f>
        <v>38</v>
      </c>
      <c r="H989" s="9" t="str">
        <f t="shared" si="61"/>
        <v>Low</v>
      </c>
      <c r="I989" s="9" t="str">
        <f t="shared" si="62"/>
        <v>OK</v>
      </c>
      <c r="J989" s="9" t="str">
        <f t="shared" si="63"/>
        <v>Solid</v>
      </c>
    </row>
    <row r="990" spans="1:10" x14ac:dyDescent="0.3">
      <c r="A990" s="10">
        <f>'2_Clean_Data'!A987</f>
        <v>986</v>
      </c>
      <c r="B990" s="10">
        <f>INDEX('2_Clean_Data'!$M$2:$M$1360,MATCH($A990,'2_Clean_Data'!$A$2:$A$1360,0))</f>
        <v>6</v>
      </c>
      <c r="C990" s="9" t="str">
        <f t="shared" si="60"/>
        <v>Above Average</v>
      </c>
      <c r="D990" s="11">
        <f>INDEX('2_Clean_Data'!$L$2:$L$1360,MATCH($A990,'2_Clean_Data'!$A$2:$A$1360,0))</f>
        <v>11.4</v>
      </c>
      <c r="E990" s="9" t="str">
        <f>IF(D990&lt;'3_Summary_Tables'!$C$16,"Low",IF(D990&lt;'3_Summary_Tables'!$C$17,"Medium","High"))</f>
        <v>Medium</v>
      </c>
      <c r="F990" s="12">
        <f>INDEX('2_Clean_Data'!$C$2:$C$1360,MATCH($A990,'2_Clean_Data'!$A$2:$A$1360,0))</f>
        <v>0.57999999999999996</v>
      </c>
      <c r="G990" s="10">
        <f>INDEX('2_Clean_Data'!$H$2:$H$1360,MATCH($A990,'2_Clean_Data'!$A$2:$A$1360,0))</f>
        <v>63</v>
      </c>
      <c r="H990" s="9" t="str">
        <f t="shared" si="61"/>
        <v>Moderate</v>
      </c>
      <c r="I990" s="9" t="str">
        <f t="shared" si="62"/>
        <v>OK</v>
      </c>
      <c r="J990" s="9" t="str">
        <f t="shared" si="63"/>
        <v>Solid</v>
      </c>
    </row>
    <row r="991" spans="1:10" x14ac:dyDescent="0.3">
      <c r="A991" s="10">
        <f>'2_Clean_Data'!A988</f>
        <v>987</v>
      </c>
      <c r="B991" s="10">
        <f>INDEX('2_Clean_Data'!$M$2:$M$1360,MATCH($A991,'2_Clean_Data'!$A$2:$A$1360,0))</f>
        <v>7</v>
      </c>
      <c r="C991" s="9" t="str">
        <f t="shared" si="60"/>
        <v>Good</v>
      </c>
      <c r="D991" s="11">
        <f>INDEX('2_Clean_Data'!$L$2:$L$1360,MATCH($A991,'2_Clean_Data'!$A$2:$A$1360,0))</f>
        <v>11.8</v>
      </c>
      <c r="E991" s="9" t="str">
        <f>IF(D991&lt;'3_Summary_Tables'!$C$16,"Low",IF(D991&lt;'3_Summary_Tables'!$C$17,"Medium","High"))</f>
        <v>High</v>
      </c>
      <c r="F991" s="12">
        <f>INDEX('2_Clean_Data'!$C$2:$C$1360,MATCH($A991,'2_Clean_Data'!$A$2:$A$1360,0))</f>
        <v>0.18</v>
      </c>
      <c r="G991" s="10">
        <f>INDEX('2_Clean_Data'!$H$2:$H$1360,MATCH($A991,'2_Clean_Data'!$A$2:$A$1360,0))</f>
        <v>88</v>
      </c>
      <c r="H991" s="9" t="str">
        <f t="shared" si="61"/>
        <v>Moderate</v>
      </c>
      <c r="I991" s="9" t="str">
        <f t="shared" si="62"/>
        <v>OK</v>
      </c>
      <c r="J991" s="9" t="str">
        <f t="shared" si="63"/>
        <v>Premium</v>
      </c>
    </row>
    <row r="992" spans="1:10" x14ac:dyDescent="0.3">
      <c r="A992" s="10">
        <f>'2_Clean_Data'!A989</f>
        <v>988</v>
      </c>
      <c r="B992" s="10">
        <f>INDEX('2_Clean_Data'!$M$2:$M$1360,MATCH($A992,'2_Clean_Data'!$A$2:$A$1360,0))</f>
        <v>7</v>
      </c>
      <c r="C992" s="9" t="str">
        <f t="shared" si="60"/>
        <v>Good</v>
      </c>
      <c r="D992" s="11">
        <f>INDEX('2_Clean_Data'!$L$2:$L$1360,MATCH($A992,'2_Clean_Data'!$A$2:$A$1360,0))</f>
        <v>12.9</v>
      </c>
      <c r="E992" s="9" t="str">
        <f>IF(D992&lt;'3_Summary_Tables'!$C$16,"Low",IF(D992&lt;'3_Summary_Tables'!$C$17,"Medium","High"))</f>
        <v>High</v>
      </c>
      <c r="F992" s="12">
        <f>INDEX('2_Clean_Data'!$C$2:$C$1360,MATCH($A992,'2_Clean_Data'!$A$2:$A$1360,0))</f>
        <v>0.51</v>
      </c>
      <c r="G992" s="10">
        <f>INDEX('2_Clean_Data'!$H$2:$H$1360,MATCH($A992,'2_Clean_Data'!$A$2:$A$1360,0))</f>
        <v>101</v>
      </c>
      <c r="H992" s="9" t="str">
        <f t="shared" si="61"/>
        <v>High</v>
      </c>
      <c r="I992" s="9" t="str">
        <f t="shared" si="62"/>
        <v>OK</v>
      </c>
      <c r="J992" s="9" t="str">
        <f t="shared" si="63"/>
        <v>Premium</v>
      </c>
    </row>
    <row r="993" spans="1:10" x14ac:dyDescent="0.3">
      <c r="A993" s="10">
        <f>'2_Clean_Data'!A990</f>
        <v>989</v>
      </c>
      <c r="B993" s="10">
        <f>INDEX('2_Clean_Data'!$M$2:$M$1360,MATCH($A993,'2_Clean_Data'!$A$2:$A$1360,0))</f>
        <v>6</v>
      </c>
      <c r="C993" s="9" t="str">
        <f t="shared" si="60"/>
        <v>Above Average</v>
      </c>
      <c r="D993" s="11">
        <f>INDEX('2_Clean_Data'!$L$2:$L$1360,MATCH($A993,'2_Clean_Data'!$A$2:$A$1360,0))</f>
        <v>10.6</v>
      </c>
      <c r="E993" s="9" t="str">
        <f>IF(D993&lt;'3_Summary_Tables'!$C$16,"Low",IF(D993&lt;'3_Summary_Tables'!$C$17,"Medium","High"))</f>
        <v>Medium</v>
      </c>
      <c r="F993" s="12">
        <f>INDEX('2_Clean_Data'!$C$2:$C$1360,MATCH($A993,'2_Clean_Data'!$A$2:$A$1360,0))</f>
        <v>0.41</v>
      </c>
      <c r="G993" s="10">
        <f>INDEX('2_Clean_Data'!$H$2:$H$1360,MATCH($A993,'2_Clean_Data'!$A$2:$A$1360,0))</f>
        <v>54</v>
      </c>
      <c r="H993" s="9" t="str">
        <f t="shared" si="61"/>
        <v>Moderate</v>
      </c>
      <c r="I993" s="9" t="str">
        <f t="shared" si="62"/>
        <v>OK</v>
      </c>
      <c r="J993" s="9" t="str">
        <f t="shared" si="63"/>
        <v>Solid</v>
      </c>
    </row>
    <row r="994" spans="1:10" x14ac:dyDescent="0.3">
      <c r="A994" s="10">
        <f>'2_Clean_Data'!A991</f>
        <v>990</v>
      </c>
      <c r="B994" s="10">
        <f>INDEX('2_Clean_Data'!$M$2:$M$1360,MATCH($A994,'2_Clean_Data'!$A$2:$A$1360,0))</f>
        <v>5</v>
      </c>
      <c r="C994" s="9" t="str">
        <f t="shared" si="60"/>
        <v>Average</v>
      </c>
      <c r="D994" s="11">
        <f>INDEX('2_Clean_Data'!$L$2:$L$1360,MATCH($A994,'2_Clean_Data'!$A$2:$A$1360,0))</f>
        <v>10.8</v>
      </c>
      <c r="E994" s="9" t="str">
        <f>IF(D994&lt;'3_Summary_Tables'!$C$16,"Low",IF(D994&lt;'3_Summary_Tables'!$C$17,"Medium","High"))</f>
        <v>Medium</v>
      </c>
      <c r="F994" s="12">
        <f>INDEX('2_Clean_Data'!$C$2:$C$1360,MATCH($A994,'2_Clean_Data'!$A$2:$A$1360,0))</f>
        <v>0.41</v>
      </c>
      <c r="G994" s="10">
        <f>INDEX('2_Clean_Data'!$H$2:$H$1360,MATCH($A994,'2_Clean_Data'!$A$2:$A$1360,0))</f>
        <v>37</v>
      </c>
      <c r="H994" s="9" t="str">
        <f t="shared" si="61"/>
        <v>Low</v>
      </c>
      <c r="I994" s="9" t="str">
        <f t="shared" si="62"/>
        <v>OK</v>
      </c>
      <c r="J994" s="9" t="str">
        <f t="shared" si="63"/>
        <v>Standard</v>
      </c>
    </row>
    <row r="995" spans="1:10" x14ac:dyDescent="0.3">
      <c r="A995" s="10">
        <f>'2_Clean_Data'!A992</f>
        <v>991</v>
      </c>
      <c r="B995" s="10">
        <f>INDEX('2_Clean_Data'!$M$2:$M$1360,MATCH($A995,'2_Clean_Data'!$A$2:$A$1360,0))</f>
        <v>7</v>
      </c>
      <c r="C995" s="9" t="str">
        <f t="shared" si="60"/>
        <v>Good</v>
      </c>
      <c r="D995" s="11">
        <f>INDEX('2_Clean_Data'!$L$2:$L$1360,MATCH($A995,'2_Clean_Data'!$A$2:$A$1360,0))</f>
        <v>11.1</v>
      </c>
      <c r="E995" s="9" t="str">
        <f>IF(D995&lt;'3_Summary_Tables'!$C$16,"Low",IF(D995&lt;'3_Summary_Tables'!$C$17,"Medium","High"))</f>
        <v>Medium</v>
      </c>
      <c r="F995" s="12">
        <f>INDEX('2_Clean_Data'!$C$2:$C$1360,MATCH($A995,'2_Clean_Data'!$A$2:$A$1360,0))</f>
        <v>0.36</v>
      </c>
      <c r="G995" s="10">
        <f>INDEX('2_Clean_Data'!$H$2:$H$1360,MATCH($A995,'2_Clean_Data'!$A$2:$A$1360,0))</f>
        <v>20</v>
      </c>
      <c r="H995" s="9" t="str">
        <f t="shared" si="61"/>
        <v>Low</v>
      </c>
      <c r="I995" s="9" t="str">
        <f t="shared" si="62"/>
        <v>OK</v>
      </c>
      <c r="J995" s="9" t="str">
        <f t="shared" si="63"/>
        <v>Solid</v>
      </c>
    </row>
    <row r="996" spans="1:10" x14ac:dyDescent="0.3">
      <c r="A996" s="10">
        <f>'2_Clean_Data'!A993</f>
        <v>992</v>
      </c>
      <c r="B996" s="10">
        <f>INDEX('2_Clean_Data'!$M$2:$M$1360,MATCH($A996,'2_Clean_Data'!$A$2:$A$1360,0))</f>
        <v>6</v>
      </c>
      <c r="C996" s="9" t="str">
        <f t="shared" si="60"/>
        <v>Above Average</v>
      </c>
      <c r="D996" s="11">
        <f>INDEX('2_Clean_Data'!$L$2:$L$1360,MATCH($A996,'2_Clean_Data'!$A$2:$A$1360,0))</f>
        <v>10.199999999999999</v>
      </c>
      <c r="E996" s="9" t="str">
        <f>IF(D996&lt;'3_Summary_Tables'!$C$16,"Low",IF(D996&lt;'3_Summary_Tables'!$C$17,"Medium","High"))</f>
        <v>Medium</v>
      </c>
      <c r="F996" s="12">
        <f>INDEX('2_Clean_Data'!$C$2:$C$1360,MATCH($A996,'2_Clean_Data'!$A$2:$A$1360,0))</f>
        <v>0.45</v>
      </c>
      <c r="G996" s="10">
        <f>INDEX('2_Clean_Data'!$H$2:$H$1360,MATCH($A996,'2_Clean_Data'!$A$2:$A$1360,0))</f>
        <v>21</v>
      </c>
      <c r="H996" s="9" t="str">
        <f t="shared" si="61"/>
        <v>Low</v>
      </c>
      <c r="I996" s="9" t="str">
        <f t="shared" si="62"/>
        <v>OK</v>
      </c>
      <c r="J996" s="9" t="str">
        <f t="shared" si="63"/>
        <v>Solid</v>
      </c>
    </row>
    <row r="997" spans="1:10" x14ac:dyDescent="0.3">
      <c r="A997" s="10">
        <f>'2_Clean_Data'!A994</f>
        <v>993</v>
      </c>
      <c r="B997" s="10">
        <f>INDEX('2_Clean_Data'!$M$2:$M$1360,MATCH($A997,'2_Clean_Data'!$A$2:$A$1360,0))</f>
        <v>7</v>
      </c>
      <c r="C997" s="9" t="str">
        <f t="shared" si="60"/>
        <v>Good</v>
      </c>
      <c r="D997" s="11">
        <f>INDEX('2_Clean_Data'!$L$2:$L$1360,MATCH($A997,'2_Clean_Data'!$A$2:$A$1360,0))</f>
        <v>11.8</v>
      </c>
      <c r="E997" s="9" t="str">
        <f>IF(D997&lt;'3_Summary_Tables'!$C$16,"Low",IF(D997&lt;'3_Summary_Tables'!$C$17,"Medium","High"))</f>
        <v>High</v>
      </c>
      <c r="F997" s="12">
        <f>INDEX('2_Clean_Data'!$C$2:$C$1360,MATCH($A997,'2_Clean_Data'!$A$2:$A$1360,0))</f>
        <v>0.32</v>
      </c>
      <c r="G997" s="10">
        <f>INDEX('2_Clean_Data'!$H$2:$H$1360,MATCH($A997,'2_Clean_Data'!$A$2:$A$1360,0))</f>
        <v>19</v>
      </c>
      <c r="H997" s="9" t="str">
        <f t="shared" si="61"/>
        <v>Low</v>
      </c>
      <c r="I997" s="9" t="str">
        <f t="shared" si="62"/>
        <v>OK</v>
      </c>
      <c r="J997" s="9" t="str">
        <f t="shared" si="63"/>
        <v>Premium</v>
      </c>
    </row>
    <row r="998" spans="1:10" x14ac:dyDescent="0.3">
      <c r="A998" s="10">
        <f>'2_Clean_Data'!A995</f>
        <v>994</v>
      </c>
      <c r="B998" s="10">
        <f>INDEX('2_Clean_Data'!$M$2:$M$1360,MATCH($A998,'2_Clean_Data'!$A$2:$A$1360,0))</f>
        <v>5</v>
      </c>
      <c r="C998" s="9" t="str">
        <f t="shared" si="60"/>
        <v>Average</v>
      </c>
      <c r="D998" s="11">
        <f>INDEX('2_Clean_Data'!$L$2:$L$1360,MATCH($A998,'2_Clean_Data'!$A$2:$A$1360,0))</f>
        <v>10</v>
      </c>
      <c r="E998" s="9" t="str">
        <f>IF(D998&lt;'3_Summary_Tables'!$C$16,"Low",IF(D998&lt;'3_Summary_Tables'!$C$17,"Medium","High"))</f>
        <v>Medium</v>
      </c>
      <c r="F998" s="12">
        <f>INDEX('2_Clean_Data'!$C$2:$C$1360,MATCH($A998,'2_Clean_Data'!$A$2:$A$1360,0))</f>
        <v>0.78500000000000003</v>
      </c>
      <c r="G998" s="10">
        <f>INDEX('2_Clean_Data'!$H$2:$H$1360,MATCH($A998,'2_Clean_Data'!$A$2:$A$1360,0))</f>
        <v>21</v>
      </c>
      <c r="H998" s="9" t="str">
        <f t="shared" si="61"/>
        <v>Low</v>
      </c>
      <c r="I998" s="9" t="str">
        <f t="shared" si="62"/>
        <v>Above limit</v>
      </c>
      <c r="J998" s="9" t="str">
        <f t="shared" si="63"/>
        <v>Standard</v>
      </c>
    </row>
    <row r="999" spans="1:10" x14ac:dyDescent="0.3">
      <c r="A999" s="10">
        <f>'2_Clean_Data'!A996</f>
        <v>995</v>
      </c>
      <c r="B999" s="10">
        <f>INDEX('2_Clean_Data'!$M$2:$M$1360,MATCH($A999,'2_Clean_Data'!$A$2:$A$1360,0))</f>
        <v>5</v>
      </c>
      <c r="C999" s="9" t="str">
        <f t="shared" si="60"/>
        <v>Average</v>
      </c>
      <c r="D999" s="11">
        <f>INDEX('2_Clean_Data'!$L$2:$L$1360,MATCH($A999,'2_Clean_Data'!$A$2:$A$1360,0))</f>
        <v>9.4</v>
      </c>
      <c r="E999" s="9" t="str">
        <f>IF(D999&lt;'3_Summary_Tables'!$C$16,"Low",IF(D999&lt;'3_Summary_Tables'!$C$17,"Medium","High"))</f>
        <v>Low</v>
      </c>
      <c r="F999" s="12">
        <f>INDEX('2_Clean_Data'!$C$2:$C$1360,MATCH($A999,'2_Clean_Data'!$A$2:$A$1360,0))</f>
        <v>0.44</v>
      </c>
      <c r="G999" s="10">
        <f>INDEX('2_Clean_Data'!$H$2:$H$1360,MATCH($A999,'2_Clean_Data'!$A$2:$A$1360,0))</f>
        <v>38</v>
      </c>
      <c r="H999" s="9" t="str">
        <f t="shared" si="61"/>
        <v>Low</v>
      </c>
      <c r="I999" s="9" t="str">
        <f t="shared" si="62"/>
        <v>OK</v>
      </c>
      <c r="J999" s="9" t="str">
        <f t="shared" si="63"/>
        <v>Standard</v>
      </c>
    </row>
    <row r="1000" spans="1:10" x14ac:dyDescent="0.3">
      <c r="A1000" s="10">
        <f>'2_Clean_Data'!A997</f>
        <v>996</v>
      </c>
      <c r="B1000" s="10">
        <f>INDEX('2_Clean_Data'!$M$2:$M$1360,MATCH($A1000,'2_Clean_Data'!$A$2:$A$1360,0))</f>
        <v>5</v>
      </c>
      <c r="C1000" s="9" t="str">
        <f t="shared" si="60"/>
        <v>Average</v>
      </c>
      <c r="D1000" s="11">
        <f>INDEX('2_Clean_Data'!$L$2:$L$1360,MATCH($A1000,'2_Clean_Data'!$A$2:$A$1360,0))</f>
        <v>10.199999999999999</v>
      </c>
      <c r="E1000" s="9" t="str">
        <f>IF(D1000&lt;'3_Summary_Tables'!$C$16,"Low",IF(D1000&lt;'3_Summary_Tables'!$C$17,"Medium","High"))</f>
        <v>Medium</v>
      </c>
      <c r="F1000" s="12">
        <f>INDEX('2_Clean_Data'!$C$2:$C$1360,MATCH($A1000,'2_Clean_Data'!$A$2:$A$1360,0))</f>
        <v>0.54</v>
      </c>
      <c r="G1000" s="10">
        <f>INDEX('2_Clean_Data'!$H$2:$H$1360,MATCH($A1000,'2_Clean_Data'!$A$2:$A$1360,0))</f>
        <v>60</v>
      </c>
      <c r="H1000" s="9" t="str">
        <f t="shared" si="61"/>
        <v>Moderate</v>
      </c>
      <c r="I1000" s="9" t="str">
        <f t="shared" si="62"/>
        <v>OK</v>
      </c>
      <c r="J1000" s="9" t="str">
        <f t="shared" si="63"/>
        <v>Standard</v>
      </c>
    </row>
    <row r="1001" spans="1:10" x14ac:dyDescent="0.3">
      <c r="A1001" s="10">
        <f>'2_Clean_Data'!A998</f>
        <v>997</v>
      </c>
      <c r="B1001" s="10">
        <f>INDEX('2_Clean_Data'!$M$2:$M$1360,MATCH($A1001,'2_Clean_Data'!$A$2:$A$1360,0))</f>
        <v>7</v>
      </c>
      <c r="C1001" s="9" t="str">
        <f t="shared" si="60"/>
        <v>Good</v>
      </c>
      <c r="D1001" s="11">
        <f>INDEX('2_Clean_Data'!$L$2:$L$1360,MATCH($A1001,'2_Clean_Data'!$A$2:$A$1360,0))</f>
        <v>12.4</v>
      </c>
      <c r="E1001" s="9" t="str">
        <f>IF(D1001&lt;'3_Summary_Tables'!$C$16,"Low",IF(D1001&lt;'3_Summary_Tables'!$C$17,"Medium","High"))</f>
        <v>High</v>
      </c>
      <c r="F1001" s="12">
        <f>INDEX('2_Clean_Data'!$C$2:$C$1360,MATCH($A1001,'2_Clean_Data'!$A$2:$A$1360,0))</f>
        <v>0.33</v>
      </c>
      <c r="G1001" s="10">
        <f>INDEX('2_Clean_Data'!$H$2:$H$1360,MATCH($A1001,'2_Clean_Data'!$A$2:$A$1360,0))</f>
        <v>48</v>
      </c>
      <c r="H1001" s="9" t="str">
        <f t="shared" si="61"/>
        <v>Low</v>
      </c>
      <c r="I1001" s="9" t="str">
        <f t="shared" si="62"/>
        <v>OK</v>
      </c>
      <c r="J1001" s="9" t="str">
        <f t="shared" si="63"/>
        <v>Premium</v>
      </c>
    </row>
    <row r="1002" spans="1:10" x14ac:dyDescent="0.3">
      <c r="A1002" s="10">
        <f>'2_Clean_Data'!A999</f>
        <v>998</v>
      </c>
      <c r="B1002" s="10">
        <f>INDEX('2_Clean_Data'!$M$2:$M$1360,MATCH($A1002,'2_Clean_Data'!$A$2:$A$1360,0))</f>
        <v>6</v>
      </c>
      <c r="C1002" s="9" t="str">
        <f t="shared" si="60"/>
        <v>Above Average</v>
      </c>
      <c r="D1002" s="11">
        <f>INDEX('2_Clean_Data'!$L$2:$L$1360,MATCH($A1002,'2_Clean_Data'!$A$2:$A$1360,0))</f>
        <v>12</v>
      </c>
      <c r="E1002" s="9" t="str">
        <f>IF(D1002&lt;'3_Summary_Tables'!$C$16,"Low",IF(D1002&lt;'3_Summary_Tables'!$C$17,"Medium","High"))</f>
        <v>High</v>
      </c>
      <c r="F1002" s="12">
        <f>INDEX('2_Clean_Data'!$C$2:$C$1360,MATCH($A1002,'2_Clean_Data'!$A$2:$A$1360,0))</f>
        <v>0.34</v>
      </c>
      <c r="G1002" s="10">
        <f>INDEX('2_Clean_Data'!$H$2:$H$1360,MATCH($A1002,'2_Clean_Data'!$A$2:$A$1360,0))</f>
        <v>44</v>
      </c>
      <c r="H1002" s="9" t="str">
        <f t="shared" si="61"/>
        <v>Low</v>
      </c>
      <c r="I1002" s="9" t="str">
        <f t="shared" si="62"/>
        <v>OK</v>
      </c>
      <c r="J1002" s="9" t="str">
        <f t="shared" si="63"/>
        <v>Solid</v>
      </c>
    </row>
    <row r="1003" spans="1:10" x14ac:dyDescent="0.3">
      <c r="A1003" s="10">
        <f>'2_Clean_Data'!A1000</f>
        <v>999</v>
      </c>
      <c r="B1003" s="10">
        <f>INDEX('2_Clean_Data'!$M$2:$M$1360,MATCH($A1003,'2_Clean_Data'!$A$2:$A$1360,0))</f>
        <v>6</v>
      </c>
      <c r="C1003" s="9" t="str">
        <f t="shared" si="60"/>
        <v>Above Average</v>
      </c>
      <c r="D1003" s="11">
        <f>INDEX('2_Clean_Data'!$L$2:$L$1360,MATCH($A1003,'2_Clean_Data'!$A$2:$A$1360,0))</f>
        <v>11.5</v>
      </c>
      <c r="E1003" s="9" t="str">
        <f>IF(D1003&lt;'3_Summary_Tables'!$C$16,"Low",IF(D1003&lt;'3_Summary_Tables'!$C$17,"Medium","High"))</f>
        <v>High</v>
      </c>
      <c r="F1003" s="12">
        <f>INDEX('2_Clean_Data'!$C$2:$C$1360,MATCH($A1003,'2_Clean_Data'!$A$2:$A$1360,0))</f>
        <v>0.5</v>
      </c>
      <c r="G1003" s="10">
        <f>INDEX('2_Clean_Data'!$H$2:$H$1360,MATCH($A1003,'2_Clean_Data'!$A$2:$A$1360,0))</f>
        <v>14</v>
      </c>
      <c r="H1003" s="9" t="str">
        <f t="shared" si="61"/>
        <v>Low</v>
      </c>
      <c r="I1003" s="9" t="str">
        <f t="shared" si="62"/>
        <v>OK</v>
      </c>
      <c r="J1003" s="9" t="str">
        <f t="shared" si="63"/>
        <v>Solid</v>
      </c>
    </row>
    <row r="1004" spans="1:10" x14ac:dyDescent="0.3">
      <c r="A1004" s="10">
        <f>'2_Clean_Data'!A1001</f>
        <v>1000</v>
      </c>
      <c r="B1004" s="10">
        <f>INDEX('2_Clean_Data'!$M$2:$M$1360,MATCH($A1004,'2_Clean_Data'!$A$2:$A$1360,0))</f>
        <v>6</v>
      </c>
      <c r="C1004" s="9" t="str">
        <f t="shared" si="60"/>
        <v>Above Average</v>
      </c>
      <c r="D1004" s="11">
        <f>INDEX('2_Clean_Data'!$L$2:$L$1360,MATCH($A1004,'2_Clean_Data'!$A$2:$A$1360,0))</f>
        <v>10.5</v>
      </c>
      <c r="E1004" s="9" t="str">
        <f>IF(D1004&lt;'3_Summary_Tables'!$C$16,"Low",IF(D1004&lt;'3_Summary_Tables'!$C$17,"Medium","High"))</f>
        <v>Medium</v>
      </c>
      <c r="F1004" s="12">
        <f>INDEX('2_Clean_Data'!$C$2:$C$1360,MATCH($A1004,'2_Clean_Data'!$A$2:$A$1360,0))</f>
        <v>0.36</v>
      </c>
      <c r="G1004" s="10">
        <f>INDEX('2_Clean_Data'!$H$2:$H$1360,MATCH($A1004,'2_Clean_Data'!$A$2:$A$1360,0))</f>
        <v>12</v>
      </c>
      <c r="H1004" s="9" t="str">
        <f t="shared" si="61"/>
        <v>Low</v>
      </c>
      <c r="I1004" s="9" t="str">
        <f t="shared" si="62"/>
        <v>OK</v>
      </c>
      <c r="J1004" s="9" t="str">
        <f t="shared" si="63"/>
        <v>Solid</v>
      </c>
    </row>
    <row r="1005" spans="1:10" x14ac:dyDescent="0.3">
      <c r="A1005" s="10">
        <f>'2_Clean_Data'!A1002</f>
        <v>1001</v>
      </c>
      <c r="B1005" s="10">
        <f>INDEX('2_Clean_Data'!$M$2:$M$1360,MATCH($A1005,'2_Clean_Data'!$A$2:$A$1360,0))</f>
        <v>6</v>
      </c>
      <c r="C1005" s="9" t="str">
        <f t="shared" si="60"/>
        <v>Above Average</v>
      </c>
      <c r="D1005" s="11">
        <f>INDEX('2_Clean_Data'!$L$2:$L$1360,MATCH($A1005,'2_Clean_Data'!$A$2:$A$1360,0))</f>
        <v>10.8</v>
      </c>
      <c r="E1005" s="9" t="str">
        <f>IF(D1005&lt;'3_Summary_Tables'!$C$16,"Low",IF(D1005&lt;'3_Summary_Tables'!$C$17,"Medium","High"))</f>
        <v>Medium</v>
      </c>
      <c r="F1005" s="12">
        <f>INDEX('2_Clean_Data'!$C$2:$C$1360,MATCH($A1005,'2_Clean_Data'!$A$2:$A$1360,0))</f>
        <v>0.59</v>
      </c>
      <c r="G1005" s="10">
        <f>INDEX('2_Clean_Data'!$H$2:$H$1360,MATCH($A1005,'2_Clean_Data'!$A$2:$A$1360,0))</f>
        <v>44</v>
      </c>
      <c r="H1005" s="9" t="str">
        <f t="shared" si="61"/>
        <v>Low</v>
      </c>
      <c r="I1005" s="9" t="str">
        <f t="shared" si="62"/>
        <v>OK</v>
      </c>
      <c r="J1005" s="9" t="str">
        <f t="shared" si="63"/>
        <v>Solid</v>
      </c>
    </row>
    <row r="1006" spans="1:10" x14ac:dyDescent="0.3">
      <c r="A1006" s="10">
        <f>'2_Clean_Data'!A1003</f>
        <v>1002</v>
      </c>
      <c r="B1006" s="10">
        <f>INDEX('2_Clean_Data'!$M$2:$M$1360,MATCH($A1006,'2_Clean_Data'!$A$2:$A$1360,0))</f>
        <v>6</v>
      </c>
      <c r="C1006" s="9" t="str">
        <f t="shared" si="60"/>
        <v>Above Average</v>
      </c>
      <c r="D1006" s="11">
        <f>INDEX('2_Clean_Data'!$L$2:$L$1360,MATCH($A1006,'2_Clean_Data'!$A$2:$A$1360,0))</f>
        <v>12.3</v>
      </c>
      <c r="E1006" s="9" t="str">
        <f>IF(D1006&lt;'3_Summary_Tables'!$C$16,"Low",IF(D1006&lt;'3_Summary_Tables'!$C$17,"Medium","High"))</f>
        <v>High</v>
      </c>
      <c r="F1006" s="12">
        <f>INDEX('2_Clean_Data'!$C$2:$C$1360,MATCH($A1006,'2_Clean_Data'!$A$2:$A$1360,0))</f>
        <v>0.42</v>
      </c>
      <c r="G1006" s="10">
        <f>INDEX('2_Clean_Data'!$H$2:$H$1360,MATCH($A1006,'2_Clean_Data'!$A$2:$A$1360,0))</f>
        <v>16</v>
      </c>
      <c r="H1006" s="9" t="str">
        <f t="shared" si="61"/>
        <v>Low</v>
      </c>
      <c r="I1006" s="9" t="str">
        <f t="shared" si="62"/>
        <v>OK</v>
      </c>
      <c r="J1006" s="9" t="str">
        <f t="shared" si="63"/>
        <v>Solid</v>
      </c>
    </row>
    <row r="1007" spans="1:10" x14ac:dyDescent="0.3">
      <c r="A1007" s="10">
        <f>'2_Clean_Data'!A1004</f>
        <v>1003</v>
      </c>
      <c r="B1007" s="10">
        <f>INDEX('2_Clean_Data'!$M$2:$M$1360,MATCH($A1007,'2_Clean_Data'!$A$2:$A$1360,0))</f>
        <v>6</v>
      </c>
      <c r="C1007" s="9" t="str">
        <f t="shared" si="60"/>
        <v>Above Average</v>
      </c>
      <c r="D1007" s="11">
        <f>INDEX('2_Clean_Data'!$L$2:$L$1360,MATCH($A1007,'2_Clean_Data'!$A$2:$A$1360,0))</f>
        <v>9.5</v>
      </c>
      <c r="E1007" s="9" t="str">
        <f>IF(D1007&lt;'3_Summary_Tables'!$C$16,"Low",IF(D1007&lt;'3_Summary_Tables'!$C$17,"Medium","High"))</f>
        <v>Low</v>
      </c>
      <c r="F1007" s="12">
        <f>INDEX('2_Clean_Data'!$C$2:$C$1360,MATCH($A1007,'2_Clean_Data'!$A$2:$A$1360,0))</f>
        <v>0.36</v>
      </c>
      <c r="G1007" s="10">
        <f>INDEX('2_Clean_Data'!$H$2:$H$1360,MATCH($A1007,'2_Clean_Data'!$A$2:$A$1360,0))</f>
        <v>65</v>
      </c>
      <c r="H1007" s="9" t="str">
        <f t="shared" si="61"/>
        <v>Moderate</v>
      </c>
      <c r="I1007" s="9" t="str">
        <f t="shared" si="62"/>
        <v>OK</v>
      </c>
      <c r="J1007" s="9" t="str">
        <f t="shared" si="63"/>
        <v>Solid</v>
      </c>
    </row>
    <row r="1008" spans="1:10" x14ac:dyDescent="0.3">
      <c r="A1008" s="10">
        <f>'2_Clean_Data'!A1005</f>
        <v>1004</v>
      </c>
      <c r="B1008" s="10">
        <f>INDEX('2_Clean_Data'!$M$2:$M$1360,MATCH($A1008,'2_Clean_Data'!$A$2:$A$1360,0))</f>
        <v>6</v>
      </c>
      <c r="C1008" s="9" t="str">
        <f t="shared" si="60"/>
        <v>Above Average</v>
      </c>
      <c r="D1008" s="11">
        <f>INDEX('2_Clean_Data'!$L$2:$L$1360,MATCH($A1008,'2_Clean_Data'!$A$2:$A$1360,0))</f>
        <v>11.5</v>
      </c>
      <c r="E1008" s="9" t="str">
        <f>IF(D1008&lt;'3_Summary_Tables'!$C$16,"Low",IF(D1008&lt;'3_Summary_Tables'!$C$17,"Medium","High"))</f>
        <v>High</v>
      </c>
      <c r="F1008" s="12">
        <f>INDEX('2_Clean_Data'!$C$2:$C$1360,MATCH($A1008,'2_Clean_Data'!$A$2:$A$1360,0))</f>
        <v>0.61</v>
      </c>
      <c r="G1008" s="10">
        <f>INDEX('2_Clean_Data'!$H$2:$H$1360,MATCH($A1008,'2_Clean_Data'!$A$2:$A$1360,0))</f>
        <v>59</v>
      </c>
      <c r="H1008" s="9" t="str">
        <f t="shared" si="61"/>
        <v>Moderate</v>
      </c>
      <c r="I1008" s="9" t="str">
        <f t="shared" si="62"/>
        <v>OK</v>
      </c>
      <c r="J1008" s="9" t="str">
        <f t="shared" si="63"/>
        <v>Solid</v>
      </c>
    </row>
    <row r="1009" spans="1:10" x14ac:dyDescent="0.3">
      <c r="A1009" s="10">
        <f>'2_Clean_Data'!A1006</f>
        <v>1005</v>
      </c>
      <c r="B1009" s="10">
        <f>INDEX('2_Clean_Data'!$M$2:$M$1360,MATCH($A1009,'2_Clean_Data'!$A$2:$A$1360,0))</f>
        <v>4</v>
      </c>
      <c r="C1009" s="9" t="str">
        <f t="shared" si="60"/>
        <v>Poor</v>
      </c>
      <c r="D1009" s="11">
        <f>INDEX('2_Clean_Data'!$L$2:$L$1360,MATCH($A1009,'2_Clean_Data'!$A$2:$A$1360,0))</f>
        <v>11.2</v>
      </c>
      <c r="E1009" s="9" t="str">
        <f>IF(D1009&lt;'3_Summary_Tables'!$C$16,"Low",IF(D1009&lt;'3_Summary_Tables'!$C$17,"Medium","High"))</f>
        <v>Medium</v>
      </c>
      <c r="F1009" s="12">
        <f>INDEX('2_Clean_Data'!$C$2:$C$1360,MATCH($A1009,'2_Clean_Data'!$A$2:$A$1360,0))</f>
        <v>0.88</v>
      </c>
      <c r="G1009" s="10">
        <f>INDEX('2_Clean_Data'!$H$2:$H$1360,MATCH($A1009,'2_Clean_Data'!$A$2:$A$1360,0))</f>
        <v>47</v>
      </c>
      <c r="H1009" s="9" t="str">
        <f t="shared" si="61"/>
        <v>Low</v>
      </c>
      <c r="I1009" s="9" t="str">
        <f t="shared" si="62"/>
        <v>Above limit</v>
      </c>
      <c r="J1009" s="9" t="str">
        <f t="shared" si="63"/>
        <v>Poor</v>
      </c>
    </row>
    <row r="1010" spans="1:10" x14ac:dyDescent="0.3">
      <c r="A1010" s="10">
        <f>'2_Clean_Data'!A1007</f>
        <v>1006</v>
      </c>
      <c r="B1010" s="10">
        <f>INDEX('2_Clean_Data'!$M$2:$M$1360,MATCH($A1010,'2_Clean_Data'!$A$2:$A$1360,0))</f>
        <v>7</v>
      </c>
      <c r="C1010" s="9" t="str">
        <f t="shared" si="60"/>
        <v>Good</v>
      </c>
      <c r="D1010" s="11">
        <f>INDEX('2_Clean_Data'!$L$2:$L$1360,MATCH($A1010,'2_Clean_Data'!$A$2:$A$1360,0))</f>
        <v>12.7</v>
      </c>
      <c r="E1010" s="9" t="str">
        <f>IF(D1010&lt;'3_Summary_Tables'!$C$16,"Low",IF(D1010&lt;'3_Summary_Tables'!$C$17,"Medium","High"))</f>
        <v>High</v>
      </c>
      <c r="F1010" s="12">
        <f>INDEX('2_Clean_Data'!$C$2:$C$1360,MATCH($A1010,'2_Clean_Data'!$A$2:$A$1360,0))</f>
        <v>0.66</v>
      </c>
      <c r="G1010" s="10">
        <f>INDEX('2_Clean_Data'!$H$2:$H$1360,MATCH($A1010,'2_Clean_Data'!$A$2:$A$1360,0))</f>
        <v>11</v>
      </c>
      <c r="H1010" s="9" t="str">
        <f t="shared" si="61"/>
        <v>Low</v>
      </c>
      <c r="I1010" s="9" t="str">
        <f t="shared" si="62"/>
        <v>OK</v>
      </c>
      <c r="J1010" s="9" t="str">
        <f t="shared" si="63"/>
        <v>Premium</v>
      </c>
    </row>
    <row r="1011" spans="1:10" x14ac:dyDescent="0.3">
      <c r="A1011" s="10">
        <f>'2_Clean_Data'!A1008</f>
        <v>1007</v>
      </c>
      <c r="B1011" s="10">
        <f>INDEX('2_Clean_Data'!$M$2:$M$1360,MATCH($A1011,'2_Clean_Data'!$A$2:$A$1360,0))</f>
        <v>5</v>
      </c>
      <c r="C1011" s="9" t="str">
        <f t="shared" si="60"/>
        <v>Average</v>
      </c>
      <c r="D1011" s="11">
        <f>INDEX('2_Clean_Data'!$L$2:$L$1360,MATCH($A1011,'2_Clean_Data'!$A$2:$A$1360,0))</f>
        <v>11.4</v>
      </c>
      <c r="E1011" s="9" t="str">
        <f>IF(D1011&lt;'3_Summary_Tables'!$C$16,"Low",IF(D1011&lt;'3_Summary_Tables'!$C$17,"Medium","High"))</f>
        <v>Medium</v>
      </c>
      <c r="F1011" s="12">
        <f>INDEX('2_Clean_Data'!$C$2:$C$1360,MATCH($A1011,'2_Clean_Data'!$A$2:$A$1360,0))</f>
        <v>0.91500000000000004</v>
      </c>
      <c r="G1011" s="10">
        <f>INDEX('2_Clean_Data'!$H$2:$H$1360,MATCH($A1011,'2_Clean_Data'!$A$2:$A$1360,0))</f>
        <v>78</v>
      </c>
      <c r="H1011" s="9" t="str">
        <f t="shared" si="61"/>
        <v>Moderate</v>
      </c>
      <c r="I1011" s="9" t="str">
        <f t="shared" si="62"/>
        <v>Above limit</v>
      </c>
      <c r="J1011" s="9" t="str">
        <f t="shared" si="63"/>
        <v>Standard</v>
      </c>
    </row>
    <row r="1012" spans="1:10" x14ac:dyDescent="0.3">
      <c r="A1012" s="10">
        <f>'2_Clean_Data'!A1009</f>
        <v>1008</v>
      </c>
      <c r="B1012" s="10">
        <f>INDEX('2_Clean_Data'!$M$2:$M$1360,MATCH($A1012,'2_Clean_Data'!$A$2:$A$1360,0))</f>
        <v>6</v>
      </c>
      <c r="C1012" s="9" t="str">
        <f t="shared" si="60"/>
        <v>Above Average</v>
      </c>
      <c r="D1012" s="11">
        <f>INDEX('2_Clean_Data'!$L$2:$L$1360,MATCH($A1012,'2_Clean_Data'!$A$2:$A$1360,0))</f>
        <v>11</v>
      </c>
      <c r="E1012" s="9" t="str">
        <f>IF(D1012&lt;'3_Summary_Tables'!$C$16,"Low",IF(D1012&lt;'3_Summary_Tables'!$C$17,"Medium","High"))</f>
        <v>Medium</v>
      </c>
      <c r="F1012" s="12">
        <f>INDEX('2_Clean_Data'!$C$2:$C$1360,MATCH($A1012,'2_Clean_Data'!$A$2:$A$1360,0))</f>
        <v>0.35</v>
      </c>
      <c r="G1012" s="10">
        <f>INDEX('2_Clean_Data'!$H$2:$H$1360,MATCH($A1012,'2_Clean_Data'!$A$2:$A$1360,0))</f>
        <v>47</v>
      </c>
      <c r="H1012" s="9" t="str">
        <f t="shared" si="61"/>
        <v>Low</v>
      </c>
      <c r="I1012" s="9" t="str">
        <f t="shared" si="62"/>
        <v>OK</v>
      </c>
      <c r="J1012" s="9" t="str">
        <f t="shared" si="63"/>
        <v>Solid</v>
      </c>
    </row>
    <row r="1013" spans="1:10" x14ac:dyDescent="0.3">
      <c r="A1013" s="10">
        <f>'2_Clean_Data'!A1010</f>
        <v>1009</v>
      </c>
      <c r="B1013" s="10">
        <f>INDEX('2_Clean_Data'!$M$2:$M$1360,MATCH($A1013,'2_Clean_Data'!$A$2:$A$1360,0))</f>
        <v>5</v>
      </c>
      <c r="C1013" s="9" t="str">
        <f t="shared" si="60"/>
        <v>Average</v>
      </c>
      <c r="D1013" s="11">
        <f>INDEX('2_Clean_Data'!$L$2:$L$1360,MATCH($A1013,'2_Clean_Data'!$A$2:$A$1360,0))</f>
        <v>11.4</v>
      </c>
      <c r="E1013" s="9" t="str">
        <f>IF(D1013&lt;'3_Summary_Tables'!$C$16,"Low",IF(D1013&lt;'3_Summary_Tables'!$C$17,"Medium","High"))</f>
        <v>Medium</v>
      </c>
      <c r="F1013" s="12">
        <f>INDEX('2_Clean_Data'!$C$2:$C$1360,MATCH($A1013,'2_Clean_Data'!$A$2:$A$1360,0))</f>
        <v>0.39</v>
      </c>
      <c r="G1013" s="10">
        <f>INDEX('2_Clean_Data'!$H$2:$H$1360,MATCH($A1013,'2_Clean_Data'!$A$2:$A$1360,0))</f>
        <v>11</v>
      </c>
      <c r="H1013" s="9" t="str">
        <f t="shared" si="61"/>
        <v>Low</v>
      </c>
      <c r="I1013" s="9" t="str">
        <f t="shared" si="62"/>
        <v>OK</v>
      </c>
      <c r="J1013" s="9" t="str">
        <f t="shared" si="63"/>
        <v>Standard</v>
      </c>
    </row>
    <row r="1014" spans="1:10" x14ac:dyDescent="0.3">
      <c r="A1014" s="10">
        <f>'2_Clean_Data'!A1011</f>
        <v>1010</v>
      </c>
      <c r="B1014" s="10">
        <f>INDEX('2_Clean_Data'!$M$2:$M$1360,MATCH($A1014,'2_Clean_Data'!$A$2:$A$1360,0))</f>
        <v>6</v>
      </c>
      <c r="C1014" s="9" t="str">
        <f t="shared" si="60"/>
        <v>Above Average</v>
      </c>
      <c r="D1014" s="11">
        <f>INDEX('2_Clean_Data'!$L$2:$L$1360,MATCH($A1014,'2_Clean_Data'!$A$2:$A$1360,0))</f>
        <v>10.5</v>
      </c>
      <c r="E1014" s="9" t="str">
        <f>IF(D1014&lt;'3_Summary_Tables'!$C$16,"Low",IF(D1014&lt;'3_Summary_Tables'!$C$17,"Medium","High"))</f>
        <v>Medium</v>
      </c>
      <c r="F1014" s="12">
        <f>INDEX('2_Clean_Data'!$C$2:$C$1360,MATCH($A1014,'2_Clean_Data'!$A$2:$A$1360,0))</f>
        <v>0.4</v>
      </c>
      <c r="G1014" s="10">
        <f>INDEX('2_Clean_Data'!$H$2:$H$1360,MATCH($A1014,'2_Clean_Data'!$A$2:$A$1360,0))</f>
        <v>54</v>
      </c>
      <c r="H1014" s="9" t="str">
        <f t="shared" si="61"/>
        <v>Moderate</v>
      </c>
      <c r="I1014" s="9" t="str">
        <f t="shared" si="62"/>
        <v>OK</v>
      </c>
      <c r="J1014" s="9" t="str">
        <f t="shared" si="63"/>
        <v>Solid</v>
      </c>
    </row>
    <row r="1015" spans="1:10" x14ac:dyDescent="0.3">
      <c r="A1015" s="10">
        <f>'2_Clean_Data'!A1012</f>
        <v>1011</v>
      </c>
      <c r="B1015" s="10">
        <f>INDEX('2_Clean_Data'!$M$2:$M$1360,MATCH($A1015,'2_Clean_Data'!$A$2:$A$1360,0))</f>
        <v>5</v>
      </c>
      <c r="C1015" s="9" t="str">
        <f t="shared" si="60"/>
        <v>Average</v>
      </c>
      <c r="D1015" s="11">
        <f>INDEX('2_Clean_Data'!$L$2:$L$1360,MATCH($A1015,'2_Clean_Data'!$A$2:$A$1360,0))</f>
        <v>9.3000000000000007</v>
      </c>
      <c r="E1015" s="9" t="str">
        <f>IF(D1015&lt;'3_Summary_Tables'!$C$16,"Low",IF(D1015&lt;'3_Summary_Tables'!$C$17,"Medium","High"))</f>
        <v>Low</v>
      </c>
      <c r="F1015" s="12">
        <f>INDEX('2_Clean_Data'!$C$2:$C$1360,MATCH($A1015,'2_Clean_Data'!$A$2:$A$1360,0))</f>
        <v>0.66</v>
      </c>
      <c r="G1015" s="10">
        <f>INDEX('2_Clean_Data'!$H$2:$H$1360,MATCH($A1015,'2_Clean_Data'!$A$2:$A$1360,0))</f>
        <v>61</v>
      </c>
      <c r="H1015" s="9" t="str">
        <f t="shared" si="61"/>
        <v>Moderate</v>
      </c>
      <c r="I1015" s="9" t="str">
        <f t="shared" si="62"/>
        <v>OK</v>
      </c>
      <c r="J1015" s="9" t="str">
        <f t="shared" si="63"/>
        <v>Standard</v>
      </c>
    </row>
    <row r="1016" spans="1:10" x14ac:dyDescent="0.3">
      <c r="A1016" s="10">
        <f>'2_Clean_Data'!A1013</f>
        <v>1012</v>
      </c>
      <c r="B1016" s="10">
        <f>INDEX('2_Clean_Data'!$M$2:$M$1360,MATCH($A1016,'2_Clean_Data'!$A$2:$A$1360,0))</f>
        <v>5</v>
      </c>
      <c r="C1016" s="9" t="str">
        <f t="shared" si="60"/>
        <v>Average</v>
      </c>
      <c r="D1016" s="11">
        <f>INDEX('2_Clean_Data'!$L$2:$L$1360,MATCH($A1016,'2_Clean_Data'!$A$2:$A$1360,0))</f>
        <v>10.9</v>
      </c>
      <c r="E1016" s="9" t="str">
        <f>IF(D1016&lt;'3_Summary_Tables'!$C$16,"Low",IF(D1016&lt;'3_Summary_Tables'!$C$17,"Medium","High"))</f>
        <v>Medium</v>
      </c>
      <c r="F1016" s="12">
        <f>INDEX('2_Clean_Data'!$C$2:$C$1360,MATCH($A1016,'2_Clean_Data'!$A$2:$A$1360,0))</f>
        <v>0.64</v>
      </c>
      <c r="G1016" s="10">
        <f>INDEX('2_Clean_Data'!$H$2:$H$1360,MATCH($A1016,'2_Clean_Data'!$A$2:$A$1360,0))</f>
        <v>119</v>
      </c>
      <c r="H1016" s="9" t="str">
        <f t="shared" si="61"/>
        <v>High</v>
      </c>
      <c r="I1016" s="9" t="str">
        <f t="shared" si="62"/>
        <v>OK</v>
      </c>
      <c r="J1016" s="9" t="str">
        <f t="shared" si="63"/>
        <v>Standard</v>
      </c>
    </row>
    <row r="1017" spans="1:10" x14ac:dyDescent="0.3">
      <c r="A1017" s="10">
        <f>'2_Clean_Data'!A1014</f>
        <v>1013</v>
      </c>
      <c r="B1017" s="10">
        <f>INDEX('2_Clean_Data'!$M$2:$M$1360,MATCH($A1017,'2_Clean_Data'!$A$2:$A$1360,0))</f>
        <v>6</v>
      </c>
      <c r="C1017" s="9" t="str">
        <f t="shared" si="60"/>
        <v>Above Average</v>
      </c>
      <c r="D1017" s="11">
        <f>INDEX('2_Clean_Data'!$L$2:$L$1360,MATCH($A1017,'2_Clean_Data'!$A$2:$A$1360,0))</f>
        <v>11.9</v>
      </c>
      <c r="E1017" s="9" t="str">
        <f>IF(D1017&lt;'3_Summary_Tables'!$C$16,"Low",IF(D1017&lt;'3_Summary_Tables'!$C$17,"Medium","High"))</f>
        <v>High</v>
      </c>
      <c r="F1017" s="12">
        <f>INDEX('2_Clean_Data'!$C$2:$C$1360,MATCH($A1017,'2_Clean_Data'!$A$2:$A$1360,0))</f>
        <v>0.43</v>
      </c>
      <c r="G1017" s="10">
        <f>INDEX('2_Clean_Data'!$H$2:$H$1360,MATCH($A1017,'2_Clean_Data'!$A$2:$A$1360,0))</f>
        <v>39</v>
      </c>
      <c r="H1017" s="9" t="str">
        <f t="shared" si="61"/>
        <v>Low</v>
      </c>
      <c r="I1017" s="9" t="str">
        <f t="shared" si="62"/>
        <v>OK</v>
      </c>
      <c r="J1017" s="9" t="str">
        <f t="shared" si="63"/>
        <v>Solid</v>
      </c>
    </row>
    <row r="1018" spans="1:10" x14ac:dyDescent="0.3">
      <c r="A1018" s="10">
        <f>'2_Clean_Data'!A1015</f>
        <v>1014</v>
      </c>
      <c r="B1018" s="10">
        <f>INDEX('2_Clean_Data'!$M$2:$M$1360,MATCH($A1018,'2_Clean_Data'!$A$2:$A$1360,0))</f>
        <v>5</v>
      </c>
      <c r="C1018" s="9" t="str">
        <f t="shared" si="60"/>
        <v>Average</v>
      </c>
      <c r="D1018" s="11">
        <f>INDEX('2_Clean_Data'!$L$2:$L$1360,MATCH($A1018,'2_Clean_Data'!$A$2:$A$1360,0))</f>
        <v>12.2</v>
      </c>
      <c r="E1018" s="9" t="str">
        <f>IF(D1018&lt;'3_Summary_Tables'!$C$16,"Low",IF(D1018&lt;'3_Summary_Tables'!$C$17,"Medium","High"))</f>
        <v>High</v>
      </c>
      <c r="F1018" s="12">
        <f>INDEX('2_Clean_Data'!$C$2:$C$1360,MATCH($A1018,'2_Clean_Data'!$A$2:$A$1360,0))</f>
        <v>0.8</v>
      </c>
      <c r="G1018" s="10">
        <f>INDEX('2_Clean_Data'!$H$2:$H$1360,MATCH($A1018,'2_Clean_Data'!$A$2:$A$1360,0))</f>
        <v>12</v>
      </c>
      <c r="H1018" s="9" t="str">
        <f t="shared" si="61"/>
        <v>Low</v>
      </c>
      <c r="I1018" s="9" t="str">
        <f t="shared" si="62"/>
        <v>Above limit</v>
      </c>
      <c r="J1018" s="9" t="str">
        <f t="shared" si="63"/>
        <v>Standard</v>
      </c>
    </row>
    <row r="1019" spans="1:10" x14ac:dyDescent="0.3">
      <c r="A1019" s="10">
        <f>'2_Clean_Data'!A1016</f>
        <v>1015</v>
      </c>
      <c r="B1019" s="10">
        <f>INDEX('2_Clean_Data'!$M$2:$M$1360,MATCH($A1019,'2_Clean_Data'!$A$2:$A$1360,0))</f>
        <v>4</v>
      </c>
      <c r="C1019" s="9" t="str">
        <f t="shared" si="60"/>
        <v>Poor</v>
      </c>
      <c r="D1019" s="11">
        <f>INDEX('2_Clean_Data'!$L$2:$L$1360,MATCH($A1019,'2_Clean_Data'!$A$2:$A$1360,0))</f>
        <v>9.6</v>
      </c>
      <c r="E1019" s="9" t="str">
        <f>IF(D1019&lt;'3_Summary_Tables'!$C$16,"Low",IF(D1019&lt;'3_Summary_Tables'!$C$17,"Medium","High"))</f>
        <v>Low</v>
      </c>
      <c r="F1019" s="12">
        <f>INDEX('2_Clean_Data'!$C$2:$C$1360,MATCH($A1019,'2_Clean_Data'!$A$2:$A$1360,0))</f>
        <v>0.95499999999999996</v>
      </c>
      <c r="G1019" s="10">
        <f>INDEX('2_Clean_Data'!$H$2:$H$1360,MATCH($A1019,'2_Clean_Data'!$A$2:$A$1360,0))</f>
        <v>19</v>
      </c>
      <c r="H1019" s="9" t="str">
        <f t="shared" si="61"/>
        <v>Low</v>
      </c>
      <c r="I1019" s="9" t="str">
        <f t="shared" si="62"/>
        <v>Above limit</v>
      </c>
      <c r="J1019" s="9" t="str">
        <f t="shared" si="63"/>
        <v>Poor</v>
      </c>
    </row>
    <row r="1020" spans="1:10" x14ac:dyDescent="0.3">
      <c r="A1020" s="10">
        <f>'2_Clean_Data'!A1017</f>
        <v>1016</v>
      </c>
      <c r="B1020" s="10">
        <f>INDEX('2_Clean_Data'!$M$2:$M$1360,MATCH($A1020,'2_Clean_Data'!$A$2:$A$1360,0))</f>
        <v>6</v>
      </c>
      <c r="C1020" s="9" t="str">
        <f t="shared" si="60"/>
        <v>Above Average</v>
      </c>
      <c r="D1020" s="11">
        <f>INDEX('2_Clean_Data'!$L$2:$L$1360,MATCH($A1020,'2_Clean_Data'!$A$2:$A$1360,0))</f>
        <v>12.5</v>
      </c>
      <c r="E1020" s="9" t="str">
        <f>IF(D1020&lt;'3_Summary_Tables'!$C$16,"Low",IF(D1020&lt;'3_Summary_Tables'!$C$17,"Medium","High"))</f>
        <v>High</v>
      </c>
      <c r="F1020" s="12">
        <f>INDEX('2_Clean_Data'!$C$2:$C$1360,MATCH($A1020,'2_Clean_Data'!$A$2:$A$1360,0))</f>
        <v>0.4</v>
      </c>
      <c r="G1020" s="10">
        <f>INDEX('2_Clean_Data'!$H$2:$H$1360,MATCH($A1020,'2_Clean_Data'!$A$2:$A$1360,0))</f>
        <v>20</v>
      </c>
      <c r="H1020" s="9" t="str">
        <f t="shared" si="61"/>
        <v>Low</v>
      </c>
      <c r="I1020" s="9" t="str">
        <f t="shared" si="62"/>
        <v>OK</v>
      </c>
      <c r="J1020" s="9" t="str">
        <f t="shared" si="63"/>
        <v>Solid</v>
      </c>
    </row>
    <row r="1021" spans="1:10" x14ac:dyDescent="0.3">
      <c r="A1021" s="10">
        <f>'2_Clean_Data'!A1018</f>
        <v>1017</v>
      </c>
      <c r="B1021" s="10">
        <f>INDEX('2_Clean_Data'!$M$2:$M$1360,MATCH($A1021,'2_Clean_Data'!$A$2:$A$1360,0))</f>
        <v>5</v>
      </c>
      <c r="C1021" s="9" t="str">
        <f t="shared" si="60"/>
        <v>Average</v>
      </c>
      <c r="D1021" s="11">
        <f>INDEX('2_Clean_Data'!$L$2:$L$1360,MATCH($A1021,'2_Clean_Data'!$A$2:$A$1360,0))</f>
        <v>10.8</v>
      </c>
      <c r="E1021" s="9" t="str">
        <f>IF(D1021&lt;'3_Summary_Tables'!$C$16,"Low",IF(D1021&lt;'3_Summary_Tables'!$C$17,"Medium","High"))</f>
        <v>Medium</v>
      </c>
      <c r="F1021" s="12">
        <f>INDEX('2_Clean_Data'!$C$2:$C$1360,MATCH($A1021,'2_Clean_Data'!$A$2:$A$1360,0))</f>
        <v>0.88500000000000001</v>
      </c>
      <c r="G1021" s="10">
        <f>INDEX('2_Clean_Data'!$H$2:$H$1360,MATCH($A1021,'2_Clean_Data'!$A$2:$A$1360,0))</f>
        <v>12</v>
      </c>
      <c r="H1021" s="9" t="str">
        <f t="shared" si="61"/>
        <v>Low</v>
      </c>
      <c r="I1021" s="9" t="str">
        <f t="shared" si="62"/>
        <v>Above limit</v>
      </c>
      <c r="J1021" s="9" t="str">
        <f t="shared" si="63"/>
        <v>Standard</v>
      </c>
    </row>
    <row r="1022" spans="1:10" x14ac:dyDescent="0.3">
      <c r="A1022" s="10">
        <f>'2_Clean_Data'!A1019</f>
        <v>1018</v>
      </c>
      <c r="B1022" s="10">
        <f>INDEX('2_Clean_Data'!$M$2:$M$1360,MATCH($A1022,'2_Clean_Data'!$A$2:$A$1360,0))</f>
        <v>7</v>
      </c>
      <c r="C1022" s="9" t="str">
        <f t="shared" si="60"/>
        <v>Good</v>
      </c>
      <c r="D1022" s="11">
        <f>INDEX('2_Clean_Data'!$L$2:$L$1360,MATCH($A1022,'2_Clean_Data'!$A$2:$A$1360,0))</f>
        <v>12.4</v>
      </c>
      <c r="E1022" s="9" t="str">
        <f>IF(D1022&lt;'3_Summary_Tables'!$C$16,"Low",IF(D1022&lt;'3_Summary_Tables'!$C$17,"Medium","High"))</f>
        <v>High</v>
      </c>
      <c r="F1022" s="12">
        <f>INDEX('2_Clean_Data'!$C$2:$C$1360,MATCH($A1022,'2_Clean_Data'!$A$2:$A$1360,0))</f>
        <v>0.25</v>
      </c>
      <c r="G1022" s="10">
        <f>INDEX('2_Clean_Data'!$H$2:$H$1360,MATCH($A1022,'2_Clean_Data'!$A$2:$A$1360,0))</f>
        <v>41</v>
      </c>
      <c r="H1022" s="9" t="str">
        <f t="shared" si="61"/>
        <v>Low</v>
      </c>
      <c r="I1022" s="9" t="str">
        <f t="shared" si="62"/>
        <v>OK</v>
      </c>
      <c r="J1022" s="9" t="str">
        <f t="shared" si="63"/>
        <v>Premium</v>
      </c>
    </row>
    <row r="1023" spans="1:10" x14ac:dyDescent="0.3">
      <c r="A1023" s="10">
        <f>'2_Clean_Data'!A1020</f>
        <v>1019</v>
      </c>
      <c r="B1023" s="10">
        <f>INDEX('2_Clean_Data'!$M$2:$M$1360,MATCH($A1023,'2_Clean_Data'!$A$2:$A$1360,0))</f>
        <v>5</v>
      </c>
      <c r="C1023" s="9" t="str">
        <f t="shared" si="60"/>
        <v>Average</v>
      </c>
      <c r="D1023" s="11">
        <f>INDEX('2_Clean_Data'!$L$2:$L$1360,MATCH($A1023,'2_Clean_Data'!$A$2:$A$1360,0))</f>
        <v>10.8</v>
      </c>
      <c r="E1023" s="9" t="str">
        <f>IF(D1023&lt;'3_Summary_Tables'!$C$16,"Low",IF(D1023&lt;'3_Summary_Tables'!$C$17,"Medium","High"))</f>
        <v>Medium</v>
      </c>
      <c r="F1023" s="12">
        <f>INDEX('2_Clean_Data'!$C$2:$C$1360,MATCH($A1023,'2_Clean_Data'!$A$2:$A$1360,0))</f>
        <v>0.88500000000000001</v>
      </c>
      <c r="G1023" s="10">
        <f>INDEX('2_Clean_Data'!$H$2:$H$1360,MATCH($A1023,'2_Clean_Data'!$A$2:$A$1360,0))</f>
        <v>12</v>
      </c>
      <c r="H1023" s="9" t="str">
        <f t="shared" si="61"/>
        <v>Low</v>
      </c>
      <c r="I1023" s="9" t="str">
        <f t="shared" si="62"/>
        <v>Above limit</v>
      </c>
      <c r="J1023" s="9" t="str">
        <f t="shared" si="63"/>
        <v>Standard</v>
      </c>
    </row>
    <row r="1024" spans="1:10" x14ac:dyDescent="0.3">
      <c r="A1024" s="10">
        <f>'2_Clean_Data'!A1021</f>
        <v>1020</v>
      </c>
      <c r="B1024" s="10">
        <f>INDEX('2_Clean_Data'!$M$2:$M$1360,MATCH($A1024,'2_Clean_Data'!$A$2:$A$1360,0))</f>
        <v>6</v>
      </c>
      <c r="C1024" s="9" t="str">
        <f t="shared" si="60"/>
        <v>Above Average</v>
      </c>
      <c r="D1024" s="11">
        <f>INDEX('2_Clean_Data'!$L$2:$L$1360,MATCH($A1024,'2_Clean_Data'!$A$2:$A$1360,0))</f>
        <v>9.5</v>
      </c>
      <c r="E1024" s="9" t="str">
        <f>IF(D1024&lt;'3_Summary_Tables'!$C$16,"Low",IF(D1024&lt;'3_Summary_Tables'!$C$17,"Medium","High"))</f>
        <v>Low</v>
      </c>
      <c r="F1024" s="12">
        <f>INDEX('2_Clean_Data'!$C$2:$C$1360,MATCH($A1024,'2_Clean_Data'!$A$2:$A$1360,0))</f>
        <v>0.745</v>
      </c>
      <c r="G1024" s="10">
        <f>INDEX('2_Clean_Data'!$H$2:$H$1360,MATCH($A1024,'2_Clean_Data'!$A$2:$A$1360,0))</f>
        <v>64</v>
      </c>
      <c r="H1024" s="9" t="str">
        <f t="shared" si="61"/>
        <v>Moderate</v>
      </c>
      <c r="I1024" s="9" t="str">
        <f t="shared" si="62"/>
        <v>Above limit</v>
      </c>
      <c r="J1024" s="9" t="str">
        <f t="shared" si="63"/>
        <v>Standard</v>
      </c>
    </row>
    <row r="1025" spans="1:10" x14ac:dyDescent="0.3">
      <c r="A1025" s="10">
        <f>'2_Clean_Data'!A1022</f>
        <v>1021</v>
      </c>
      <c r="B1025" s="10">
        <f>INDEX('2_Clean_Data'!$M$2:$M$1360,MATCH($A1025,'2_Clean_Data'!$A$2:$A$1360,0))</f>
        <v>6</v>
      </c>
      <c r="C1025" s="9" t="str">
        <f t="shared" si="60"/>
        <v>Above Average</v>
      </c>
      <c r="D1025" s="11">
        <f>INDEX('2_Clean_Data'!$L$2:$L$1360,MATCH($A1025,'2_Clean_Data'!$A$2:$A$1360,0))</f>
        <v>9.5</v>
      </c>
      <c r="E1025" s="9" t="str">
        <f>IF(D1025&lt;'3_Summary_Tables'!$C$16,"Low",IF(D1025&lt;'3_Summary_Tables'!$C$17,"Medium","High"))</f>
        <v>Low</v>
      </c>
      <c r="F1025" s="12">
        <f>INDEX('2_Clean_Data'!$C$2:$C$1360,MATCH($A1025,'2_Clean_Data'!$A$2:$A$1360,0))</f>
        <v>0.43</v>
      </c>
      <c r="G1025" s="10">
        <f>INDEX('2_Clean_Data'!$H$2:$H$1360,MATCH($A1025,'2_Clean_Data'!$A$2:$A$1360,0))</f>
        <v>56</v>
      </c>
      <c r="H1025" s="9" t="str">
        <f t="shared" si="61"/>
        <v>Moderate</v>
      </c>
      <c r="I1025" s="9" t="str">
        <f t="shared" si="62"/>
        <v>OK</v>
      </c>
      <c r="J1025" s="9" t="str">
        <f t="shared" si="63"/>
        <v>Solid</v>
      </c>
    </row>
    <row r="1026" spans="1:10" x14ac:dyDescent="0.3">
      <c r="A1026" s="10">
        <f>'2_Clean_Data'!A1023</f>
        <v>1022</v>
      </c>
      <c r="B1026" s="10">
        <f>INDEX('2_Clean_Data'!$M$2:$M$1360,MATCH($A1026,'2_Clean_Data'!$A$2:$A$1360,0))</f>
        <v>6</v>
      </c>
      <c r="C1026" s="9" t="str">
        <f t="shared" si="60"/>
        <v>Above Average</v>
      </c>
      <c r="D1026" s="11">
        <f>INDEX('2_Clean_Data'!$L$2:$L$1360,MATCH($A1026,'2_Clean_Data'!$A$2:$A$1360,0))</f>
        <v>9.5</v>
      </c>
      <c r="E1026" s="9" t="str">
        <f>IF(D1026&lt;'3_Summary_Tables'!$C$16,"Low",IF(D1026&lt;'3_Summary_Tables'!$C$17,"Medium","High"))</f>
        <v>Low</v>
      </c>
      <c r="F1026" s="12">
        <f>INDEX('2_Clean_Data'!$C$2:$C$1360,MATCH($A1026,'2_Clean_Data'!$A$2:$A$1360,0))</f>
        <v>0.57999999999999996</v>
      </c>
      <c r="G1026" s="10">
        <f>INDEX('2_Clean_Data'!$H$2:$H$1360,MATCH($A1026,'2_Clean_Data'!$A$2:$A$1360,0))</f>
        <v>94</v>
      </c>
      <c r="H1026" s="9" t="str">
        <f t="shared" si="61"/>
        <v>Moderate</v>
      </c>
      <c r="I1026" s="9" t="str">
        <f t="shared" si="62"/>
        <v>OK</v>
      </c>
      <c r="J1026" s="9" t="str">
        <f t="shared" si="63"/>
        <v>Solid</v>
      </c>
    </row>
    <row r="1027" spans="1:10" x14ac:dyDescent="0.3">
      <c r="A1027" s="10">
        <f>'2_Clean_Data'!A1024</f>
        <v>1023</v>
      </c>
      <c r="B1027" s="10">
        <f>INDEX('2_Clean_Data'!$M$2:$M$1360,MATCH($A1027,'2_Clean_Data'!$A$2:$A$1360,0))</f>
        <v>6</v>
      </c>
      <c r="C1027" s="9" t="str">
        <f t="shared" si="60"/>
        <v>Above Average</v>
      </c>
      <c r="D1027" s="11">
        <f>INDEX('2_Clean_Data'!$L$2:$L$1360,MATCH($A1027,'2_Clean_Data'!$A$2:$A$1360,0))</f>
        <v>9.8000000000000007</v>
      </c>
      <c r="E1027" s="9" t="str">
        <f>IF(D1027&lt;'3_Summary_Tables'!$C$16,"Low",IF(D1027&lt;'3_Summary_Tables'!$C$17,"Medium","High"))</f>
        <v>Low</v>
      </c>
      <c r="F1027" s="12">
        <f>INDEX('2_Clean_Data'!$C$2:$C$1360,MATCH($A1027,'2_Clean_Data'!$A$2:$A$1360,0))</f>
        <v>0.56999999999999995</v>
      </c>
      <c r="G1027" s="10">
        <f>INDEX('2_Clean_Data'!$H$2:$H$1360,MATCH($A1027,'2_Clean_Data'!$A$2:$A$1360,0))</f>
        <v>9</v>
      </c>
      <c r="H1027" s="9" t="str">
        <f t="shared" si="61"/>
        <v>Low</v>
      </c>
      <c r="I1027" s="9" t="str">
        <f t="shared" si="62"/>
        <v>OK</v>
      </c>
      <c r="J1027" s="9" t="str">
        <f t="shared" si="63"/>
        <v>Solid</v>
      </c>
    </row>
    <row r="1028" spans="1:10" x14ac:dyDescent="0.3">
      <c r="A1028" s="10">
        <f>'2_Clean_Data'!A1025</f>
        <v>1024</v>
      </c>
      <c r="B1028" s="10">
        <f>INDEX('2_Clean_Data'!$M$2:$M$1360,MATCH($A1028,'2_Clean_Data'!$A$2:$A$1360,0))</f>
        <v>6</v>
      </c>
      <c r="C1028" s="9" t="str">
        <f t="shared" si="60"/>
        <v>Above Average</v>
      </c>
      <c r="D1028" s="11">
        <f>INDEX('2_Clean_Data'!$L$2:$L$1360,MATCH($A1028,'2_Clean_Data'!$A$2:$A$1360,0))</f>
        <v>10.9</v>
      </c>
      <c r="E1028" s="9" t="str">
        <f>IF(D1028&lt;'3_Summary_Tables'!$C$16,"Low",IF(D1028&lt;'3_Summary_Tables'!$C$17,"Medium","High"))</f>
        <v>Medium</v>
      </c>
      <c r="F1028" s="12">
        <f>INDEX('2_Clean_Data'!$C$2:$C$1360,MATCH($A1028,'2_Clean_Data'!$A$2:$A$1360,0))</f>
        <v>0.26</v>
      </c>
      <c r="G1028" s="10">
        <f>INDEX('2_Clean_Data'!$H$2:$H$1360,MATCH($A1028,'2_Clean_Data'!$A$2:$A$1360,0))</f>
        <v>77</v>
      </c>
      <c r="H1028" s="9" t="str">
        <f t="shared" si="61"/>
        <v>Moderate</v>
      </c>
      <c r="I1028" s="9" t="str">
        <f t="shared" si="62"/>
        <v>OK</v>
      </c>
      <c r="J1028" s="9" t="str">
        <f t="shared" si="63"/>
        <v>Solid</v>
      </c>
    </row>
    <row r="1029" spans="1:10" x14ac:dyDescent="0.3">
      <c r="A1029" s="10">
        <f>'2_Clean_Data'!A1026</f>
        <v>1025</v>
      </c>
      <c r="B1029" s="10">
        <f>INDEX('2_Clean_Data'!$M$2:$M$1360,MATCH($A1029,'2_Clean_Data'!$A$2:$A$1360,0))</f>
        <v>7</v>
      </c>
      <c r="C1029" s="9" t="str">
        <f t="shared" ref="C1029:C1092" si="64">VLOOKUP(B1029,$L$12:$N$17,2,FALSE())</f>
        <v>Good</v>
      </c>
      <c r="D1029" s="11">
        <f>INDEX('2_Clean_Data'!$L$2:$L$1360,MATCH($A1029,'2_Clean_Data'!$A$2:$A$1360,0))</f>
        <v>11.2</v>
      </c>
      <c r="E1029" s="9" t="str">
        <f>IF(D1029&lt;'3_Summary_Tables'!$C$16,"Low",IF(D1029&lt;'3_Summary_Tables'!$C$17,"Medium","High"))</f>
        <v>Medium</v>
      </c>
      <c r="F1029" s="12">
        <f>INDEX('2_Clean_Data'!$C$2:$C$1360,MATCH($A1029,'2_Clean_Data'!$A$2:$A$1360,0))</f>
        <v>0.34</v>
      </c>
      <c r="G1029" s="10">
        <f>INDEX('2_Clean_Data'!$H$2:$H$1360,MATCH($A1029,'2_Clean_Data'!$A$2:$A$1360,0))</f>
        <v>10</v>
      </c>
      <c r="H1029" s="9" t="str">
        <f t="shared" ref="H1029:H1092" si="65">IF(G1029&gt;$M$8,"High",IF(G1029&gt;$M$7,"Moderate","Low"))</f>
        <v>Low</v>
      </c>
      <c r="I1029" s="9" t="str">
        <f t="shared" ref="I1029:I1092" si="66">IF(F1029&gt;$M$6,"Above limit","OK")</f>
        <v>OK</v>
      </c>
      <c r="J1029" s="9" t="str">
        <f t="shared" ref="J1029:J1092" si="67">IF(AND(B1029&gt;=7,E1029="High"),"Premium",IF(AND(B1029&gt;=6,I1029="OK"),"Solid",IF(B1029&lt;=4,"Poor","Standard")))</f>
        <v>Solid</v>
      </c>
    </row>
    <row r="1030" spans="1:10" x14ac:dyDescent="0.3">
      <c r="A1030" s="10">
        <f>'2_Clean_Data'!A1027</f>
        <v>1026</v>
      </c>
      <c r="B1030" s="10">
        <f>INDEX('2_Clean_Data'!$M$2:$M$1360,MATCH($A1030,'2_Clean_Data'!$A$2:$A$1360,0))</f>
        <v>8</v>
      </c>
      <c r="C1030" s="9" t="str">
        <f t="shared" si="64"/>
        <v>Excellent</v>
      </c>
      <c r="D1030" s="11">
        <f>INDEX('2_Clean_Data'!$L$2:$L$1360,MATCH($A1030,'2_Clean_Data'!$A$2:$A$1360,0))</f>
        <v>11.7</v>
      </c>
      <c r="E1030" s="9" t="str">
        <f>IF(D1030&lt;'3_Summary_Tables'!$C$16,"Low",IF(D1030&lt;'3_Summary_Tables'!$C$17,"Medium","High"))</f>
        <v>High</v>
      </c>
      <c r="F1030" s="12">
        <f>INDEX('2_Clean_Data'!$C$2:$C$1360,MATCH($A1030,'2_Clean_Data'!$A$2:$A$1360,0))</f>
        <v>0.42</v>
      </c>
      <c r="G1030" s="10">
        <f>INDEX('2_Clean_Data'!$H$2:$H$1360,MATCH($A1030,'2_Clean_Data'!$A$2:$A$1360,0))</f>
        <v>12</v>
      </c>
      <c r="H1030" s="9" t="str">
        <f t="shared" si="65"/>
        <v>Low</v>
      </c>
      <c r="I1030" s="9" t="str">
        <f t="shared" si="66"/>
        <v>OK</v>
      </c>
      <c r="J1030" s="9" t="str">
        <f t="shared" si="67"/>
        <v>Premium</v>
      </c>
    </row>
    <row r="1031" spans="1:10" x14ac:dyDescent="0.3">
      <c r="A1031" s="10">
        <f>'2_Clean_Data'!A1028</f>
        <v>1027</v>
      </c>
      <c r="B1031" s="10">
        <f>INDEX('2_Clean_Data'!$M$2:$M$1360,MATCH($A1031,'2_Clean_Data'!$A$2:$A$1360,0))</f>
        <v>5</v>
      </c>
      <c r="C1031" s="9" t="str">
        <f t="shared" si="64"/>
        <v>Average</v>
      </c>
      <c r="D1031" s="11">
        <f>INDEX('2_Clean_Data'!$L$2:$L$1360,MATCH($A1031,'2_Clean_Data'!$A$2:$A$1360,0))</f>
        <v>9.4</v>
      </c>
      <c r="E1031" s="9" t="str">
        <f>IF(D1031&lt;'3_Summary_Tables'!$C$16,"Low",IF(D1031&lt;'3_Summary_Tables'!$C$17,"Medium","High"))</f>
        <v>Low</v>
      </c>
      <c r="F1031" s="12">
        <f>INDEX('2_Clean_Data'!$C$2:$C$1360,MATCH($A1031,'2_Clean_Data'!$A$2:$A$1360,0))</f>
        <v>0.74</v>
      </c>
      <c r="G1031" s="10">
        <f>INDEX('2_Clean_Data'!$H$2:$H$1360,MATCH($A1031,'2_Clean_Data'!$A$2:$A$1360,0))</f>
        <v>76</v>
      </c>
      <c r="H1031" s="9" t="str">
        <f t="shared" si="65"/>
        <v>Moderate</v>
      </c>
      <c r="I1031" s="9" t="str">
        <f t="shared" si="66"/>
        <v>Above limit</v>
      </c>
      <c r="J1031" s="9" t="str">
        <f t="shared" si="67"/>
        <v>Standard</v>
      </c>
    </row>
    <row r="1032" spans="1:10" x14ac:dyDescent="0.3">
      <c r="A1032" s="10">
        <f>'2_Clean_Data'!A1029</f>
        <v>1028</v>
      </c>
      <c r="B1032" s="10">
        <f>INDEX('2_Clean_Data'!$M$2:$M$1360,MATCH($A1032,'2_Clean_Data'!$A$2:$A$1360,0))</f>
        <v>7</v>
      </c>
      <c r="C1032" s="9" t="str">
        <f t="shared" si="64"/>
        <v>Good</v>
      </c>
      <c r="D1032" s="11">
        <f>INDEX('2_Clean_Data'!$L$2:$L$1360,MATCH($A1032,'2_Clean_Data'!$A$2:$A$1360,0))</f>
        <v>11</v>
      </c>
      <c r="E1032" s="9" t="str">
        <f>IF(D1032&lt;'3_Summary_Tables'!$C$16,"Low",IF(D1032&lt;'3_Summary_Tables'!$C$17,"Medium","High"))</f>
        <v>Medium</v>
      </c>
      <c r="F1032" s="12">
        <f>INDEX('2_Clean_Data'!$C$2:$C$1360,MATCH($A1032,'2_Clean_Data'!$A$2:$A$1360,0))</f>
        <v>0.36</v>
      </c>
      <c r="G1032" s="10">
        <f>INDEX('2_Clean_Data'!$H$2:$H$1360,MATCH($A1032,'2_Clean_Data'!$A$2:$A$1360,0))</f>
        <v>44</v>
      </c>
      <c r="H1032" s="9" t="str">
        <f t="shared" si="65"/>
        <v>Low</v>
      </c>
      <c r="I1032" s="9" t="str">
        <f t="shared" si="66"/>
        <v>OK</v>
      </c>
      <c r="J1032" s="9" t="str">
        <f t="shared" si="67"/>
        <v>Solid</v>
      </c>
    </row>
    <row r="1033" spans="1:10" x14ac:dyDescent="0.3">
      <c r="A1033" s="10">
        <f>'2_Clean_Data'!A1030</f>
        <v>1029</v>
      </c>
      <c r="B1033" s="10">
        <f>INDEX('2_Clean_Data'!$M$2:$M$1360,MATCH($A1033,'2_Clean_Data'!$A$2:$A$1360,0))</f>
        <v>5</v>
      </c>
      <c r="C1033" s="9" t="str">
        <f t="shared" si="64"/>
        <v>Average</v>
      </c>
      <c r="D1033" s="11">
        <f>INDEX('2_Clean_Data'!$L$2:$L$1360,MATCH($A1033,'2_Clean_Data'!$A$2:$A$1360,0))</f>
        <v>10</v>
      </c>
      <c r="E1033" s="9" t="str">
        <f>IF(D1033&lt;'3_Summary_Tables'!$C$16,"Low",IF(D1033&lt;'3_Summary_Tables'!$C$17,"Medium","High"))</f>
        <v>Medium</v>
      </c>
      <c r="F1033" s="12">
        <f>INDEX('2_Clean_Data'!$C$2:$C$1360,MATCH($A1033,'2_Clean_Data'!$A$2:$A$1360,0))</f>
        <v>0.72</v>
      </c>
      <c r="G1033" s="10">
        <f>INDEX('2_Clean_Data'!$H$2:$H$1360,MATCH($A1033,'2_Clean_Data'!$A$2:$A$1360,0))</f>
        <v>52</v>
      </c>
      <c r="H1033" s="9" t="str">
        <f t="shared" si="65"/>
        <v>Moderate</v>
      </c>
      <c r="I1033" s="9" t="str">
        <f t="shared" si="66"/>
        <v>Above limit</v>
      </c>
      <c r="J1033" s="9" t="str">
        <f t="shared" si="67"/>
        <v>Standard</v>
      </c>
    </row>
    <row r="1034" spans="1:10" x14ac:dyDescent="0.3">
      <c r="A1034" s="10">
        <f>'2_Clean_Data'!A1031</f>
        <v>1030</v>
      </c>
      <c r="B1034" s="10">
        <f>INDEX('2_Clean_Data'!$M$2:$M$1360,MATCH($A1034,'2_Clean_Data'!$A$2:$A$1360,0))</f>
        <v>7</v>
      </c>
      <c r="C1034" s="9" t="str">
        <f t="shared" si="64"/>
        <v>Good</v>
      </c>
      <c r="D1034" s="11">
        <f>INDEX('2_Clean_Data'!$L$2:$L$1360,MATCH($A1034,'2_Clean_Data'!$A$2:$A$1360,0))</f>
        <v>11.2</v>
      </c>
      <c r="E1034" s="9" t="str">
        <f>IF(D1034&lt;'3_Summary_Tables'!$C$16,"Low",IF(D1034&lt;'3_Summary_Tables'!$C$17,"Medium","High"))</f>
        <v>Medium</v>
      </c>
      <c r="F1034" s="12">
        <f>INDEX('2_Clean_Data'!$C$2:$C$1360,MATCH($A1034,'2_Clean_Data'!$A$2:$A$1360,0))</f>
        <v>0.39</v>
      </c>
      <c r="G1034" s="10">
        <f>INDEX('2_Clean_Data'!$H$2:$H$1360,MATCH($A1034,'2_Clean_Data'!$A$2:$A$1360,0))</f>
        <v>24</v>
      </c>
      <c r="H1034" s="9" t="str">
        <f t="shared" si="65"/>
        <v>Low</v>
      </c>
      <c r="I1034" s="9" t="str">
        <f t="shared" si="66"/>
        <v>OK</v>
      </c>
      <c r="J1034" s="9" t="str">
        <f t="shared" si="67"/>
        <v>Solid</v>
      </c>
    </row>
    <row r="1035" spans="1:10" x14ac:dyDescent="0.3">
      <c r="A1035" s="10">
        <f>'2_Clean_Data'!A1032</f>
        <v>1031</v>
      </c>
      <c r="B1035" s="10">
        <f>INDEX('2_Clean_Data'!$M$2:$M$1360,MATCH($A1035,'2_Clean_Data'!$A$2:$A$1360,0))</f>
        <v>6</v>
      </c>
      <c r="C1035" s="9" t="str">
        <f t="shared" si="64"/>
        <v>Above Average</v>
      </c>
      <c r="D1035" s="11">
        <f>INDEX('2_Clean_Data'!$L$2:$L$1360,MATCH($A1035,'2_Clean_Data'!$A$2:$A$1360,0))</f>
        <v>10.4</v>
      </c>
      <c r="E1035" s="9" t="str">
        <f>IF(D1035&lt;'3_Summary_Tables'!$C$16,"Low",IF(D1035&lt;'3_Summary_Tables'!$C$17,"Medium","High"))</f>
        <v>Medium</v>
      </c>
      <c r="F1035" s="12">
        <f>INDEX('2_Clean_Data'!$C$2:$C$1360,MATCH($A1035,'2_Clean_Data'!$A$2:$A$1360,0))</f>
        <v>0.65</v>
      </c>
      <c r="G1035" s="10">
        <f>INDEX('2_Clean_Data'!$H$2:$H$1360,MATCH($A1035,'2_Clean_Data'!$A$2:$A$1360,0))</f>
        <v>15</v>
      </c>
      <c r="H1035" s="9" t="str">
        <f t="shared" si="65"/>
        <v>Low</v>
      </c>
      <c r="I1035" s="9" t="str">
        <f t="shared" si="66"/>
        <v>OK</v>
      </c>
      <c r="J1035" s="9" t="str">
        <f t="shared" si="67"/>
        <v>Solid</v>
      </c>
    </row>
    <row r="1036" spans="1:10" x14ac:dyDescent="0.3">
      <c r="A1036" s="10">
        <f>'2_Clean_Data'!A1033</f>
        <v>1032</v>
      </c>
      <c r="B1036" s="10">
        <f>INDEX('2_Clean_Data'!$M$2:$M$1360,MATCH($A1036,'2_Clean_Data'!$A$2:$A$1360,0))</f>
        <v>5</v>
      </c>
      <c r="C1036" s="9" t="str">
        <f t="shared" si="64"/>
        <v>Average</v>
      </c>
      <c r="D1036" s="11">
        <f>INDEX('2_Clean_Data'!$L$2:$L$1360,MATCH($A1036,'2_Clean_Data'!$A$2:$A$1360,0))</f>
        <v>9.3000000000000007</v>
      </c>
      <c r="E1036" s="9" t="str">
        <f>IF(D1036&lt;'3_Summary_Tables'!$C$16,"Low",IF(D1036&lt;'3_Summary_Tables'!$C$17,"Medium","High"))</f>
        <v>Low</v>
      </c>
      <c r="F1036" s="12">
        <f>INDEX('2_Clean_Data'!$C$2:$C$1360,MATCH($A1036,'2_Clean_Data'!$A$2:$A$1360,0))</f>
        <v>0.44</v>
      </c>
      <c r="G1036" s="10">
        <f>INDEX('2_Clean_Data'!$H$2:$H$1360,MATCH($A1036,'2_Clean_Data'!$A$2:$A$1360,0))</f>
        <v>53</v>
      </c>
      <c r="H1036" s="9" t="str">
        <f t="shared" si="65"/>
        <v>Moderate</v>
      </c>
      <c r="I1036" s="9" t="str">
        <f t="shared" si="66"/>
        <v>OK</v>
      </c>
      <c r="J1036" s="9" t="str">
        <f t="shared" si="67"/>
        <v>Standard</v>
      </c>
    </row>
    <row r="1037" spans="1:10" x14ac:dyDescent="0.3">
      <c r="A1037" s="10">
        <f>'2_Clean_Data'!A1034</f>
        <v>1033</v>
      </c>
      <c r="B1037" s="10">
        <f>INDEX('2_Clean_Data'!$M$2:$M$1360,MATCH($A1037,'2_Clean_Data'!$A$2:$A$1360,0))</f>
        <v>6</v>
      </c>
      <c r="C1037" s="9" t="str">
        <f t="shared" si="64"/>
        <v>Above Average</v>
      </c>
      <c r="D1037" s="11">
        <f>INDEX('2_Clean_Data'!$L$2:$L$1360,MATCH($A1037,'2_Clean_Data'!$A$2:$A$1360,0))</f>
        <v>10.5</v>
      </c>
      <c r="E1037" s="9" t="str">
        <f>IF(D1037&lt;'3_Summary_Tables'!$C$16,"Low",IF(D1037&lt;'3_Summary_Tables'!$C$17,"Medium","High"))</f>
        <v>Medium</v>
      </c>
      <c r="F1037" s="12">
        <f>INDEX('2_Clean_Data'!$C$2:$C$1360,MATCH($A1037,'2_Clean_Data'!$A$2:$A$1360,0))</f>
        <v>0.38</v>
      </c>
      <c r="G1037" s="10">
        <f>INDEX('2_Clean_Data'!$H$2:$H$1360,MATCH($A1037,'2_Clean_Data'!$A$2:$A$1360,0))</f>
        <v>13</v>
      </c>
      <c r="H1037" s="9" t="str">
        <f t="shared" si="65"/>
        <v>Low</v>
      </c>
      <c r="I1037" s="9" t="str">
        <f t="shared" si="66"/>
        <v>OK</v>
      </c>
      <c r="J1037" s="9" t="str">
        <f t="shared" si="67"/>
        <v>Solid</v>
      </c>
    </row>
    <row r="1038" spans="1:10" x14ac:dyDescent="0.3">
      <c r="A1038" s="10">
        <f>'2_Clean_Data'!A1035</f>
        <v>1034</v>
      </c>
      <c r="B1038" s="10">
        <f>INDEX('2_Clean_Data'!$M$2:$M$1360,MATCH($A1038,'2_Clean_Data'!$A$2:$A$1360,0))</f>
        <v>6</v>
      </c>
      <c r="C1038" s="9" t="str">
        <f t="shared" si="64"/>
        <v>Above Average</v>
      </c>
      <c r="D1038" s="11">
        <f>INDEX('2_Clean_Data'!$L$2:$L$1360,MATCH($A1038,'2_Clean_Data'!$A$2:$A$1360,0))</f>
        <v>10.4</v>
      </c>
      <c r="E1038" s="9" t="str">
        <f>IF(D1038&lt;'3_Summary_Tables'!$C$16,"Low",IF(D1038&lt;'3_Summary_Tables'!$C$17,"Medium","High"))</f>
        <v>Medium</v>
      </c>
      <c r="F1038" s="12">
        <f>INDEX('2_Clean_Data'!$C$2:$C$1360,MATCH($A1038,'2_Clean_Data'!$A$2:$A$1360,0))</f>
        <v>0.33</v>
      </c>
      <c r="G1038" s="10">
        <f>INDEX('2_Clean_Data'!$H$2:$H$1360,MATCH($A1038,'2_Clean_Data'!$A$2:$A$1360,0))</f>
        <v>9</v>
      </c>
      <c r="H1038" s="9" t="str">
        <f t="shared" si="65"/>
        <v>Low</v>
      </c>
      <c r="I1038" s="9" t="str">
        <f t="shared" si="66"/>
        <v>OK</v>
      </c>
      <c r="J1038" s="9" t="str">
        <f t="shared" si="67"/>
        <v>Solid</v>
      </c>
    </row>
    <row r="1039" spans="1:10" x14ac:dyDescent="0.3">
      <c r="A1039" s="10">
        <f>'2_Clean_Data'!A1036</f>
        <v>1035</v>
      </c>
      <c r="B1039" s="10">
        <f>INDEX('2_Clean_Data'!$M$2:$M$1360,MATCH($A1039,'2_Clean_Data'!$A$2:$A$1360,0))</f>
        <v>6</v>
      </c>
      <c r="C1039" s="9" t="str">
        <f t="shared" si="64"/>
        <v>Above Average</v>
      </c>
      <c r="D1039" s="11">
        <f>INDEX('2_Clean_Data'!$L$2:$L$1360,MATCH($A1039,'2_Clean_Data'!$A$2:$A$1360,0))</f>
        <v>11.3</v>
      </c>
      <c r="E1039" s="9" t="str">
        <f>IF(D1039&lt;'3_Summary_Tables'!$C$16,"Low",IF(D1039&lt;'3_Summary_Tables'!$C$17,"Medium","High"))</f>
        <v>Medium</v>
      </c>
      <c r="F1039" s="12">
        <f>INDEX('2_Clean_Data'!$C$2:$C$1360,MATCH($A1039,'2_Clean_Data'!$A$2:$A$1360,0))</f>
        <v>0.27</v>
      </c>
      <c r="G1039" s="10">
        <f>INDEX('2_Clean_Data'!$H$2:$H$1360,MATCH($A1039,'2_Clean_Data'!$A$2:$A$1360,0))</f>
        <v>29</v>
      </c>
      <c r="H1039" s="9" t="str">
        <f t="shared" si="65"/>
        <v>Low</v>
      </c>
      <c r="I1039" s="9" t="str">
        <f t="shared" si="66"/>
        <v>OK</v>
      </c>
      <c r="J1039" s="9" t="str">
        <f t="shared" si="67"/>
        <v>Solid</v>
      </c>
    </row>
    <row r="1040" spans="1:10" x14ac:dyDescent="0.3">
      <c r="A1040" s="10">
        <f>'2_Clean_Data'!A1037</f>
        <v>1036</v>
      </c>
      <c r="B1040" s="10">
        <f>INDEX('2_Clean_Data'!$M$2:$M$1360,MATCH($A1040,'2_Clean_Data'!$A$2:$A$1360,0))</f>
        <v>6</v>
      </c>
      <c r="C1040" s="9" t="str">
        <f t="shared" si="64"/>
        <v>Above Average</v>
      </c>
      <c r="D1040" s="11">
        <f>INDEX('2_Clean_Data'!$L$2:$L$1360,MATCH($A1040,'2_Clean_Data'!$A$2:$A$1360,0))</f>
        <v>9.5</v>
      </c>
      <c r="E1040" s="9" t="str">
        <f>IF(D1040&lt;'3_Summary_Tables'!$C$16,"Low",IF(D1040&lt;'3_Summary_Tables'!$C$17,"Medium","High"))</f>
        <v>Low</v>
      </c>
      <c r="F1040" s="12">
        <f>INDEX('2_Clean_Data'!$C$2:$C$1360,MATCH($A1040,'2_Clean_Data'!$A$2:$A$1360,0))</f>
        <v>0.56999999999999995</v>
      </c>
      <c r="G1040" s="10">
        <f>INDEX('2_Clean_Data'!$H$2:$H$1360,MATCH($A1040,'2_Clean_Data'!$A$2:$A$1360,0))</f>
        <v>79</v>
      </c>
      <c r="H1040" s="9" t="str">
        <f t="shared" si="65"/>
        <v>Moderate</v>
      </c>
      <c r="I1040" s="9" t="str">
        <f t="shared" si="66"/>
        <v>OK</v>
      </c>
      <c r="J1040" s="9" t="str">
        <f t="shared" si="67"/>
        <v>Solid</v>
      </c>
    </row>
    <row r="1041" spans="1:10" x14ac:dyDescent="0.3">
      <c r="A1041" s="10">
        <f>'2_Clean_Data'!A1038</f>
        <v>1037</v>
      </c>
      <c r="B1041" s="10">
        <f>INDEX('2_Clean_Data'!$M$2:$M$1360,MATCH($A1041,'2_Clean_Data'!$A$2:$A$1360,0))</f>
        <v>6</v>
      </c>
      <c r="C1041" s="9" t="str">
        <f t="shared" si="64"/>
        <v>Above Average</v>
      </c>
      <c r="D1041" s="11">
        <f>INDEX('2_Clean_Data'!$L$2:$L$1360,MATCH($A1041,'2_Clean_Data'!$A$2:$A$1360,0))</f>
        <v>12</v>
      </c>
      <c r="E1041" s="9" t="str">
        <f>IF(D1041&lt;'3_Summary_Tables'!$C$16,"Low",IF(D1041&lt;'3_Summary_Tables'!$C$17,"Medium","High"))</f>
        <v>High</v>
      </c>
      <c r="F1041" s="12">
        <f>INDEX('2_Clean_Data'!$C$2:$C$1360,MATCH($A1041,'2_Clean_Data'!$A$2:$A$1360,0))</f>
        <v>0.34</v>
      </c>
      <c r="G1041" s="10">
        <f>INDEX('2_Clean_Data'!$H$2:$H$1360,MATCH($A1041,'2_Clean_Data'!$A$2:$A$1360,0))</f>
        <v>74</v>
      </c>
      <c r="H1041" s="9" t="str">
        <f t="shared" si="65"/>
        <v>Moderate</v>
      </c>
      <c r="I1041" s="9" t="str">
        <f t="shared" si="66"/>
        <v>OK</v>
      </c>
      <c r="J1041" s="9" t="str">
        <f t="shared" si="67"/>
        <v>Solid</v>
      </c>
    </row>
    <row r="1042" spans="1:10" x14ac:dyDescent="0.3">
      <c r="A1042" s="10">
        <f>'2_Clean_Data'!A1039</f>
        <v>1038</v>
      </c>
      <c r="B1042" s="10">
        <f>INDEX('2_Clean_Data'!$M$2:$M$1360,MATCH($A1042,'2_Clean_Data'!$A$2:$A$1360,0))</f>
        <v>6</v>
      </c>
      <c r="C1042" s="9" t="str">
        <f t="shared" si="64"/>
        <v>Above Average</v>
      </c>
      <c r="D1042" s="11">
        <f>INDEX('2_Clean_Data'!$L$2:$L$1360,MATCH($A1042,'2_Clean_Data'!$A$2:$A$1360,0))</f>
        <v>10.6</v>
      </c>
      <c r="E1042" s="9" t="str">
        <f>IF(D1042&lt;'3_Summary_Tables'!$C$16,"Low",IF(D1042&lt;'3_Summary_Tables'!$C$17,"Medium","High"))</f>
        <v>Medium</v>
      </c>
      <c r="F1042" s="12">
        <f>INDEX('2_Clean_Data'!$C$2:$C$1360,MATCH($A1042,'2_Clean_Data'!$A$2:$A$1360,0))</f>
        <v>0.4</v>
      </c>
      <c r="G1042" s="10">
        <f>INDEX('2_Clean_Data'!$H$2:$H$1360,MATCH($A1042,'2_Clean_Data'!$A$2:$A$1360,0))</f>
        <v>24</v>
      </c>
      <c r="H1042" s="9" t="str">
        <f t="shared" si="65"/>
        <v>Low</v>
      </c>
      <c r="I1042" s="9" t="str">
        <f t="shared" si="66"/>
        <v>OK</v>
      </c>
      <c r="J1042" s="9" t="str">
        <f t="shared" si="67"/>
        <v>Solid</v>
      </c>
    </row>
    <row r="1043" spans="1:10" x14ac:dyDescent="0.3">
      <c r="A1043" s="10">
        <f>'2_Clean_Data'!A1040</f>
        <v>1039</v>
      </c>
      <c r="B1043" s="10">
        <f>INDEX('2_Clean_Data'!$M$2:$M$1360,MATCH($A1043,'2_Clean_Data'!$A$2:$A$1360,0))</f>
        <v>6</v>
      </c>
      <c r="C1043" s="9" t="str">
        <f t="shared" si="64"/>
        <v>Above Average</v>
      </c>
      <c r="D1043" s="11">
        <f>INDEX('2_Clean_Data'!$L$2:$L$1360,MATCH($A1043,'2_Clean_Data'!$A$2:$A$1360,0))</f>
        <v>10.9</v>
      </c>
      <c r="E1043" s="9" t="str">
        <f>IF(D1043&lt;'3_Summary_Tables'!$C$16,"Low",IF(D1043&lt;'3_Summary_Tables'!$C$17,"Medium","High"))</f>
        <v>Medium</v>
      </c>
      <c r="F1043" s="12">
        <f>INDEX('2_Clean_Data'!$C$2:$C$1360,MATCH($A1043,'2_Clean_Data'!$A$2:$A$1360,0))</f>
        <v>0.39</v>
      </c>
      <c r="G1043" s="10">
        <f>INDEX('2_Clean_Data'!$H$2:$H$1360,MATCH($A1043,'2_Clean_Data'!$A$2:$A$1360,0))</f>
        <v>50</v>
      </c>
      <c r="H1043" s="9" t="str">
        <f t="shared" si="65"/>
        <v>Low</v>
      </c>
      <c r="I1043" s="9" t="str">
        <f t="shared" si="66"/>
        <v>OK</v>
      </c>
      <c r="J1043" s="9" t="str">
        <f t="shared" si="67"/>
        <v>Solid</v>
      </c>
    </row>
    <row r="1044" spans="1:10" x14ac:dyDescent="0.3">
      <c r="A1044" s="10">
        <f>'2_Clean_Data'!A1041</f>
        <v>1040</v>
      </c>
      <c r="B1044" s="10">
        <f>INDEX('2_Clean_Data'!$M$2:$M$1360,MATCH($A1044,'2_Clean_Data'!$A$2:$A$1360,0))</f>
        <v>6</v>
      </c>
      <c r="C1044" s="9" t="str">
        <f t="shared" si="64"/>
        <v>Above Average</v>
      </c>
      <c r="D1044" s="11">
        <f>INDEX('2_Clean_Data'!$L$2:$L$1360,MATCH($A1044,'2_Clean_Data'!$A$2:$A$1360,0))</f>
        <v>11.5</v>
      </c>
      <c r="E1044" s="9" t="str">
        <f>IF(D1044&lt;'3_Summary_Tables'!$C$16,"Low",IF(D1044&lt;'3_Summary_Tables'!$C$17,"Medium","High"))</f>
        <v>High</v>
      </c>
      <c r="F1044" s="12">
        <f>INDEX('2_Clean_Data'!$C$2:$C$1360,MATCH($A1044,'2_Clean_Data'!$A$2:$A$1360,0))</f>
        <v>0.32</v>
      </c>
      <c r="G1044" s="10">
        <f>INDEX('2_Clean_Data'!$H$2:$H$1360,MATCH($A1044,'2_Clean_Data'!$A$2:$A$1360,0))</f>
        <v>44</v>
      </c>
      <c r="H1044" s="9" t="str">
        <f t="shared" si="65"/>
        <v>Low</v>
      </c>
      <c r="I1044" s="9" t="str">
        <f t="shared" si="66"/>
        <v>OK</v>
      </c>
      <c r="J1044" s="9" t="str">
        <f t="shared" si="67"/>
        <v>Solid</v>
      </c>
    </row>
    <row r="1045" spans="1:10" x14ac:dyDescent="0.3">
      <c r="A1045" s="10">
        <f>'2_Clean_Data'!A1042</f>
        <v>1041</v>
      </c>
      <c r="B1045" s="10">
        <f>INDEX('2_Clean_Data'!$M$2:$M$1360,MATCH($A1045,'2_Clean_Data'!$A$2:$A$1360,0))</f>
        <v>6</v>
      </c>
      <c r="C1045" s="9" t="str">
        <f t="shared" si="64"/>
        <v>Above Average</v>
      </c>
      <c r="D1045" s="11">
        <f>INDEX('2_Clean_Data'!$L$2:$L$1360,MATCH($A1045,'2_Clean_Data'!$A$2:$A$1360,0))</f>
        <v>9.6</v>
      </c>
      <c r="E1045" s="9" t="str">
        <f>IF(D1045&lt;'3_Summary_Tables'!$C$16,"Low",IF(D1045&lt;'3_Summary_Tables'!$C$17,"Medium","High"))</f>
        <v>Low</v>
      </c>
      <c r="F1045" s="12">
        <f>INDEX('2_Clean_Data'!$C$2:$C$1360,MATCH($A1045,'2_Clean_Data'!$A$2:$A$1360,0))</f>
        <v>0.53</v>
      </c>
      <c r="G1045" s="10">
        <f>INDEX('2_Clean_Data'!$H$2:$H$1360,MATCH($A1045,'2_Clean_Data'!$A$2:$A$1360,0))</f>
        <v>89</v>
      </c>
      <c r="H1045" s="9" t="str">
        <f t="shared" si="65"/>
        <v>Moderate</v>
      </c>
      <c r="I1045" s="9" t="str">
        <f t="shared" si="66"/>
        <v>OK</v>
      </c>
      <c r="J1045" s="9" t="str">
        <f t="shared" si="67"/>
        <v>Solid</v>
      </c>
    </row>
    <row r="1046" spans="1:10" x14ac:dyDescent="0.3">
      <c r="A1046" s="10">
        <f>'2_Clean_Data'!A1043</f>
        <v>1042</v>
      </c>
      <c r="B1046" s="10">
        <f>INDEX('2_Clean_Data'!$M$2:$M$1360,MATCH($A1046,'2_Clean_Data'!$A$2:$A$1360,0))</f>
        <v>6</v>
      </c>
      <c r="C1046" s="9" t="str">
        <f t="shared" si="64"/>
        <v>Above Average</v>
      </c>
      <c r="D1046" s="11">
        <f>INDEX('2_Clean_Data'!$L$2:$L$1360,MATCH($A1046,'2_Clean_Data'!$A$2:$A$1360,0))</f>
        <v>12</v>
      </c>
      <c r="E1046" s="9" t="str">
        <f>IF(D1046&lt;'3_Summary_Tables'!$C$16,"Low",IF(D1046&lt;'3_Summary_Tables'!$C$17,"Medium","High"))</f>
        <v>High</v>
      </c>
      <c r="F1046" s="12">
        <f>INDEX('2_Clean_Data'!$C$2:$C$1360,MATCH($A1046,'2_Clean_Data'!$A$2:$A$1360,0))</f>
        <v>0.36</v>
      </c>
      <c r="G1046" s="10">
        <f>INDEX('2_Clean_Data'!$H$2:$H$1360,MATCH($A1046,'2_Clean_Data'!$A$2:$A$1360,0))</f>
        <v>23</v>
      </c>
      <c r="H1046" s="9" t="str">
        <f t="shared" si="65"/>
        <v>Low</v>
      </c>
      <c r="I1046" s="9" t="str">
        <f t="shared" si="66"/>
        <v>OK</v>
      </c>
      <c r="J1046" s="9" t="str">
        <f t="shared" si="67"/>
        <v>Solid</v>
      </c>
    </row>
    <row r="1047" spans="1:10" x14ac:dyDescent="0.3">
      <c r="A1047" s="10">
        <f>'2_Clean_Data'!A1044</f>
        <v>1043</v>
      </c>
      <c r="B1047" s="10">
        <f>INDEX('2_Clean_Data'!$M$2:$M$1360,MATCH($A1047,'2_Clean_Data'!$A$2:$A$1360,0))</f>
        <v>6</v>
      </c>
      <c r="C1047" s="9" t="str">
        <f t="shared" si="64"/>
        <v>Above Average</v>
      </c>
      <c r="D1047" s="11">
        <f>INDEX('2_Clean_Data'!$L$2:$L$1360,MATCH($A1047,'2_Clean_Data'!$A$2:$A$1360,0))</f>
        <v>10.3</v>
      </c>
      <c r="E1047" s="9" t="str">
        <f>IF(D1047&lt;'3_Summary_Tables'!$C$16,"Low",IF(D1047&lt;'3_Summary_Tables'!$C$17,"Medium","High"))</f>
        <v>Medium</v>
      </c>
      <c r="F1047" s="12">
        <f>INDEX('2_Clean_Data'!$C$2:$C$1360,MATCH($A1047,'2_Clean_Data'!$A$2:$A$1360,0))</f>
        <v>0.39</v>
      </c>
      <c r="G1047" s="10">
        <f>INDEX('2_Clean_Data'!$H$2:$H$1360,MATCH($A1047,'2_Clean_Data'!$A$2:$A$1360,0))</f>
        <v>20</v>
      </c>
      <c r="H1047" s="9" t="str">
        <f t="shared" si="65"/>
        <v>Low</v>
      </c>
      <c r="I1047" s="9" t="str">
        <f t="shared" si="66"/>
        <v>OK</v>
      </c>
      <c r="J1047" s="9" t="str">
        <f t="shared" si="67"/>
        <v>Solid</v>
      </c>
    </row>
    <row r="1048" spans="1:10" x14ac:dyDescent="0.3">
      <c r="A1048" s="10">
        <f>'2_Clean_Data'!A1045</f>
        <v>1044</v>
      </c>
      <c r="B1048" s="10">
        <f>INDEX('2_Clean_Data'!$M$2:$M$1360,MATCH($A1048,'2_Clean_Data'!$A$2:$A$1360,0))</f>
        <v>5</v>
      </c>
      <c r="C1048" s="9" t="str">
        <f t="shared" si="64"/>
        <v>Average</v>
      </c>
      <c r="D1048" s="11">
        <f>INDEX('2_Clean_Data'!$L$2:$L$1360,MATCH($A1048,'2_Clean_Data'!$A$2:$A$1360,0))</f>
        <v>9.4</v>
      </c>
      <c r="E1048" s="9" t="str">
        <f>IF(D1048&lt;'3_Summary_Tables'!$C$16,"Low",IF(D1048&lt;'3_Summary_Tables'!$C$17,"Medium","High"))</f>
        <v>Low</v>
      </c>
      <c r="F1048" s="12">
        <f>INDEX('2_Clean_Data'!$C$2:$C$1360,MATCH($A1048,'2_Clean_Data'!$A$2:$A$1360,0))</f>
        <v>0.46</v>
      </c>
      <c r="G1048" s="10">
        <f>INDEX('2_Clean_Data'!$H$2:$H$1360,MATCH($A1048,'2_Clean_Data'!$A$2:$A$1360,0))</f>
        <v>77</v>
      </c>
      <c r="H1048" s="9" t="str">
        <f t="shared" si="65"/>
        <v>Moderate</v>
      </c>
      <c r="I1048" s="9" t="str">
        <f t="shared" si="66"/>
        <v>OK</v>
      </c>
      <c r="J1048" s="9" t="str">
        <f t="shared" si="67"/>
        <v>Standard</v>
      </c>
    </row>
    <row r="1049" spans="1:10" x14ac:dyDescent="0.3">
      <c r="A1049" s="10">
        <f>'2_Clean_Data'!A1046</f>
        <v>1045</v>
      </c>
      <c r="B1049" s="10">
        <f>INDEX('2_Clean_Data'!$M$2:$M$1360,MATCH($A1049,'2_Clean_Data'!$A$2:$A$1360,0))</f>
        <v>5</v>
      </c>
      <c r="C1049" s="9" t="str">
        <f t="shared" si="64"/>
        <v>Average</v>
      </c>
      <c r="D1049" s="11">
        <f>INDEX('2_Clean_Data'!$L$2:$L$1360,MATCH($A1049,'2_Clean_Data'!$A$2:$A$1360,0))</f>
        <v>9.1999999999999993</v>
      </c>
      <c r="E1049" s="9" t="str">
        <f>IF(D1049&lt;'3_Summary_Tables'!$C$16,"Low",IF(D1049&lt;'3_Summary_Tables'!$C$17,"Medium","High"))</f>
        <v>Low</v>
      </c>
      <c r="F1049" s="12">
        <f>INDEX('2_Clean_Data'!$C$2:$C$1360,MATCH($A1049,'2_Clean_Data'!$A$2:$A$1360,0))</f>
        <v>0.57999999999999996</v>
      </c>
      <c r="G1049" s="10">
        <f>INDEX('2_Clean_Data'!$H$2:$H$1360,MATCH($A1049,'2_Clean_Data'!$A$2:$A$1360,0))</f>
        <v>46</v>
      </c>
      <c r="H1049" s="9" t="str">
        <f t="shared" si="65"/>
        <v>Low</v>
      </c>
      <c r="I1049" s="9" t="str">
        <f t="shared" si="66"/>
        <v>OK</v>
      </c>
      <c r="J1049" s="9" t="str">
        <f t="shared" si="67"/>
        <v>Standard</v>
      </c>
    </row>
    <row r="1050" spans="1:10" x14ac:dyDescent="0.3">
      <c r="A1050" s="10">
        <f>'2_Clean_Data'!A1047</f>
        <v>1046</v>
      </c>
      <c r="B1050" s="10">
        <f>INDEX('2_Clean_Data'!$M$2:$M$1360,MATCH($A1050,'2_Clean_Data'!$A$2:$A$1360,0))</f>
        <v>5</v>
      </c>
      <c r="C1050" s="9" t="str">
        <f t="shared" si="64"/>
        <v>Average</v>
      </c>
      <c r="D1050" s="11">
        <f>INDEX('2_Clean_Data'!$L$2:$L$1360,MATCH($A1050,'2_Clean_Data'!$A$2:$A$1360,0))</f>
        <v>9.6</v>
      </c>
      <c r="E1050" s="9" t="str">
        <f>IF(D1050&lt;'3_Summary_Tables'!$C$16,"Low",IF(D1050&lt;'3_Summary_Tables'!$C$17,"Medium","High"))</f>
        <v>Low</v>
      </c>
      <c r="F1050" s="12">
        <f>INDEX('2_Clean_Data'!$C$2:$C$1360,MATCH($A1050,'2_Clean_Data'!$A$2:$A$1360,0))</f>
        <v>0.57999999999999996</v>
      </c>
      <c r="G1050" s="10">
        <f>INDEX('2_Clean_Data'!$H$2:$H$1360,MATCH($A1050,'2_Clean_Data'!$A$2:$A$1360,0))</f>
        <v>21</v>
      </c>
      <c r="H1050" s="9" t="str">
        <f t="shared" si="65"/>
        <v>Low</v>
      </c>
      <c r="I1050" s="9" t="str">
        <f t="shared" si="66"/>
        <v>OK</v>
      </c>
      <c r="J1050" s="9" t="str">
        <f t="shared" si="67"/>
        <v>Standard</v>
      </c>
    </row>
    <row r="1051" spans="1:10" x14ac:dyDescent="0.3">
      <c r="A1051" s="10">
        <f>'2_Clean_Data'!A1048</f>
        <v>1047</v>
      </c>
      <c r="B1051" s="10">
        <f>INDEX('2_Clean_Data'!$M$2:$M$1360,MATCH($A1051,'2_Clean_Data'!$A$2:$A$1360,0))</f>
        <v>7</v>
      </c>
      <c r="C1051" s="9" t="str">
        <f t="shared" si="64"/>
        <v>Good</v>
      </c>
      <c r="D1051" s="11">
        <f>INDEX('2_Clean_Data'!$L$2:$L$1360,MATCH($A1051,'2_Clean_Data'!$A$2:$A$1360,0))</f>
        <v>13.6</v>
      </c>
      <c r="E1051" s="9" t="str">
        <f>IF(D1051&lt;'3_Summary_Tables'!$C$16,"Low",IF(D1051&lt;'3_Summary_Tables'!$C$17,"Medium","High"))</f>
        <v>High</v>
      </c>
      <c r="F1051" s="12">
        <f>INDEX('2_Clean_Data'!$C$2:$C$1360,MATCH($A1051,'2_Clean_Data'!$A$2:$A$1360,0))</f>
        <v>0.42</v>
      </c>
      <c r="G1051" s="10">
        <f>INDEX('2_Clean_Data'!$H$2:$H$1360,MATCH($A1051,'2_Clean_Data'!$A$2:$A$1360,0))</f>
        <v>88</v>
      </c>
      <c r="H1051" s="9" t="str">
        <f t="shared" si="65"/>
        <v>Moderate</v>
      </c>
      <c r="I1051" s="9" t="str">
        <f t="shared" si="66"/>
        <v>OK</v>
      </c>
      <c r="J1051" s="9" t="str">
        <f t="shared" si="67"/>
        <v>Premium</v>
      </c>
    </row>
    <row r="1052" spans="1:10" x14ac:dyDescent="0.3">
      <c r="A1052" s="10">
        <f>'2_Clean_Data'!A1049</f>
        <v>1048</v>
      </c>
      <c r="B1052" s="10">
        <f>INDEX('2_Clean_Data'!$M$2:$M$1360,MATCH($A1052,'2_Clean_Data'!$A$2:$A$1360,0))</f>
        <v>5</v>
      </c>
      <c r="C1052" s="9" t="str">
        <f t="shared" si="64"/>
        <v>Average</v>
      </c>
      <c r="D1052" s="11">
        <f>INDEX('2_Clean_Data'!$L$2:$L$1360,MATCH($A1052,'2_Clean_Data'!$A$2:$A$1360,0))</f>
        <v>9.5</v>
      </c>
      <c r="E1052" s="9" t="str">
        <f>IF(D1052&lt;'3_Summary_Tables'!$C$16,"Low",IF(D1052&lt;'3_Summary_Tables'!$C$17,"Medium","High"))</f>
        <v>Low</v>
      </c>
      <c r="F1052" s="12">
        <f>INDEX('2_Clean_Data'!$C$2:$C$1360,MATCH($A1052,'2_Clean_Data'!$A$2:$A$1360,0))</f>
        <v>0.43</v>
      </c>
      <c r="G1052" s="10">
        <f>INDEX('2_Clean_Data'!$H$2:$H$1360,MATCH($A1052,'2_Clean_Data'!$A$2:$A$1360,0))</f>
        <v>66</v>
      </c>
      <c r="H1052" s="9" t="str">
        <f t="shared" si="65"/>
        <v>Moderate</v>
      </c>
      <c r="I1052" s="9" t="str">
        <f t="shared" si="66"/>
        <v>OK</v>
      </c>
      <c r="J1052" s="9" t="str">
        <f t="shared" si="67"/>
        <v>Standard</v>
      </c>
    </row>
    <row r="1053" spans="1:10" x14ac:dyDescent="0.3">
      <c r="A1053" s="10">
        <f>'2_Clean_Data'!A1050</f>
        <v>1049</v>
      </c>
      <c r="B1053" s="10">
        <f>INDEX('2_Clean_Data'!$M$2:$M$1360,MATCH($A1053,'2_Clean_Data'!$A$2:$A$1360,0))</f>
        <v>6</v>
      </c>
      <c r="C1053" s="9" t="str">
        <f t="shared" si="64"/>
        <v>Above Average</v>
      </c>
      <c r="D1053" s="11">
        <f>INDEX('2_Clean_Data'!$L$2:$L$1360,MATCH($A1053,'2_Clean_Data'!$A$2:$A$1360,0))</f>
        <v>11.8</v>
      </c>
      <c r="E1053" s="9" t="str">
        <f>IF(D1053&lt;'3_Summary_Tables'!$C$16,"Low",IF(D1053&lt;'3_Summary_Tables'!$C$17,"Medium","High"))</f>
        <v>High</v>
      </c>
      <c r="F1053" s="12">
        <f>INDEX('2_Clean_Data'!$C$2:$C$1360,MATCH($A1053,'2_Clean_Data'!$A$2:$A$1360,0))</f>
        <v>0.18</v>
      </c>
      <c r="G1053" s="10">
        <f>INDEX('2_Clean_Data'!$H$2:$H$1360,MATCH($A1053,'2_Clean_Data'!$A$2:$A$1360,0))</f>
        <v>58</v>
      </c>
      <c r="H1053" s="9" t="str">
        <f t="shared" si="65"/>
        <v>Moderate</v>
      </c>
      <c r="I1053" s="9" t="str">
        <f t="shared" si="66"/>
        <v>OK</v>
      </c>
      <c r="J1053" s="9" t="str">
        <f t="shared" si="67"/>
        <v>Solid</v>
      </c>
    </row>
    <row r="1054" spans="1:10" x14ac:dyDescent="0.3">
      <c r="A1054" s="10">
        <f>'2_Clean_Data'!A1051</f>
        <v>1050</v>
      </c>
      <c r="B1054" s="10">
        <f>INDEX('2_Clean_Data'!$M$2:$M$1360,MATCH($A1054,'2_Clean_Data'!$A$2:$A$1360,0))</f>
        <v>5</v>
      </c>
      <c r="C1054" s="9" t="str">
        <f t="shared" si="64"/>
        <v>Average</v>
      </c>
      <c r="D1054" s="11">
        <f>INDEX('2_Clean_Data'!$L$2:$L$1360,MATCH($A1054,'2_Clean_Data'!$A$2:$A$1360,0))</f>
        <v>10.8</v>
      </c>
      <c r="E1054" s="9" t="str">
        <f>IF(D1054&lt;'3_Summary_Tables'!$C$16,"Low",IF(D1054&lt;'3_Summary_Tables'!$C$17,"Medium","High"))</f>
        <v>Medium</v>
      </c>
      <c r="F1054" s="12">
        <f>INDEX('2_Clean_Data'!$C$2:$C$1360,MATCH($A1054,'2_Clean_Data'!$A$2:$A$1360,0))</f>
        <v>0.81499999999999995</v>
      </c>
      <c r="G1054" s="10">
        <f>INDEX('2_Clean_Data'!$H$2:$H$1360,MATCH($A1054,'2_Clean_Data'!$A$2:$A$1360,0))</f>
        <v>90</v>
      </c>
      <c r="H1054" s="9" t="str">
        <f t="shared" si="65"/>
        <v>Moderate</v>
      </c>
      <c r="I1054" s="9" t="str">
        <f t="shared" si="66"/>
        <v>Above limit</v>
      </c>
      <c r="J1054" s="9" t="str">
        <f t="shared" si="67"/>
        <v>Standard</v>
      </c>
    </row>
    <row r="1055" spans="1:10" x14ac:dyDescent="0.3">
      <c r="A1055" s="10">
        <f>'2_Clean_Data'!A1052</f>
        <v>1051</v>
      </c>
      <c r="B1055" s="10">
        <f>INDEX('2_Clean_Data'!$M$2:$M$1360,MATCH($A1055,'2_Clean_Data'!$A$2:$A$1360,0))</f>
        <v>4</v>
      </c>
      <c r="C1055" s="9" t="str">
        <f t="shared" si="64"/>
        <v>Poor</v>
      </c>
      <c r="D1055" s="11">
        <f>INDEX('2_Clean_Data'!$L$2:$L$1360,MATCH($A1055,'2_Clean_Data'!$A$2:$A$1360,0))</f>
        <v>9.3000000000000007</v>
      </c>
      <c r="E1055" s="9" t="str">
        <f>IF(D1055&lt;'3_Summary_Tables'!$C$16,"Low",IF(D1055&lt;'3_Summary_Tables'!$C$17,"Medium","High"))</f>
        <v>Low</v>
      </c>
      <c r="F1055" s="12">
        <f>INDEX('2_Clean_Data'!$C$2:$C$1360,MATCH($A1055,'2_Clean_Data'!$A$2:$A$1360,0))</f>
        <v>0.23</v>
      </c>
      <c r="G1055" s="10">
        <f>INDEX('2_Clean_Data'!$H$2:$H$1360,MATCH($A1055,'2_Clean_Data'!$A$2:$A$1360,0))</f>
        <v>36</v>
      </c>
      <c r="H1055" s="9" t="str">
        <f t="shared" si="65"/>
        <v>Low</v>
      </c>
      <c r="I1055" s="9" t="str">
        <f t="shared" si="66"/>
        <v>OK</v>
      </c>
      <c r="J1055" s="9" t="str">
        <f t="shared" si="67"/>
        <v>Poor</v>
      </c>
    </row>
    <row r="1056" spans="1:10" x14ac:dyDescent="0.3">
      <c r="A1056" s="10">
        <f>'2_Clean_Data'!A1053</f>
        <v>1052</v>
      </c>
      <c r="B1056" s="10">
        <f>INDEX('2_Clean_Data'!$M$2:$M$1360,MATCH($A1056,'2_Clean_Data'!$A$2:$A$1360,0))</f>
        <v>6</v>
      </c>
      <c r="C1056" s="9" t="str">
        <f t="shared" si="64"/>
        <v>Above Average</v>
      </c>
      <c r="D1056" s="11">
        <f>INDEX('2_Clean_Data'!$L$2:$L$1360,MATCH($A1056,'2_Clean_Data'!$A$2:$A$1360,0))</f>
        <v>12.8</v>
      </c>
      <c r="E1056" s="9" t="str">
        <f>IF(D1056&lt;'3_Summary_Tables'!$C$16,"Low",IF(D1056&lt;'3_Summary_Tables'!$C$17,"Medium","High"))</f>
        <v>High</v>
      </c>
      <c r="F1056" s="12">
        <f>INDEX('2_Clean_Data'!$C$2:$C$1360,MATCH($A1056,'2_Clean_Data'!$A$2:$A$1360,0))</f>
        <v>0.75</v>
      </c>
      <c r="G1056" s="10">
        <f>INDEX('2_Clean_Data'!$H$2:$H$1360,MATCH($A1056,'2_Clean_Data'!$A$2:$A$1360,0))</f>
        <v>18</v>
      </c>
      <c r="H1056" s="9" t="str">
        <f t="shared" si="65"/>
        <v>Low</v>
      </c>
      <c r="I1056" s="9" t="str">
        <f t="shared" si="66"/>
        <v>Above limit</v>
      </c>
      <c r="J1056" s="9" t="str">
        <f t="shared" si="67"/>
        <v>Standard</v>
      </c>
    </row>
    <row r="1057" spans="1:10" x14ac:dyDescent="0.3">
      <c r="A1057" s="10">
        <f>'2_Clean_Data'!A1054</f>
        <v>1053</v>
      </c>
      <c r="B1057" s="10">
        <f>INDEX('2_Clean_Data'!$M$2:$M$1360,MATCH($A1057,'2_Clean_Data'!$A$2:$A$1360,0))</f>
        <v>4</v>
      </c>
      <c r="C1057" s="9" t="str">
        <f t="shared" si="64"/>
        <v>Poor</v>
      </c>
      <c r="D1057" s="11">
        <f>INDEX('2_Clean_Data'!$L$2:$L$1360,MATCH($A1057,'2_Clean_Data'!$A$2:$A$1360,0))</f>
        <v>11.5</v>
      </c>
      <c r="E1057" s="9" t="str">
        <f>IF(D1057&lt;'3_Summary_Tables'!$C$16,"Low",IF(D1057&lt;'3_Summary_Tables'!$C$17,"Medium","High"))</f>
        <v>High</v>
      </c>
      <c r="F1057" s="12">
        <f>INDEX('2_Clean_Data'!$C$2:$C$1360,MATCH($A1057,'2_Clean_Data'!$A$2:$A$1360,0))</f>
        <v>0.33</v>
      </c>
      <c r="G1057" s="10">
        <f>INDEX('2_Clean_Data'!$H$2:$H$1360,MATCH($A1057,'2_Clean_Data'!$A$2:$A$1360,0))</f>
        <v>113</v>
      </c>
      <c r="H1057" s="9" t="str">
        <f t="shared" si="65"/>
        <v>High</v>
      </c>
      <c r="I1057" s="9" t="str">
        <f t="shared" si="66"/>
        <v>OK</v>
      </c>
      <c r="J1057" s="9" t="str">
        <f t="shared" si="67"/>
        <v>Poor</v>
      </c>
    </row>
    <row r="1058" spans="1:10" x14ac:dyDescent="0.3">
      <c r="A1058" s="10">
        <f>'2_Clean_Data'!A1055</f>
        <v>1054</v>
      </c>
      <c r="B1058" s="10">
        <f>INDEX('2_Clean_Data'!$M$2:$M$1360,MATCH($A1058,'2_Clean_Data'!$A$2:$A$1360,0))</f>
        <v>6</v>
      </c>
      <c r="C1058" s="9" t="str">
        <f t="shared" si="64"/>
        <v>Above Average</v>
      </c>
      <c r="D1058" s="11">
        <f>INDEX('2_Clean_Data'!$L$2:$L$1360,MATCH($A1058,'2_Clean_Data'!$A$2:$A$1360,0))</f>
        <v>9.4</v>
      </c>
      <c r="E1058" s="9" t="str">
        <f>IF(D1058&lt;'3_Summary_Tables'!$C$16,"Low",IF(D1058&lt;'3_Summary_Tables'!$C$17,"Medium","High"))</f>
        <v>Low</v>
      </c>
      <c r="F1058" s="12">
        <f>INDEX('2_Clean_Data'!$C$2:$C$1360,MATCH($A1058,'2_Clean_Data'!$A$2:$A$1360,0))</f>
        <v>0.55000000000000004</v>
      </c>
      <c r="G1058" s="10">
        <f>INDEX('2_Clean_Data'!$H$2:$H$1360,MATCH($A1058,'2_Clean_Data'!$A$2:$A$1360,0))</f>
        <v>17</v>
      </c>
      <c r="H1058" s="9" t="str">
        <f t="shared" si="65"/>
        <v>Low</v>
      </c>
      <c r="I1058" s="9" t="str">
        <f t="shared" si="66"/>
        <v>OK</v>
      </c>
      <c r="J1058" s="9" t="str">
        <f t="shared" si="67"/>
        <v>Solid</v>
      </c>
    </row>
    <row r="1059" spans="1:10" x14ac:dyDescent="0.3">
      <c r="A1059" s="10">
        <f>'2_Clean_Data'!A1056</f>
        <v>1055</v>
      </c>
      <c r="B1059" s="10">
        <f>INDEX('2_Clean_Data'!$M$2:$M$1360,MATCH($A1059,'2_Clean_Data'!$A$2:$A$1360,0))</f>
        <v>4</v>
      </c>
      <c r="C1059" s="9" t="str">
        <f t="shared" si="64"/>
        <v>Poor</v>
      </c>
      <c r="D1059" s="11">
        <f>INDEX('2_Clean_Data'!$L$2:$L$1360,MATCH($A1059,'2_Clean_Data'!$A$2:$A$1360,0))</f>
        <v>9.6</v>
      </c>
      <c r="E1059" s="9" t="str">
        <f>IF(D1059&lt;'3_Summary_Tables'!$C$16,"Low",IF(D1059&lt;'3_Summary_Tables'!$C$17,"Medium","High"))</f>
        <v>Low</v>
      </c>
      <c r="F1059" s="12">
        <f>INDEX('2_Clean_Data'!$C$2:$C$1360,MATCH($A1059,'2_Clean_Data'!$A$2:$A$1360,0))</f>
        <v>0.73</v>
      </c>
      <c r="G1059" s="10">
        <f>INDEX('2_Clean_Data'!$H$2:$H$1360,MATCH($A1059,'2_Clean_Data'!$A$2:$A$1360,0))</f>
        <v>24</v>
      </c>
      <c r="H1059" s="9" t="str">
        <f t="shared" si="65"/>
        <v>Low</v>
      </c>
      <c r="I1059" s="9" t="str">
        <f t="shared" si="66"/>
        <v>Above limit</v>
      </c>
      <c r="J1059" s="9" t="str">
        <f t="shared" si="67"/>
        <v>Poor</v>
      </c>
    </row>
    <row r="1060" spans="1:10" x14ac:dyDescent="0.3">
      <c r="A1060" s="10">
        <f>'2_Clean_Data'!A1057</f>
        <v>1056</v>
      </c>
      <c r="B1060" s="10">
        <f>INDEX('2_Clean_Data'!$M$2:$M$1360,MATCH($A1060,'2_Clean_Data'!$A$2:$A$1360,0))</f>
        <v>4</v>
      </c>
      <c r="C1060" s="9" t="str">
        <f t="shared" si="64"/>
        <v>Poor</v>
      </c>
      <c r="D1060" s="11">
        <f>INDEX('2_Clean_Data'!$L$2:$L$1360,MATCH($A1060,'2_Clean_Data'!$A$2:$A$1360,0))</f>
        <v>11.8</v>
      </c>
      <c r="E1060" s="9" t="str">
        <f>IF(D1060&lt;'3_Summary_Tables'!$C$16,"Low",IF(D1060&lt;'3_Summary_Tables'!$C$17,"Medium","High"))</f>
        <v>High</v>
      </c>
      <c r="F1060" s="12">
        <f>INDEX('2_Clean_Data'!$C$2:$C$1360,MATCH($A1060,'2_Clean_Data'!$A$2:$A$1360,0))</f>
        <v>0.67</v>
      </c>
      <c r="G1060" s="10">
        <f>INDEX('2_Clean_Data'!$H$2:$H$1360,MATCH($A1060,'2_Clean_Data'!$A$2:$A$1360,0))</f>
        <v>20</v>
      </c>
      <c r="H1060" s="9" t="str">
        <f t="shared" si="65"/>
        <v>Low</v>
      </c>
      <c r="I1060" s="9" t="str">
        <f t="shared" si="66"/>
        <v>OK</v>
      </c>
      <c r="J1060" s="9" t="str">
        <f t="shared" si="67"/>
        <v>Poor</v>
      </c>
    </row>
    <row r="1061" spans="1:10" x14ac:dyDescent="0.3">
      <c r="A1061" s="10">
        <f>'2_Clean_Data'!A1058</f>
        <v>1057</v>
      </c>
      <c r="B1061" s="10">
        <f>INDEX('2_Clean_Data'!$M$2:$M$1360,MATCH($A1061,'2_Clean_Data'!$A$2:$A$1360,0))</f>
        <v>5</v>
      </c>
      <c r="C1061" s="9" t="str">
        <f t="shared" si="64"/>
        <v>Average</v>
      </c>
      <c r="D1061" s="11">
        <f>INDEX('2_Clean_Data'!$L$2:$L$1360,MATCH($A1061,'2_Clean_Data'!$A$2:$A$1360,0))</f>
        <v>9.3000000000000007</v>
      </c>
      <c r="E1061" s="9" t="str">
        <f>IF(D1061&lt;'3_Summary_Tables'!$C$16,"Low",IF(D1061&lt;'3_Summary_Tables'!$C$17,"Medium","High"))</f>
        <v>Low</v>
      </c>
      <c r="F1061" s="12">
        <f>INDEX('2_Clean_Data'!$C$2:$C$1360,MATCH($A1061,'2_Clean_Data'!$A$2:$A$1360,0))</f>
        <v>0.61</v>
      </c>
      <c r="G1061" s="10">
        <f>INDEX('2_Clean_Data'!$H$2:$H$1360,MATCH($A1061,'2_Clean_Data'!$A$2:$A$1360,0))</f>
        <v>60</v>
      </c>
      <c r="H1061" s="9" t="str">
        <f t="shared" si="65"/>
        <v>Moderate</v>
      </c>
      <c r="I1061" s="9" t="str">
        <f t="shared" si="66"/>
        <v>OK</v>
      </c>
      <c r="J1061" s="9" t="str">
        <f t="shared" si="67"/>
        <v>Standard</v>
      </c>
    </row>
    <row r="1062" spans="1:10" x14ac:dyDescent="0.3">
      <c r="A1062" s="10">
        <f>'2_Clean_Data'!A1059</f>
        <v>1058</v>
      </c>
      <c r="B1062" s="10">
        <f>INDEX('2_Clean_Data'!$M$2:$M$1360,MATCH($A1062,'2_Clean_Data'!$A$2:$A$1360,0))</f>
        <v>5</v>
      </c>
      <c r="C1062" s="9" t="str">
        <f t="shared" si="64"/>
        <v>Average</v>
      </c>
      <c r="D1062" s="11">
        <f>INDEX('2_Clean_Data'!$L$2:$L$1360,MATCH($A1062,'2_Clean_Data'!$A$2:$A$1360,0))</f>
        <v>9.8000000000000007</v>
      </c>
      <c r="E1062" s="9" t="str">
        <f>IF(D1062&lt;'3_Summary_Tables'!$C$16,"Low",IF(D1062&lt;'3_Summary_Tables'!$C$17,"Medium","High"))</f>
        <v>Low</v>
      </c>
      <c r="F1062" s="12">
        <f>INDEX('2_Clean_Data'!$C$2:$C$1360,MATCH($A1062,'2_Clean_Data'!$A$2:$A$1360,0))</f>
        <v>0.37</v>
      </c>
      <c r="G1062" s="10">
        <f>INDEX('2_Clean_Data'!$H$2:$H$1360,MATCH($A1062,'2_Clean_Data'!$A$2:$A$1360,0))</f>
        <v>65</v>
      </c>
      <c r="H1062" s="9" t="str">
        <f t="shared" si="65"/>
        <v>Moderate</v>
      </c>
      <c r="I1062" s="9" t="str">
        <f t="shared" si="66"/>
        <v>OK</v>
      </c>
      <c r="J1062" s="9" t="str">
        <f t="shared" si="67"/>
        <v>Standard</v>
      </c>
    </row>
    <row r="1063" spans="1:10" x14ac:dyDescent="0.3">
      <c r="A1063" s="10">
        <f>'2_Clean_Data'!A1060</f>
        <v>1059</v>
      </c>
      <c r="B1063" s="10">
        <f>INDEX('2_Clean_Data'!$M$2:$M$1360,MATCH($A1063,'2_Clean_Data'!$A$2:$A$1360,0))</f>
        <v>6</v>
      </c>
      <c r="C1063" s="9" t="str">
        <f t="shared" si="64"/>
        <v>Above Average</v>
      </c>
      <c r="D1063" s="11">
        <f>INDEX('2_Clean_Data'!$L$2:$L$1360,MATCH($A1063,'2_Clean_Data'!$A$2:$A$1360,0))</f>
        <v>12.2</v>
      </c>
      <c r="E1063" s="9" t="str">
        <f>IF(D1063&lt;'3_Summary_Tables'!$C$16,"Low",IF(D1063&lt;'3_Summary_Tables'!$C$17,"Medium","High"))</f>
        <v>High</v>
      </c>
      <c r="F1063" s="12">
        <f>INDEX('2_Clean_Data'!$C$2:$C$1360,MATCH($A1063,'2_Clean_Data'!$A$2:$A$1360,0))</f>
        <v>0.4</v>
      </c>
      <c r="G1063" s="10">
        <f>INDEX('2_Clean_Data'!$H$2:$H$1360,MATCH($A1063,'2_Clean_Data'!$A$2:$A$1360,0))</f>
        <v>40</v>
      </c>
      <c r="H1063" s="9" t="str">
        <f t="shared" si="65"/>
        <v>Low</v>
      </c>
      <c r="I1063" s="9" t="str">
        <f t="shared" si="66"/>
        <v>OK</v>
      </c>
      <c r="J1063" s="9" t="str">
        <f t="shared" si="67"/>
        <v>Solid</v>
      </c>
    </row>
    <row r="1064" spans="1:10" x14ac:dyDescent="0.3">
      <c r="A1064" s="10">
        <f>'2_Clean_Data'!A1061</f>
        <v>1060</v>
      </c>
      <c r="B1064" s="10">
        <f>INDEX('2_Clean_Data'!$M$2:$M$1360,MATCH($A1064,'2_Clean_Data'!$A$2:$A$1360,0))</f>
        <v>5</v>
      </c>
      <c r="C1064" s="9" t="str">
        <f t="shared" si="64"/>
        <v>Average</v>
      </c>
      <c r="D1064" s="11">
        <f>INDEX('2_Clean_Data'!$L$2:$L$1360,MATCH($A1064,'2_Clean_Data'!$A$2:$A$1360,0))</f>
        <v>9.5</v>
      </c>
      <c r="E1064" s="9" t="str">
        <f>IF(D1064&lt;'3_Summary_Tables'!$C$16,"Low",IF(D1064&lt;'3_Summary_Tables'!$C$17,"Medium","High"))</f>
        <v>Low</v>
      </c>
      <c r="F1064" s="12">
        <f>INDEX('2_Clean_Data'!$C$2:$C$1360,MATCH($A1064,'2_Clean_Data'!$A$2:$A$1360,0))</f>
        <v>0.56000000000000005</v>
      </c>
      <c r="G1064" s="10">
        <f>INDEX('2_Clean_Data'!$H$2:$H$1360,MATCH($A1064,'2_Clean_Data'!$A$2:$A$1360,0))</f>
        <v>86</v>
      </c>
      <c r="H1064" s="9" t="str">
        <f t="shared" si="65"/>
        <v>Moderate</v>
      </c>
      <c r="I1064" s="9" t="str">
        <f t="shared" si="66"/>
        <v>OK</v>
      </c>
      <c r="J1064" s="9" t="str">
        <f t="shared" si="67"/>
        <v>Standard</v>
      </c>
    </row>
    <row r="1065" spans="1:10" x14ac:dyDescent="0.3">
      <c r="A1065" s="10">
        <f>'2_Clean_Data'!A1062</f>
        <v>1061</v>
      </c>
      <c r="B1065" s="10">
        <f>INDEX('2_Clean_Data'!$M$2:$M$1360,MATCH($A1065,'2_Clean_Data'!$A$2:$A$1360,0))</f>
        <v>6</v>
      </c>
      <c r="C1065" s="9" t="str">
        <f t="shared" si="64"/>
        <v>Above Average</v>
      </c>
      <c r="D1065" s="11">
        <f>INDEX('2_Clean_Data'!$L$2:$L$1360,MATCH($A1065,'2_Clean_Data'!$A$2:$A$1360,0))</f>
        <v>10.3</v>
      </c>
      <c r="E1065" s="9" t="str">
        <f>IF(D1065&lt;'3_Summary_Tables'!$C$16,"Low",IF(D1065&lt;'3_Summary_Tables'!$C$17,"Medium","High"))</f>
        <v>Medium</v>
      </c>
      <c r="F1065" s="12">
        <f>INDEX('2_Clean_Data'!$C$2:$C$1360,MATCH($A1065,'2_Clean_Data'!$A$2:$A$1360,0))</f>
        <v>0.28999999999999998</v>
      </c>
      <c r="G1065" s="10">
        <f>INDEX('2_Clean_Data'!$H$2:$H$1360,MATCH($A1065,'2_Clean_Data'!$A$2:$A$1360,0))</f>
        <v>160</v>
      </c>
      <c r="H1065" s="9" t="str">
        <f t="shared" si="65"/>
        <v>High</v>
      </c>
      <c r="I1065" s="9" t="str">
        <f t="shared" si="66"/>
        <v>OK</v>
      </c>
      <c r="J1065" s="9" t="str">
        <f t="shared" si="67"/>
        <v>Solid</v>
      </c>
    </row>
    <row r="1066" spans="1:10" x14ac:dyDescent="0.3">
      <c r="A1066" s="10">
        <f>'2_Clean_Data'!A1063</f>
        <v>1062</v>
      </c>
      <c r="B1066" s="10">
        <f>INDEX('2_Clean_Data'!$M$2:$M$1360,MATCH($A1066,'2_Clean_Data'!$A$2:$A$1360,0))</f>
        <v>5</v>
      </c>
      <c r="C1066" s="9" t="str">
        <f t="shared" si="64"/>
        <v>Average</v>
      </c>
      <c r="D1066" s="11">
        <f>INDEX('2_Clean_Data'!$L$2:$L$1360,MATCH($A1066,'2_Clean_Data'!$A$2:$A$1360,0))</f>
        <v>10.5</v>
      </c>
      <c r="E1066" s="9" t="str">
        <f>IF(D1066&lt;'3_Summary_Tables'!$C$16,"Low",IF(D1066&lt;'3_Summary_Tables'!$C$17,"Medium","High"))</f>
        <v>Medium</v>
      </c>
      <c r="F1066" s="12">
        <f>INDEX('2_Clean_Data'!$C$2:$C$1360,MATCH($A1066,'2_Clean_Data'!$A$2:$A$1360,0))</f>
        <v>0.55000000000000004</v>
      </c>
      <c r="G1066" s="10">
        <f>INDEX('2_Clean_Data'!$H$2:$H$1360,MATCH($A1066,'2_Clean_Data'!$A$2:$A$1360,0))</f>
        <v>34</v>
      </c>
      <c r="H1066" s="9" t="str">
        <f t="shared" si="65"/>
        <v>Low</v>
      </c>
      <c r="I1066" s="9" t="str">
        <f t="shared" si="66"/>
        <v>OK</v>
      </c>
      <c r="J1066" s="9" t="str">
        <f t="shared" si="67"/>
        <v>Standard</v>
      </c>
    </row>
    <row r="1067" spans="1:10" x14ac:dyDescent="0.3">
      <c r="A1067" s="10">
        <f>'2_Clean_Data'!A1064</f>
        <v>1063</v>
      </c>
      <c r="B1067" s="10">
        <f>INDEX('2_Clean_Data'!$M$2:$M$1360,MATCH($A1067,'2_Clean_Data'!$A$2:$A$1360,0))</f>
        <v>5</v>
      </c>
      <c r="C1067" s="9" t="str">
        <f t="shared" si="64"/>
        <v>Average</v>
      </c>
      <c r="D1067" s="11">
        <f>INDEX('2_Clean_Data'!$L$2:$L$1360,MATCH($A1067,'2_Clean_Data'!$A$2:$A$1360,0))</f>
        <v>10</v>
      </c>
      <c r="E1067" s="9" t="str">
        <f>IF(D1067&lt;'3_Summary_Tables'!$C$16,"Low",IF(D1067&lt;'3_Summary_Tables'!$C$17,"Medium","High"))</f>
        <v>Medium</v>
      </c>
      <c r="F1067" s="12">
        <f>INDEX('2_Clean_Data'!$C$2:$C$1360,MATCH($A1067,'2_Clean_Data'!$A$2:$A$1360,0))</f>
        <v>0.74</v>
      </c>
      <c r="G1067" s="10">
        <f>INDEX('2_Clean_Data'!$H$2:$H$1360,MATCH($A1067,'2_Clean_Data'!$A$2:$A$1360,0))</f>
        <v>48</v>
      </c>
      <c r="H1067" s="9" t="str">
        <f t="shared" si="65"/>
        <v>Low</v>
      </c>
      <c r="I1067" s="9" t="str">
        <f t="shared" si="66"/>
        <v>Above limit</v>
      </c>
      <c r="J1067" s="9" t="str">
        <f t="shared" si="67"/>
        <v>Standard</v>
      </c>
    </row>
    <row r="1068" spans="1:10" x14ac:dyDescent="0.3">
      <c r="A1068" s="10">
        <f>'2_Clean_Data'!A1065</f>
        <v>1064</v>
      </c>
      <c r="B1068" s="10">
        <f>INDEX('2_Clean_Data'!$M$2:$M$1360,MATCH($A1068,'2_Clean_Data'!$A$2:$A$1360,0))</f>
        <v>6</v>
      </c>
      <c r="C1068" s="9" t="str">
        <f t="shared" si="64"/>
        <v>Above Average</v>
      </c>
      <c r="D1068" s="11">
        <f>INDEX('2_Clean_Data'!$L$2:$L$1360,MATCH($A1068,'2_Clean_Data'!$A$2:$A$1360,0))</f>
        <v>11.1</v>
      </c>
      <c r="E1068" s="9" t="str">
        <f>IF(D1068&lt;'3_Summary_Tables'!$C$16,"Low",IF(D1068&lt;'3_Summary_Tables'!$C$17,"Medium","High"))</f>
        <v>Medium</v>
      </c>
      <c r="F1068" s="12">
        <f>INDEX('2_Clean_Data'!$C$2:$C$1360,MATCH($A1068,'2_Clean_Data'!$A$2:$A$1360,0))</f>
        <v>0.41</v>
      </c>
      <c r="G1068" s="10">
        <f>INDEX('2_Clean_Data'!$H$2:$H$1360,MATCH($A1068,'2_Clean_Data'!$A$2:$A$1360,0))</f>
        <v>36</v>
      </c>
      <c r="H1068" s="9" t="str">
        <f t="shared" si="65"/>
        <v>Low</v>
      </c>
      <c r="I1068" s="9" t="str">
        <f t="shared" si="66"/>
        <v>OK</v>
      </c>
      <c r="J1068" s="9" t="str">
        <f t="shared" si="67"/>
        <v>Solid</v>
      </c>
    </row>
    <row r="1069" spans="1:10" x14ac:dyDescent="0.3">
      <c r="A1069" s="10">
        <f>'2_Clean_Data'!A1066</f>
        <v>1065</v>
      </c>
      <c r="B1069" s="10">
        <f>INDEX('2_Clean_Data'!$M$2:$M$1360,MATCH($A1069,'2_Clean_Data'!$A$2:$A$1360,0))</f>
        <v>6</v>
      </c>
      <c r="C1069" s="9" t="str">
        <f t="shared" si="64"/>
        <v>Above Average</v>
      </c>
      <c r="D1069" s="11">
        <f>INDEX('2_Clean_Data'!$L$2:$L$1360,MATCH($A1069,'2_Clean_Data'!$A$2:$A$1360,0))</f>
        <v>10.9</v>
      </c>
      <c r="E1069" s="9" t="str">
        <f>IF(D1069&lt;'3_Summary_Tables'!$C$16,"Low",IF(D1069&lt;'3_Summary_Tables'!$C$17,"Medium","High"))</f>
        <v>Medium</v>
      </c>
      <c r="F1069" s="12">
        <f>INDEX('2_Clean_Data'!$C$2:$C$1360,MATCH($A1069,'2_Clean_Data'!$A$2:$A$1360,0))</f>
        <v>0.6</v>
      </c>
      <c r="G1069" s="10">
        <f>INDEX('2_Clean_Data'!$H$2:$H$1360,MATCH($A1069,'2_Clean_Data'!$A$2:$A$1360,0))</f>
        <v>37</v>
      </c>
      <c r="H1069" s="9" t="str">
        <f t="shared" si="65"/>
        <v>Low</v>
      </c>
      <c r="I1069" s="9" t="str">
        <f t="shared" si="66"/>
        <v>OK</v>
      </c>
      <c r="J1069" s="9" t="str">
        <f t="shared" si="67"/>
        <v>Solid</v>
      </c>
    </row>
    <row r="1070" spans="1:10" x14ac:dyDescent="0.3">
      <c r="A1070" s="10">
        <f>'2_Clean_Data'!A1067</f>
        <v>1066</v>
      </c>
      <c r="B1070" s="10">
        <f>INDEX('2_Clean_Data'!$M$2:$M$1360,MATCH($A1070,'2_Clean_Data'!$A$2:$A$1360,0))</f>
        <v>5</v>
      </c>
      <c r="C1070" s="9" t="str">
        <f t="shared" si="64"/>
        <v>Average</v>
      </c>
      <c r="D1070" s="11">
        <f>INDEX('2_Clean_Data'!$L$2:$L$1360,MATCH($A1070,'2_Clean_Data'!$A$2:$A$1360,0))</f>
        <v>9.8000000000000007</v>
      </c>
      <c r="E1070" s="9" t="str">
        <f>IF(D1070&lt;'3_Summary_Tables'!$C$16,"Low",IF(D1070&lt;'3_Summary_Tables'!$C$17,"Medium","High"))</f>
        <v>Low</v>
      </c>
      <c r="F1070" s="12">
        <f>INDEX('2_Clean_Data'!$C$2:$C$1360,MATCH($A1070,'2_Clean_Data'!$A$2:$A$1360,0))</f>
        <v>0.57999999999999996</v>
      </c>
      <c r="G1070" s="10">
        <f>INDEX('2_Clean_Data'!$H$2:$H$1360,MATCH($A1070,'2_Clean_Data'!$A$2:$A$1360,0))</f>
        <v>60</v>
      </c>
      <c r="H1070" s="9" t="str">
        <f t="shared" si="65"/>
        <v>Moderate</v>
      </c>
      <c r="I1070" s="9" t="str">
        <f t="shared" si="66"/>
        <v>OK</v>
      </c>
      <c r="J1070" s="9" t="str">
        <f t="shared" si="67"/>
        <v>Standard</v>
      </c>
    </row>
    <row r="1071" spans="1:10" x14ac:dyDescent="0.3">
      <c r="A1071" s="10">
        <f>'2_Clean_Data'!A1068</f>
        <v>1067</v>
      </c>
      <c r="B1071" s="10">
        <f>INDEX('2_Clean_Data'!$M$2:$M$1360,MATCH($A1071,'2_Clean_Data'!$A$2:$A$1360,0))</f>
        <v>5</v>
      </c>
      <c r="C1071" s="9" t="str">
        <f t="shared" si="64"/>
        <v>Average</v>
      </c>
      <c r="D1071" s="11">
        <f>INDEX('2_Clean_Data'!$L$2:$L$1360,MATCH($A1071,'2_Clean_Data'!$A$2:$A$1360,0))</f>
        <v>9.8000000000000007</v>
      </c>
      <c r="E1071" s="9" t="str">
        <f>IF(D1071&lt;'3_Summary_Tables'!$C$16,"Low",IF(D1071&lt;'3_Summary_Tables'!$C$17,"Medium","High"))</f>
        <v>Low</v>
      </c>
      <c r="F1071" s="12">
        <f>INDEX('2_Clean_Data'!$C$2:$C$1360,MATCH($A1071,'2_Clean_Data'!$A$2:$A$1360,0))</f>
        <v>0.72</v>
      </c>
      <c r="G1071" s="10">
        <f>INDEX('2_Clean_Data'!$H$2:$H$1360,MATCH($A1071,'2_Clean_Data'!$A$2:$A$1360,0))</f>
        <v>14</v>
      </c>
      <c r="H1071" s="9" t="str">
        <f t="shared" si="65"/>
        <v>Low</v>
      </c>
      <c r="I1071" s="9" t="str">
        <f t="shared" si="66"/>
        <v>Above limit</v>
      </c>
      <c r="J1071" s="9" t="str">
        <f t="shared" si="67"/>
        <v>Standard</v>
      </c>
    </row>
    <row r="1072" spans="1:10" x14ac:dyDescent="0.3">
      <c r="A1072" s="10">
        <f>'2_Clean_Data'!A1069</f>
        <v>1068</v>
      </c>
      <c r="B1072" s="10">
        <f>INDEX('2_Clean_Data'!$M$2:$M$1360,MATCH($A1072,'2_Clean_Data'!$A$2:$A$1360,0))</f>
        <v>5</v>
      </c>
      <c r="C1072" s="9" t="str">
        <f t="shared" si="64"/>
        <v>Average</v>
      </c>
      <c r="D1072" s="11">
        <f>INDEX('2_Clean_Data'!$L$2:$L$1360,MATCH($A1072,'2_Clean_Data'!$A$2:$A$1360,0))</f>
        <v>9.5</v>
      </c>
      <c r="E1072" s="9" t="str">
        <f>IF(D1072&lt;'3_Summary_Tables'!$C$16,"Low",IF(D1072&lt;'3_Summary_Tables'!$C$17,"Medium","High"))</f>
        <v>Low</v>
      </c>
      <c r="F1072" s="12">
        <f>INDEX('2_Clean_Data'!$C$2:$C$1360,MATCH($A1072,'2_Clean_Data'!$A$2:$A$1360,0))</f>
        <v>0.66</v>
      </c>
      <c r="G1072" s="10">
        <f>INDEX('2_Clean_Data'!$H$2:$H$1360,MATCH($A1072,'2_Clean_Data'!$A$2:$A$1360,0))</f>
        <v>13</v>
      </c>
      <c r="H1072" s="9" t="str">
        <f t="shared" si="65"/>
        <v>Low</v>
      </c>
      <c r="I1072" s="9" t="str">
        <f t="shared" si="66"/>
        <v>OK</v>
      </c>
      <c r="J1072" s="9" t="str">
        <f t="shared" si="67"/>
        <v>Standard</v>
      </c>
    </row>
    <row r="1073" spans="1:10" x14ac:dyDescent="0.3">
      <c r="A1073" s="10">
        <f>'2_Clean_Data'!A1070</f>
        <v>1069</v>
      </c>
      <c r="B1073" s="10">
        <f>INDEX('2_Clean_Data'!$M$2:$M$1360,MATCH($A1073,'2_Clean_Data'!$A$2:$A$1360,0))</f>
        <v>5</v>
      </c>
      <c r="C1073" s="9" t="str">
        <f t="shared" si="64"/>
        <v>Average</v>
      </c>
      <c r="D1073" s="11">
        <f>INDEX('2_Clean_Data'!$L$2:$L$1360,MATCH($A1073,'2_Clean_Data'!$A$2:$A$1360,0))</f>
        <v>10.9</v>
      </c>
      <c r="E1073" s="9" t="str">
        <f>IF(D1073&lt;'3_Summary_Tables'!$C$16,"Low",IF(D1073&lt;'3_Summary_Tables'!$C$17,"Medium","High"))</f>
        <v>Medium</v>
      </c>
      <c r="F1073" s="12">
        <f>INDEX('2_Clean_Data'!$C$2:$C$1360,MATCH($A1073,'2_Clean_Data'!$A$2:$A$1360,0))</f>
        <v>0.7</v>
      </c>
      <c r="G1073" s="10">
        <f>INDEX('2_Clean_Data'!$H$2:$H$1360,MATCH($A1073,'2_Clean_Data'!$A$2:$A$1360,0))</f>
        <v>35</v>
      </c>
      <c r="H1073" s="9" t="str">
        <f t="shared" si="65"/>
        <v>Low</v>
      </c>
      <c r="I1073" s="9" t="str">
        <f t="shared" si="66"/>
        <v>OK</v>
      </c>
      <c r="J1073" s="9" t="str">
        <f t="shared" si="67"/>
        <v>Standard</v>
      </c>
    </row>
    <row r="1074" spans="1:10" x14ac:dyDescent="0.3">
      <c r="A1074" s="10">
        <f>'2_Clean_Data'!A1071</f>
        <v>1070</v>
      </c>
      <c r="B1074" s="10">
        <f>INDEX('2_Clean_Data'!$M$2:$M$1360,MATCH($A1074,'2_Clean_Data'!$A$2:$A$1360,0))</f>
        <v>5</v>
      </c>
      <c r="C1074" s="9" t="str">
        <f t="shared" si="64"/>
        <v>Average</v>
      </c>
      <c r="D1074" s="11">
        <f>INDEX('2_Clean_Data'!$L$2:$L$1360,MATCH($A1074,'2_Clean_Data'!$A$2:$A$1360,0))</f>
        <v>11</v>
      </c>
      <c r="E1074" s="9" t="str">
        <f>IF(D1074&lt;'3_Summary_Tables'!$C$16,"Low",IF(D1074&lt;'3_Summary_Tables'!$C$17,"Medium","High"))</f>
        <v>Medium</v>
      </c>
      <c r="F1074" s="12">
        <f>INDEX('2_Clean_Data'!$C$2:$C$1360,MATCH($A1074,'2_Clean_Data'!$A$2:$A$1360,0))</f>
        <v>0.64</v>
      </c>
      <c r="G1074" s="10">
        <f>INDEX('2_Clean_Data'!$H$2:$H$1360,MATCH($A1074,'2_Clean_Data'!$A$2:$A$1360,0))</f>
        <v>46</v>
      </c>
      <c r="H1074" s="9" t="str">
        <f t="shared" si="65"/>
        <v>Low</v>
      </c>
      <c r="I1074" s="9" t="str">
        <f t="shared" si="66"/>
        <v>OK</v>
      </c>
      <c r="J1074" s="9" t="str">
        <f t="shared" si="67"/>
        <v>Standard</v>
      </c>
    </row>
    <row r="1075" spans="1:10" x14ac:dyDescent="0.3">
      <c r="A1075" s="10">
        <f>'2_Clean_Data'!A1072</f>
        <v>1071</v>
      </c>
      <c r="B1075" s="10">
        <f>INDEX('2_Clean_Data'!$M$2:$M$1360,MATCH($A1075,'2_Clean_Data'!$A$2:$A$1360,0))</f>
        <v>5</v>
      </c>
      <c r="C1075" s="9" t="str">
        <f t="shared" si="64"/>
        <v>Average</v>
      </c>
      <c r="D1075" s="11">
        <f>INDEX('2_Clean_Data'!$L$2:$L$1360,MATCH($A1075,'2_Clean_Data'!$A$2:$A$1360,0))</f>
        <v>9.1999999999999993</v>
      </c>
      <c r="E1075" s="9" t="str">
        <f>IF(D1075&lt;'3_Summary_Tables'!$C$16,"Low",IF(D1075&lt;'3_Summary_Tables'!$C$17,"Medium","High"))</f>
        <v>Low</v>
      </c>
      <c r="F1075" s="12">
        <f>INDEX('2_Clean_Data'!$C$2:$C$1360,MATCH($A1075,'2_Clean_Data'!$A$2:$A$1360,0))</f>
        <v>0.59</v>
      </c>
      <c r="G1075" s="10">
        <f>INDEX('2_Clean_Data'!$H$2:$H$1360,MATCH($A1075,'2_Clean_Data'!$A$2:$A$1360,0))</f>
        <v>60</v>
      </c>
      <c r="H1075" s="9" t="str">
        <f t="shared" si="65"/>
        <v>Moderate</v>
      </c>
      <c r="I1075" s="9" t="str">
        <f t="shared" si="66"/>
        <v>OK</v>
      </c>
      <c r="J1075" s="9" t="str">
        <f t="shared" si="67"/>
        <v>Standard</v>
      </c>
    </row>
    <row r="1076" spans="1:10" x14ac:dyDescent="0.3">
      <c r="A1076" s="10">
        <f>'2_Clean_Data'!A1073</f>
        <v>1072</v>
      </c>
      <c r="B1076" s="10">
        <f>INDEX('2_Clean_Data'!$M$2:$M$1360,MATCH($A1076,'2_Clean_Data'!$A$2:$A$1360,0))</f>
        <v>6</v>
      </c>
      <c r="C1076" s="9" t="str">
        <f t="shared" si="64"/>
        <v>Above Average</v>
      </c>
      <c r="D1076" s="11">
        <f>INDEX('2_Clean_Data'!$L$2:$L$1360,MATCH($A1076,'2_Clean_Data'!$A$2:$A$1360,0))</f>
        <v>11</v>
      </c>
      <c r="E1076" s="9" t="str">
        <f>IF(D1076&lt;'3_Summary_Tables'!$C$16,"Low",IF(D1076&lt;'3_Summary_Tables'!$C$17,"Medium","High"))</f>
        <v>Medium</v>
      </c>
      <c r="F1076" s="12">
        <f>INDEX('2_Clean_Data'!$C$2:$C$1360,MATCH($A1076,'2_Clean_Data'!$A$2:$A$1360,0))</f>
        <v>0.57999999999999996</v>
      </c>
      <c r="G1076" s="10">
        <f>INDEX('2_Clean_Data'!$H$2:$H$1360,MATCH($A1076,'2_Clean_Data'!$A$2:$A$1360,0))</f>
        <v>69</v>
      </c>
      <c r="H1076" s="9" t="str">
        <f t="shared" si="65"/>
        <v>Moderate</v>
      </c>
      <c r="I1076" s="9" t="str">
        <f t="shared" si="66"/>
        <v>OK</v>
      </c>
      <c r="J1076" s="9" t="str">
        <f t="shared" si="67"/>
        <v>Solid</v>
      </c>
    </row>
    <row r="1077" spans="1:10" x14ac:dyDescent="0.3">
      <c r="A1077" s="10">
        <f>'2_Clean_Data'!A1074</f>
        <v>1073</v>
      </c>
      <c r="B1077" s="10">
        <f>INDEX('2_Clean_Data'!$M$2:$M$1360,MATCH($A1077,'2_Clean_Data'!$A$2:$A$1360,0))</f>
        <v>6</v>
      </c>
      <c r="C1077" s="9" t="str">
        <f t="shared" si="64"/>
        <v>Above Average</v>
      </c>
      <c r="D1077" s="11">
        <f>INDEX('2_Clean_Data'!$L$2:$L$1360,MATCH($A1077,'2_Clean_Data'!$A$2:$A$1360,0))</f>
        <v>11.3</v>
      </c>
      <c r="E1077" s="9" t="str">
        <f>IF(D1077&lt;'3_Summary_Tables'!$C$16,"Low",IF(D1077&lt;'3_Summary_Tables'!$C$17,"Medium","High"))</f>
        <v>Medium</v>
      </c>
      <c r="F1077" s="12">
        <f>INDEX('2_Clean_Data'!$C$2:$C$1360,MATCH($A1077,'2_Clean_Data'!$A$2:$A$1360,0))</f>
        <v>0.64</v>
      </c>
      <c r="G1077" s="10">
        <f>INDEX('2_Clean_Data'!$H$2:$H$1360,MATCH($A1077,'2_Clean_Data'!$A$2:$A$1360,0))</f>
        <v>33</v>
      </c>
      <c r="H1077" s="9" t="str">
        <f t="shared" si="65"/>
        <v>Low</v>
      </c>
      <c r="I1077" s="9" t="str">
        <f t="shared" si="66"/>
        <v>OK</v>
      </c>
      <c r="J1077" s="9" t="str">
        <f t="shared" si="67"/>
        <v>Solid</v>
      </c>
    </row>
    <row r="1078" spans="1:10" x14ac:dyDescent="0.3">
      <c r="A1078" s="10">
        <f>'2_Clean_Data'!A1075</f>
        <v>1074</v>
      </c>
      <c r="B1078" s="10">
        <f>INDEX('2_Clean_Data'!$M$2:$M$1360,MATCH($A1078,'2_Clean_Data'!$A$2:$A$1360,0))</f>
        <v>5</v>
      </c>
      <c r="C1078" s="9" t="str">
        <f t="shared" si="64"/>
        <v>Average</v>
      </c>
      <c r="D1078" s="11">
        <f>INDEX('2_Clean_Data'!$L$2:$L$1360,MATCH($A1078,'2_Clean_Data'!$A$2:$A$1360,0))</f>
        <v>9.3000000000000007</v>
      </c>
      <c r="E1078" s="9" t="str">
        <f>IF(D1078&lt;'3_Summary_Tables'!$C$16,"Low",IF(D1078&lt;'3_Summary_Tables'!$C$17,"Medium","High"))</f>
        <v>Low</v>
      </c>
      <c r="F1078" s="12">
        <f>INDEX('2_Clean_Data'!$C$2:$C$1360,MATCH($A1078,'2_Clean_Data'!$A$2:$A$1360,0))</f>
        <v>0.63500000000000001</v>
      </c>
      <c r="G1078" s="10">
        <f>INDEX('2_Clean_Data'!$H$2:$H$1360,MATCH($A1078,'2_Clean_Data'!$A$2:$A$1360,0))</f>
        <v>56</v>
      </c>
      <c r="H1078" s="9" t="str">
        <f t="shared" si="65"/>
        <v>Moderate</v>
      </c>
      <c r="I1078" s="9" t="str">
        <f t="shared" si="66"/>
        <v>OK</v>
      </c>
      <c r="J1078" s="9" t="str">
        <f t="shared" si="67"/>
        <v>Standard</v>
      </c>
    </row>
    <row r="1079" spans="1:10" x14ac:dyDescent="0.3">
      <c r="A1079" s="10">
        <f>'2_Clean_Data'!A1076</f>
        <v>1075</v>
      </c>
      <c r="B1079" s="10">
        <f>INDEX('2_Clean_Data'!$M$2:$M$1360,MATCH($A1079,'2_Clean_Data'!$A$2:$A$1360,0))</f>
        <v>4</v>
      </c>
      <c r="C1079" s="9" t="str">
        <f t="shared" si="64"/>
        <v>Poor</v>
      </c>
      <c r="D1079" s="11">
        <f>INDEX('2_Clean_Data'!$L$2:$L$1360,MATCH($A1079,'2_Clean_Data'!$A$2:$A$1360,0))</f>
        <v>11.2</v>
      </c>
      <c r="E1079" s="9" t="str">
        <f>IF(D1079&lt;'3_Summary_Tables'!$C$16,"Low",IF(D1079&lt;'3_Summary_Tables'!$C$17,"Medium","High"))</f>
        <v>Medium</v>
      </c>
      <c r="F1079" s="12">
        <f>INDEX('2_Clean_Data'!$C$2:$C$1360,MATCH($A1079,'2_Clean_Data'!$A$2:$A$1360,0))</f>
        <v>1.02</v>
      </c>
      <c r="G1079" s="10">
        <f>INDEX('2_Clean_Data'!$H$2:$H$1360,MATCH($A1079,'2_Clean_Data'!$A$2:$A$1360,0))</f>
        <v>24</v>
      </c>
      <c r="H1079" s="9" t="str">
        <f t="shared" si="65"/>
        <v>Low</v>
      </c>
      <c r="I1079" s="9" t="str">
        <f t="shared" si="66"/>
        <v>Above limit</v>
      </c>
      <c r="J1079" s="9" t="str">
        <f t="shared" si="67"/>
        <v>Poor</v>
      </c>
    </row>
    <row r="1080" spans="1:10" x14ac:dyDescent="0.3">
      <c r="A1080" s="10">
        <f>'2_Clean_Data'!A1077</f>
        <v>1076</v>
      </c>
      <c r="B1080" s="10">
        <f>INDEX('2_Clean_Data'!$M$2:$M$1360,MATCH($A1080,'2_Clean_Data'!$A$2:$A$1360,0))</f>
        <v>5</v>
      </c>
      <c r="C1080" s="9" t="str">
        <f t="shared" si="64"/>
        <v>Average</v>
      </c>
      <c r="D1080" s="11">
        <f>INDEX('2_Clean_Data'!$L$2:$L$1360,MATCH($A1080,'2_Clean_Data'!$A$2:$A$1360,0))</f>
        <v>9.8000000000000007</v>
      </c>
      <c r="E1080" s="9" t="str">
        <f>IF(D1080&lt;'3_Summary_Tables'!$C$16,"Low",IF(D1080&lt;'3_Summary_Tables'!$C$17,"Medium","High"))</f>
        <v>Low</v>
      </c>
      <c r="F1080" s="12">
        <f>INDEX('2_Clean_Data'!$C$2:$C$1360,MATCH($A1080,'2_Clean_Data'!$A$2:$A$1360,0))</f>
        <v>0.45</v>
      </c>
      <c r="G1080" s="10">
        <f>INDEX('2_Clean_Data'!$H$2:$H$1360,MATCH($A1080,'2_Clean_Data'!$A$2:$A$1360,0))</f>
        <v>66</v>
      </c>
      <c r="H1080" s="9" t="str">
        <f t="shared" si="65"/>
        <v>Moderate</v>
      </c>
      <c r="I1080" s="9" t="str">
        <f t="shared" si="66"/>
        <v>OK</v>
      </c>
      <c r="J1080" s="9" t="str">
        <f t="shared" si="67"/>
        <v>Standard</v>
      </c>
    </row>
    <row r="1081" spans="1:10" x14ac:dyDescent="0.3">
      <c r="A1081" s="10">
        <f>'2_Clean_Data'!A1078</f>
        <v>1077</v>
      </c>
      <c r="B1081" s="10">
        <f>INDEX('2_Clean_Data'!$M$2:$M$1360,MATCH($A1081,'2_Clean_Data'!$A$2:$A$1360,0))</f>
        <v>4</v>
      </c>
      <c r="C1081" s="9" t="str">
        <f t="shared" si="64"/>
        <v>Poor</v>
      </c>
      <c r="D1081" s="11">
        <f>INDEX('2_Clean_Data'!$L$2:$L$1360,MATCH($A1081,'2_Clean_Data'!$A$2:$A$1360,0))</f>
        <v>9.6</v>
      </c>
      <c r="E1081" s="9" t="str">
        <f>IF(D1081&lt;'3_Summary_Tables'!$C$16,"Low",IF(D1081&lt;'3_Summary_Tables'!$C$17,"Medium","High"))</f>
        <v>Low</v>
      </c>
      <c r="F1081" s="12">
        <f>INDEX('2_Clean_Data'!$C$2:$C$1360,MATCH($A1081,'2_Clean_Data'!$A$2:$A$1360,0))</f>
        <v>0.78</v>
      </c>
      <c r="G1081" s="10">
        <f>INDEX('2_Clean_Data'!$H$2:$H$1360,MATCH($A1081,'2_Clean_Data'!$A$2:$A$1360,0))</f>
        <v>26</v>
      </c>
      <c r="H1081" s="9" t="str">
        <f t="shared" si="65"/>
        <v>Low</v>
      </c>
      <c r="I1081" s="9" t="str">
        <f t="shared" si="66"/>
        <v>Above limit</v>
      </c>
      <c r="J1081" s="9" t="str">
        <f t="shared" si="67"/>
        <v>Poor</v>
      </c>
    </row>
    <row r="1082" spans="1:10" x14ac:dyDescent="0.3">
      <c r="A1082" s="10">
        <f>'2_Clean_Data'!A1079</f>
        <v>1078</v>
      </c>
      <c r="B1082" s="10">
        <f>INDEX('2_Clean_Data'!$M$2:$M$1360,MATCH($A1082,'2_Clean_Data'!$A$2:$A$1360,0))</f>
        <v>6</v>
      </c>
      <c r="C1082" s="9" t="str">
        <f t="shared" si="64"/>
        <v>Above Average</v>
      </c>
      <c r="D1082" s="11">
        <f>INDEX('2_Clean_Data'!$L$2:$L$1360,MATCH($A1082,'2_Clean_Data'!$A$2:$A$1360,0))</f>
        <v>11.8</v>
      </c>
      <c r="E1082" s="9" t="str">
        <f>IF(D1082&lt;'3_Summary_Tables'!$C$16,"Low",IF(D1082&lt;'3_Summary_Tables'!$C$17,"Medium","High"))</f>
        <v>High</v>
      </c>
      <c r="F1082" s="12">
        <f>INDEX('2_Clean_Data'!$C$2:$C$1360,MATCH($A1082,'2_Clean_Data'!$A$2:$A$1360,0))</f>
        <v>0.37</v>
      </c>
      <c r="G1082" s="10">
        <f>INDEX('2_Clean_Data'!$H$2:$H$1360,MATCH($A1082,'2_Clean_Data'!$A$2:$A$1360,0))</f>
        <v>51</v>
      </c>
      <c r="H1082" s="9" t="str">
        <f t="shared" si="65"/>
        <v>Moderate</v>
      </c>
      <c r="I1082" s="9" t="str">
        <f t="shared" si="66"/>
        <v>OK</v>
      </c>
      <c r="J1082" s="9" t="str">
        <f t="shared" si="67"/>
        <v>Solid</v>
      </c>
    </row>
    <row r="1083" spans="1:10" x14ac:dyDescent="0.3">
      <c r="A1083" s="10">
        <f>'2_Clean_Data'!A1080</f>
        <v>1079</v>
      </c>
      <c r="B1083" s="10">
        <f>INDEX('2_Clean_Data'!$M$2:$M$1360,MATCH($A1083,'2_Clean_Data'!$A$2:$A$1360,0))</f>
        <v>6</v>
      </c>
      <c r="C1083" s="9" t="str">
        <f t="shared" si="64"/>
        <v>Above Average</v>
      </c>
      <c r="D1083" s="11">
        <f>INDEX('2_Clean_Data'!$L$2:$L$1360,MATCH($A1083,'2_Clean_Data'!$A$2:$A$1360,0))</f>
        <v>10.3</v>
      </c>
      <c r="E1083" s="9" t="str">
        <f>IF(D1083&lt;'3_Summary_Tables'!$C$16,"Low",IF(D1083&lt;'3_Summary_Tables'!$C$17,"Medium","High"))</f>
        <v>Medium</v>
      </c>
      <c r="F1083" s="12">
        <f>INDEX('2_Clean_Data'!$C$2:$C$1360,MATCH($A1083,'2_Clean_Data'!$A$2:$A$1360,0))</f>
        <v>0.56999999999999995</v>
      </c>
      <c r="G1083" s="10">
        <f>INDEX('2_Clean_Data'!$H$2:$H$1360,MATCH($A1083,'2_Clean_Data'!$A$2:$A$1360,0))</f>
        <v>36</v>
      </c>
      <c r="H1083" s="9" t="str">
        <f t="shared" si="65"/>
        <v>Low</v>
      </c>
      <c r="I1083" s="9" t="str">
        <f t="shared" si="66"/>
        <v>OK</v>
      </c>
      <c r="J1083" s="9" t="str">
        <f t="shared" si="67"/>
        <v>Solid</v>
      </c>
    </row>
    <row r="1084" spans="1:10" x14ac:dyDescent="0.3">
      <c r="A1084" s="10">
        <f>'2_Clean_Data'!A1081</f>
        <v>1080</v>
      </c>
      <c r="B1084" s="10">
        <f>INDEX('2_Clean_Data'!$M$2:$M$1360,MATCH($A1084,'2_Clean_Data'!$A$2:$A$1360,0))</f>
        <v>6</v>
      </c>
      <c r="C1084" s="9" t="str">
        <f t="shared" si="64"/>
        <v>Above Average</v>
      </c>
      <c r="D1084" s="11">
        <f>INDEX('2_Clean_Data'!$L$2:$L$1360,MATCH($A1084,'2_Clean_Data'!$A$2:$A$1360,0))</f>
        <v>11.4</v>
      </c>
      <c r="E1084" s="9" t="str">
        <f>IF(D1084&lt;'3_Summary_Tables'!$C$16,"Low",IF(D1084&lt;'3_Summary_Tables'!$C$17,"Medium","High"))</f>
        <v>Medium</v>
      </c>
      <c r="F1084" s="12">
        <f>INDEX('2_Clean_Data'!$C$2:$C$1360,MATCH($A1084,'2_Clean_Data'!$A$2:$A$1360,0))</f>
        <v>0.43</v>
      </c>
      <c r="G1084" s="10">
        <f>INDEX('2_Clean_Data'!$H$2:$H$1360,MATCH($A1084,'2_Clean_Data'!$A$2:$A$1360,0))</f>
        <v>19</v>
      </c>
      <c r="H1084" s="9" t="str">
        <f t="shared" si="65"/>
        <v>Low</v>
      </c>
      <c r="I1084" s="9" t="str">
        <f t="shared" si="66"/>
        <v>OK</v>
      </c>
      <c r="J1084" s="9" t="str">
        <f t="shared" si="67"/>
        <v>Solid</v>
      </c>
    </row>
    <row r="1085" spans="1:10" x14ac:dyDescent="0.3">
      <c r="A1085" s="10">
        <f>'2_Clean_Data'!A1082</f>
        <v>1081</v>
      </c>
      <c r="B1085" s="10">
        <f>INDEX('2_Clean_Data'!$M$2:$M$1360,MATCH($A1085,'2_Clean_Data'!$A$2:$A$1360,0))</f>
        <v>6</v>
      </c>
      <c r="C1085" s="9" t="str">
        <f t="shared" si="64"/>
        <v>Above Average</v>
      </c>
      <c r="D1085" s="11">
        <f>INDEX('2_Clean_Data'!$L$2:$L$1360,MATCH($A1085,'2_Clean_Data'!$A$2:$A$1360,0))</f>
        <v>9.5</v>
      </c>
      <c r="E1085" s="9" t="str">
        <f>IF(D1085&lt;'3_Summary_Tables'!$C$16,"Low",IF(D1085&lt;'3_Summary_Tables'!$C$17,"Medium","High"))</f>
        <v>Low</v>
      </c>
      <c r="F1085" s="12">
        <f>INDEX('2_Clean_Data'!$C$2:$C$1360,MATCH($A1085,'2_Clean_Data'!$A$2:$A$1360,0))</f>
        <v>0.41</v>
      </c>
      <c r="G1085" s="10">
        <f>INDEX('2_Clean_Data'!$H$2:$H$1360,MATCH($A1085,'2_Clean_Data'!$A$2:$A$1360,0))</f>
        <v>51</v>
      </c>
      <c r="H1085" s="9" t="str">
        <f t="shared" si="65"/>
        <v>Moderate</v>
      </c>
      <c r="I1085" s="9" t="str">
        <f t="shared" si="66"/>
        <v>OK</v>
      </c>
      <c r="J1085" s="9" t="str">
        <f t="shared" si="67"/>
        <v>Solid</v>
      </c>
    </row>
    <row r="1086" spans="1:10" x14ac:dyDescent="0.3">
      <c r="A1086" s="10">
        <f>'2_Clean_Data'!A1083</f>
        <v>1082</v>
      </c>
      <c r="B1086" s="10">
        <f>INDEX('2_Clean_Data'!$M$2:$M$1360,MATCH($A1086,'2_Clean_Data'!$A$2:$A$1360,0))</f>
        <v>8</v>
      </c>
      <c r="C1086" s="9" t="str">
        <f t="shared" si="64"/>
        <v>Excellent</v>
      </c>
      <c r="D1086" s="11">
        <f>INDEX('2_Clean_Data'!$L$2:$L$1360,MATCH($A1086,'2_Clean_Data'!$A$2:$A$1360,0))</f>
        <v>14</v>
      </c>
      <c r="E1086" s="9" t="str">
        <f>IF(D1086&lt;'3_Summary_Tables'!$C$16,"Low",IF(D1086&lt;'3_Summary_Tables'!$C$17,"Medium","High"))</f>
        <v>High</v>
      </c>
      <c r="F1086" s="12">
        <f>INDEX('2_Clean_Data'!$C$2:$C$1360,MATCH($A1086,'2_Clean_Data'!$A$2:$A$1360,0))</f>
        <v>0.49</v>
      </c>
      <c r="G1086" s="10">
        <f>INDEX('2_Clean_Data'!$H$2:$H$1360,MATCH($A1086,'2_Clean_Data'!$A$2:$A$1360,0))</f>
        <v>87</v>
      </c>
      <c r="H1086" s="9" t="str">
        <f t="shared" si="65"/>
        <v>Moderate</v>
      </c>
      <c r="I1086" s="9" t="str">
        <f t="shared" si="66"/>
        <v>OK</v>
      </c>
      <c r="J1086" s="9" t="str">
        <f t="shared" si="67"/>
        <v>Premium</v>
      </c>
    </row>
    <row r="1087" spans="1:10" x14ac:dyDescent="0.3">
      <c r="A1087" s="10">
        <f>'2_Clean_Data'!A1084</f>
        <v>1083</v>
      </c>
      <c r="B1087" s="10">
        <f>INDEX('2_Clean_Data'!$M$2:$M$1360,MATCH($A1087,'2_Clean_Data'!$A$2:$A$1360,0))</f>
        <v>6</v>
      </c>
      <c r="C1087" s="9" t="str">
        <f t="shared" si="64"/>
        <v>Above Average</v>
      </c>
      <c r="D1087" s="11">
        <f>INDEX('2_Clean_Data'!$L$2:$L$1360,MATCH($A1087,'2_Clean_Data'!$A$2:$A$1360,0))</f>
        <v>14</v>
      </c>
      <c r="E1087" s="9" t="str">
        <f>IF(D1087&lt;'3_Summary_Tables'!$C$16,"Low",IF(D1087&lt;'3_Summary_Tables'!$C$17,"Medium","High"))</f>
        <v>High</v>
      </c>
      <c r="F1087" s="12">
        <f>INDEX('2_Clean_Data'!$C$2:$C$1360,MATCH($A1087,'2_Clean_Data'!$A$2:$A$1360,0))</f>
        <v>0.38</v>
      </c>
      <c r="G1087" s="10">
        <f>INDEX('2_Clean_Data'!$H$2:$H$1360,MATCH($A1087,'2_Clean_Data'!$A$2:$A$1360,0))</f>
        <v>60</v>
      </c>
      <c r="H1087" s="9" t="str">
        <f t="shared" si="65"/>
        <v>Moderate</v>
      </c>
      <c r="I1087" s="9" t="str">
        <f t="shared" si="66"/>
        <v>OK</v>
      </c>
      <c r="J1087" s="9" t="str">
        <f t="shared" si="67"/>
        <v>Solid</v>
      </c>
    </row>
    <row r="1088" spans="1:10" x14ac:dyDescent="0.3">
      <c r="A1088" s="10">
        <f>'2_Clean_Data'!A1085</f>
        <v>1084</v>
      </c>
      <c r="B1088" s="10">
        <f>INDEX('2_Clean_Data'!$M$2:$M$1360,MATCH($A1088,'2_Clean_Data'!$A$2:$A$1360,0))</f>
        <v>6</v>
      </c>
      <c r="C1088" s="9" t="str">
        <f t="shared" si="64"/>
        <v>Above Average</v>
      </c>
      <c r="D1088" s="11">
        <f>INDEX('2_Clean_Data'!$L$2:$L$1360,MATCH($A1088,'2_Clean_Data'!$A$2:$A$1360,0))</f>
        <v>11.7</v>
      </c>
      <c r="E1088" s="9" t="str">
        <f>IF(D1088&lt;'3_Summary_Tables'!$C$16,"Low",IF(D1088&lt;'3_Summary_Tables'!$C$17,"Medium","High"))</f>
        <v>High</v>
      </c>
      <c r="F1088" s="12">
        <f>INDEX('2_Clean_Data'!$C$2:$C$1360,MATCH($A1088,'2_Clean_Data'!$A$2:$A$1360,0))</f>
        <v>0.44</v>
      </c>
      <c r="G1088" s="10">
        <f>INDEX('2_Clean_Data'!$H$2:$H$1360,MATCH($A1088,'2_Clean_Data'!$A$2:$A$1360,0))</f>
        <v>64</v>
      </c>
      <c r="H1088" s="9" t="str">
        <f t="shared" si="65"/>
        <v>Moderate</v>
      </c>
      <c r="I1088" s="9" t="str">
        <f t="shared" si="66"/>
        <v>OK</v>
      </c>
      <c r="J1088" s="9" t="str">
        <f t="shared" si="67"/>
        <v>Solid</v>
      </c>
    </row>
    <row r="1089" spans="1:10" x14ac:dyDescent="0.3">
      <c r="A1089" s="10">
        <f>'2_Clean_Data'!A1086</f>
        <v>1085</v>
      </c>
      <c r="B1089" s="10">
        <f>INDEX('2_Clean_Data'!$M$2:$M$1360,MATCH($A1089,'2_Clean_Data'!$A$2:$A$1360,0))</f>
        <v>5</v>
      </c>
      <c r="C1089" s="9" t="str">
        <f t="shared" si="64"/>
        <v>Average</v>
      </c>
      <c r="D1089" s="11">
        <f>INDEX('2_Clean_Data'!$L$2:$L$1360,MATCH($A1089,'2_Clean_Data'!$A$2:$A$1360,0))</f>
        <v>11.2</v>
      </c>
      <c r="E1089" s="9" t="str">
        <f>IF(D1089&lt;'3_Summary_Tables'!$C$16,"Low",IF(D1089&lt;'3_Summary_Tables'!$C$17,"Medium","High"))</f>
        <v>Medium</v>
      </c>
      <c r="F1089" s="12">
        <f>INDEX('2_Clean_Data'!$C$2:$C$1360,MATCH($A1089,'2_Clean_Data'!$A$2:$A$1360,0))</f>
        <v>0.46</v>
      </c>
      <c r="G1089" s="10">
        <f>INDEX('2_Clean_Data'!$H$2:$H$1360,MATCH($A1089,'2_Clean_Data'!$A$2:$A$1360,0))</f>
        <v>44</v>
      </c>
      <c r="H1089" s="9" t="str">
        <f t="shared" si="65"/>
        <v>Low</v>
      </c>
      <c r="I1089" s="9" t="str">
        <f t="shared" si="66"/>
        <v>OK</v>
      </c>
      <c r="J1089" s="9" t="str">
        <f t="shared" si="67"/>
        <v>Standard</v>
      </c>
    </row>
    <row r="1090" spans="1:10" x14ac:dyDescent="0.3">
      <c r="A1090" s="10">
        <f>'2_Clean_Data'!A1087</f>
        <v>1086</v>
      </c>
      <c r="B1090" s="10">
        <f>INDEX('2_Clean_Data'!$M$2:$M$1360,MATCH($A1090,'2_Clean_Data'!$A$2:$A$1360,0))</f>
        <v>5</v>
      </c>
      <c r="C1090" s="9" t="str">
        <f t="shared" si="64"/>
        <v>Average</v>
      </c>
      <c r="D1090" s="11">
        <f>INDEX('2_Clean_Data'!$L$2:$L$1360,MATCH($A1090,'2_Clean_Data'!$A$2:$A$1360,0))</f>
        <v>9.3000000000000007</v>
      </c>
      <c r="E1090" s="9" t="str">
        <f>IF(D1090&lt;'3_Summary_Tables'!$C$16,"Low",IF(D1090&lt;'3_Summary_Tables'!$C$17,"Medium","High"))</f>
        <v>Low</v>
      </c>
      <c r="F1090" s="12">
        <f>INDEX('2_Clean_Data'!$C$2:$C$1360,MATCH($A1090,'2_Clean_Data'!$A$2:$A$1360,0))</f>
        <v>0.57999999999999996</v>
      </c>
      <c r="G1090" s="10">
        <f>INDEX('2_Clean_Data'!$H$2:$H$1360,MATCH($A1090,'2_Clean_Data'!$A$2:$A$1360,0))</f>
        <v>44</v>
      </c>
      <c r="H1090" s="9" t="str">
        <f t="shared" si="65"/>
        <v>Low</v>
      </c>
      <c r="I1090" s="9" t="str">
        <f t="shared" si="66"/>
        <v>OK</v>
      </c>
      <c r="J1090" s="9" t="str">
        <f t="shared" si="67"/>
        <v>Standard</v>
      </c>
    </row>
    <row r="1091" spans="1:10" x14ac:dyDescent="0.3">
      <c r="A1091" s="10">
        <f>'2_Clean_Data'!A1088</f>
        <v>1087</v>
      </c>
      <c r="B1091" s="10">
        <f>INDEX('2_Clean_Data'!$M$2:$M$1360,MATCH($A1091,'2_Clean_Data'!$A$2:$A$1360,0))</f>
        <v>6</v>
      </c>
      <c r="C1091" s="9" t="str">
        <f t="shared" si="64"/>
        <v>Above Average</v>
      </c>
      <c r="D1091" s="11">
        <f>INDEX('2_Clean_Data'!$L$2:$L$1360,MATCH($A1091,'2_Clean_Data'!$A$2:$A$1360,0))</f>
        <v>11.2</v>
      </c>
      <c r="E1091" s="9" t="str">
        <f>IF(D1091&lt;'3_Summary_Tables'!$C$16,"Low",IF(D1091&lt;'3_Summary_Tables'!$C$17,"Medium","High"))</f>
        <v>Medium</v>
      </c>
      <c r="F1091" s="12">
        <f>INDEX('2_Clean_Data'!$C$2:$C$1360,MATCH($A1091,'2_Clean_Data'!$A$2:$A$1360,0))</f>
        <v>0.57999999999999996</v>
      </c>
      <c r="G1091" s="10">
        <f>INDEX('2_Clean_Data'!$H$2:$H$1360,MATCH($A1091,'2_Clean_Data'!$A$2:$A$1360,0))</f>
        <v>36</v>
      </c>
      <c r="H1091" s="9" t="str">
        <f t="shared" si="65"/>
        <v>Low</v>
      </c>
      <c r="I1091" s="9" t="str">
        <f t="shared" si="66"/>
        <v>OK</v>
      </c>
      <c r="J1091" s="9" t="str">
        <f t="shared" si="67"/>
        <v>Solid</v>
      </c>
    </row>
    <row r="1092" spans="1:10" x14ac:dyDescent="0.3">
      <c r="A1092" s="10">
        <f>'2_Clean_Data'!A1089</f>
        <v>1088</v>
      </c>
      <c r="B1092" s="10">
        <f>INDEX('2_Clean_Data'!$M$2:$M$1360,MATCH($A1092,'2_Clean_Data'!$A$2:$A$1360,0))</f>
        <v>6</v>
      </c>
      <c r="C1092" s="9" t="str">
        <f t="shared" si="64"/>
        <v>Above Average</v>
      </c>
      <c r="D1092" s="11">
        <f>INDEX('2_Clean_Data'!$L$2:$L$1360,MATCH($A1092,'2_Clean_Data'!$A$2:$A$1360,0))</f>
        <v>9.5</v>
      </c>
      <c r="E1092" s="9" t="str">
        <f>IF(D1092&lt;'3_Summary_Tables'!$C$16,"Low",IF(D1092&lt;'3_Summary_Tables'!$C$17,"Medium","High"))</f>
        <v>Low</v>
      </c>
      <c r="F1092" s="12">
        <f>INDEX('2_Clean_Data'!$C$2:$C$1360,MATCH($A1092,'2_Clean_Data'!$A$2:$A$1360,0))</f>
        <v>0.71499999999999997</v>
      </c>
      <c r="G1092" s="10">
        <f>INDEX('2_Clean_Data'!$H$2:$H$1360,MATCH($A1092,'2_Clean_Data'!$A$2:$A$1360,0))</f>
        <v>81</v>
      </c>
      <c r="H1092" s="9" t="str">
        <f t="shared" si="65"/>
        <v>Moderate</v>
      </c>
      <c r="I1092" s="9" t="str">
        <f t="shared" si="66"/>
        <v>Above limit</v>
      </c>
      <c r="J1092" s="9" t="str">
        <f t="shared" si="67"/>
        <v>Standard</v>
      </c>
    </row>
    <row r="1093" spans="1:10" x14ac:dyDescent="0.3">
      <c r="A1093" s="10">
        <f>'2_Clean_Data'!A1090</f>
        <v>1089</v>
      </c>
      <c r="B1093" s="10">
        <f>INDEX('2_Clean_Data'!$M$2:$M$1360,MATCH($A1093,'2_Clean_Data'!$A$2:$A$1360,0))</f>
        <v>4</v>
      </c>
      <c r="C1093" s="9" t="str">
        <f t="shared" ref="C1093:C1156" si="68">VLOOKUP(B1093,$L$12:$N$17,2,FALSE())</f>
        <v>Poor</v>
      </c>
      <c r="D1093" s="11">
        <f>INDEX('2_Clean_Data'!$L$2:$L$1360,MATCH($A1093,'2_Clean_Data'!$A$2:$A$1360,0))</f>
        <v>12</v>
      </c>
      <c r="E1093" s="9" t="str">
        <f>IF(D1093&lt;'3_Summary_Tables'!$C$16,"Low",IF(D1093&lt;'3_Summary_Tables'!$C$17,"Medium","High"))</f>
        <v>High</v>
      </c>
      <c r="F1093" s="12">
        <f>INDEX('2_Clean_Data'!$C$2:$C$1360,MATCH($A1093,'2_Clean_Data'!$A$2:$A$1360,0))</f>
        <v>0.4</v>
      </c>
      <c r="G1093" s="10">
        <f>INDEX('2_Clean_Data'!$H$2:$H$1360,MATCH($A1093,'2_Clean_Data'!$A$2:$A$1360,0))</f>
        <v>10</v>
      </c>
      <c r="H1093" s="9" t="str">
        <f t="shared" ref="H1093:H1156" si="69">IF(G1093&gt;$M$8,"High",IF(G1093&gt;$M$7,"Moderate","Low"))</f>
        <v>Low</v>
      </c>
      <c r="I1093" s="9" t="str">
        <f t="shared" ref="I1093:I1156" si="70">IF(F1093&gt;$M$6,"Above limit","OK")</f>
        <v>OK</v>
      </c>
      <c r="J1093" s="9" t="str">
        <f t="shared" ref="J1093:J1156" si="71">IF(AND(B1093&gt;=7,E1093="High"),"Premium",IF(AND(B1093&gt;=6,I1093="OK"),"Solid",IF(B1093&lt;=4,"Poor","Standard")))</f>
        <v>Poor</v>
      </c>
    </row>
    <row r="1094" spans="1:10" x14ac:dyDescent="0.3">
      <c r="A1094" s="10">
        <f>'2_Clean_Data'!A1091</f>
        <v>1090</v>
      </c>
      <c r="B1094" s="10">
        <f>INDEX('2_Clean_Data'!$M$2:$M$1360,MATCH($A1094,'2_Clean_Data'!$A$2:$A$1360,0))</f>
        <v>6</v>
      </c>
      <c r="C1094" s="9" t="str">
        <f t="shared" si="68"/>
        <v>Above Average</v>
      </c>
      <c r="D1094" s="11">
        <f>INDEX('2_Clean_Data'!$L$2:$L$1360,MATCH($A1094,'2_Clean_Data'!$A$2:$A$1360,0))</f>
        <v>9.6999999999999993</v>
      </c>
      <c r="E1094" s="9" t="str">
        <f>IF(D1094&lt;'3_Summary_Tables'!$C$16,"Low",IF(D1094&lt;'3_Summary_Tables'!$C$17,"Medium","High"))</f>
        <v>Low</v>
      </c>
      <c r="F1094" s="12">
        <f>INDEX('2_Clean_Data'!$C$2:$C$1360,MATCH($A1094,'2_Clean_Data'!$A$2:$A$1360,0))</f>
        <v>0.69</v>
      </c>
      <c r="G1094" s="10">
        <f>INDEX('2_Clean_Data'!$H$2:$H$1360,MATCH($A1094,'2_Clean_Data'!$A$2:$A$1360,0))</f>
        <v>10</v>
      </c>
      <c r="H1094" s="9" t="str">
        <f t="shared" si="69"/>
        <v>Low</v>
      </c>
      <c r="I1094" s="9" t="str">
        <f t="shared" si="70"/>
        <v>OK</v>
      </c>
      <c r="J1094" s="9" t="str">
        <f t="shared" si="71"/>
        <v>Solid</v>
      </c>
    </row>
    <row r="1095" spans="1:10" x14ac:dyDescent="0.3">
      <c r="A1095" s="10">
        <f>'2_Clean_Data'!A1092</f>
        <v>1091</v>
      </c>
      <c r="B1095" s="10">
        <f>INDEX('2_Clean_Data'!$M$2:$M$1360,MATCH($A1095,'2_Clean_Data'!$A$2:$A$1360,0))</f>
        <v>7</v>
      </c>
      <c r="C1095" s="9" t="str">
        <f t="shared" si="68"/>
        <v>Good</v>
      </c>
      <c r="D1095" s="11">
        <f>INDEX('2_Clean_Data'!$L$2:$L$1360,MATCH($A1095,'2_Clean_Data'!$A$2:$A$1360,0))</f>
        <v>11.5</v>
      </c>
      <c r="E1095" s="9" t="str">
        <f>IF(D1095&lt;'3_Summary_Tables'!$C$16,"Low",IF(D1095&lt;'3_Summary_Tables'!$C$17,"Medium","High"))</f>
        <v>High</v>
      </c>
      <c r="F1095" s="12">
        <f>INDEX('2_Clean_Data'!$C$2:$C$1360,MATCH($A1095,'2_Clean_Data'!$A$2:$A$1360,0))</f>
        <v>0.3</v>
      </c>
      <c r="G1095" s="10">
        <f>INDEX('2_Clean_Data'!$H$2:$H$1360,MATCH($A1095,'2_Clean_Data'!$A$2:$A$1360,0))</f>
        <v>9</v>
      </c>
      <c r="H1095" s="9" t="str">
        <f t="shared" si="69"/>
        <v>Low</v>
      </c>
      <c r="I1095" s="9" t="str">
        <f t="shared" si="70"/>
        <v>OK</v>
      </c>
      <c r="J1095" s="9" t="str">
        <f t="shared" si="71"/>
        <v>Premium</v>
      </c>
    </row>
    <row r="1096" spans="1:10" x14ac:dyDescent="0.3">
      <c r="A1096" s="10">
        <f>'2_Clean_Data'!A1093</f>
        <v>1092</v>
      </c>
      <c r="B1096" s="10">
        <f>INDEX('2_Clean_Data'!$M$2:$M$1360,MATCH($A1096,'2_Clean_Data'!$A$2:$A$1360,0))</f>
        <v>6</v>
      </c>
      <c r="C1096" s="9" t="str">
        <f t="shared" si="68"/>
        <v>Above Average</v>
      </c>
      <c r="D1096" s="11">
        <f>INDEX('2_Clean_Data'!$L$2:$L$1360,MATCH($A1096,'2_Clean_Data'!$A$2:$A$1360,0))</f>
        <v>10.4</v>
      </c>
      <c r="E1096" s="9" t="str">
        <f>IF(D1096&lt;'3_Summary_Tables'!$C$16,"Low",IF(D1096&lt;'3_Summary_Tables'!$C$17,"Medium","High"))</f>
        <v>Medium</v>
      </c>
      <c r="F1096" s="12">
        <f>INDEX('2_Clean_Data'!$C$2:$C$1360,MATCH($A1096,'2_Clean_Data'!$A$2:$A$1360,0))</f>
        <v>0.46</v>
      </c>
      <c r="G1096" s="10">
        <f>INDEX('2_Clean_Data'!$H$2:$H$1360,MATCH($A1096,'2_Clean_Data'!$A$2:$A$1360,0))</f>
        <v>54</v>
      </c>
      <c r="H1096" s="9" t="str">
        <f t="shared" si="69"/>
        <v>Moderate</v>
      </c>
      <c r="I1096" s="9" t="str">
        <f t="shared" si="70"/>
        <v>OK</v>
      </c>
      <c r="J1096" s="9" t="str">
        <f t="shared" si="71"/>
        <v>Solid</v>
      </c>
    </row>
    <row r="1097" spans="1:10" x14ac:dyDescent="0.3">
      <c r="A1097" s="10">
        <f>'2_Clean_Data'!A1094</f>
        <v>1093</v>
      </c>
      <c r="B1097" s="10">
        <f>INDEX('2_Clean_Data'!$M$2:$M$1360,MATCH($A1097,'2_Clean_Data'!$A$2:$A$1360,0))</f>
        <v>6</v>
      </c>
      <c r="C1097" s="9" t="str">
        <f t="shared" si="68"/>
        <v>Above Average</v>
      </c>
      <c r="D1097" s="11">
        <f>INDEX('2_Clean_Data'!$L$2:$L$1360,MATCH($A1097,'2_Clean_Data'!$A$2:$A$1360,0))</f>
        <v>10.9</v>
      </c>
      <c r="E1097" s="9" t="str">
        <f>IF(D1097&lt;'3_Summary_Tables'!$C$16,"Low",IF(D1097&lt;'3_Summary_Tables'!$C$17,"Medium","High"))</f>
        <v>Medium</v>
      </c>
      <c r="F1097" s="12">
        <f>INDEX('2_Clean_Data'!$C$2:$C$1360,MATCH($A1097,'2_Clean_Data'!$A$2:$A$1360,0))</f>
        <v>0.76500000000000001</v>
      </c>
      <c r="G1097" s="10">
        <f>INDEX('2_Clean_Data'!$H$2:$H$1360,MATCH($A1097,'2_Clean_Data'!$A$2:$A$1360,0))</f>
        <v>22</v>
      </c>
      <c r="H1097" s="9" t="str">
        <f t="shared" si="69"/>
        <v>Low</v>
      </c>
      <c r="I1097" s="9" t="str">
        <f t="shared" si="70"/>
        <v>Above limit</v>
      </c>
      <c r="J1097" s="9" t="str">
        <f t="shared" si="71"/>
        <v>Standard</v>
      </c>
    </row>
    <row r="1098" spans="1:10" x14ac:dyDescent="0.3">
      <c r="A1098" s="10">
        <f>'2_Clean_Data'!A1095</f>
        <v>1094</v>
      </c>
      <c r="B1098" s="10">
        <f>INDEX('2_Clean_Data'!$M$2:$M$1360,MATCH($A1098,'2_Clean_Data'!$A$2:$A$1360,0))</f>
        <v>6</v>
      </c>
      <c r="C1098" s="9" t="str">
        <f t="shared" si="68"/>
        <v>Above Average</v>
      </c>
      <c r="D1098" s="11">
        <f>INDEX('2_Clean_Data'!$L$2:$L$1360,MATCH($A1098,'2_Clean_Data'!$A$2:$A$1360,0))</f>
        <v>10.199999999999999</v>
      </c>
      <c r="E1098" s="9" t="str">
        <f>IF(D1098&lt;'3_Summary_Tables'!$C$16,"Low",IF(D1098&lt;'3_Summary_Tables'!$C$17,"Medium","High"))</f>
        <v>Medium</v>
      </c>
      <c r="F1098" s="12">
        <f>INDEX('2_Clean_Data'!$C$2:$C$1360,MATCH($A1098,'2_Clean_Data'!$A$2:$A$1360,0))</f>
        <v>0.63</v>
      </c>
      <c r="G1098" s="10">
        <f>INDEX('2_Clean_Data'!$H$2:$H$1360,MATCH($A1098,'2_Clean_Data'!$A$2:$A$1360,0))</f>
        <v>69</v>
      </c>
      <c r="H1098" s="9" t="str">
        <f t="shared" si="69"/>
        <v>Moderate</v>
      </c>
      <c r="I1098" s="9" t="str">
        <f t="shared" si="70"/>
        <v>OK</v>
      </c>
      <c r="J1098" s="9" t="str">
        <f t="shared" si="71"/>
        <v>Solid</v>
      </c>
    </row>
    <row r="1099" spans="1:10" x14ac:dyDescent="0.3">
      <c r="A1099" s="10">
        <f>'2_Clean_Data'!A1096</f>
        <v>1095</v>
      </c>
      <c r="B1099" s="10">
        <f>INDEX('2_Clean_Data'!$M$2:$M$1360,MATCH($A1099,'2_Clean_Data'!$A$2:$A$1360,0))</f>
        <v>5</v>
      </c>
      <c r="C1099" s="9" t="str">
        <f t="shared" si="68"/>
        <v>Average</v>
      </c>
      <c r="D1099" s="11">
        <f>INDEX('2_Clean_Data'!$L$2:$L$1360,MATCH($A1099,'2_Clean_Data'!$A$2:$A$1360,0))</f>
        <v>10.9</v>
      </c>
      <c r="E1099" s="9" t="str">
        <f>IF(D1099&lt;'3_Summary_Tables'!$C$16,"Low",IF(D1099&lt;'3_Summary_Tables'!$C$17,"Medium","High"))</f>
        <v>Medium</v>
      </c>
      <c r="F1099" s="12">
        <f>INDEX('2_Clean_Data'!$C$2:$C$1360,MATCH($A1099,'2_Clean_Data'!$A$2:$A$1360,0))</f>
        <v>0.42</v>
      </c>
      <c r="G1099" s="10">
        <f>INDEX('2_Clean_Data'!$H$2:$H$1360,MATCH($A1099,'2_Clean_Data'!$A$2:$A$1360,0))</f>
        <v>36</v>
      </c>
      <c r="H1099" s="9" t="str">
        <f t="shared" si="69"/>
        <v>Low</v>
      </c>
      <c r="I1099" s="9" t="str">
        <f t="shared" si="70"/>
        <v>OK</v>
      </c>
      <c r="J1099" s="9" t="str">
        <f t="shared" si="71"/>
        <v>Standard</v>
      </c>
    </row>
    <row r="1100" spans="1:10" x14ac:dyDescent="0.3">
      <c r="A1100" s="10">
        <f>'2_Clean_Data'!A1097</f>
        <v>1096</v>
      </c>
      <c r="B1100" s="10">
        <f>INDEX('2_Clean_Data'!$M$2:$M$1360,MATCH($A1100,'2_Clean_Data'!$A$2:$A$1360,0))</f>
        <v>5</v>
      </c>
      <c r="C1100" s="9" t="str">
        <f t="shared" si="68"/>
        <v>Average</v>
      </c>
      <c r="D1100" s="11">
        <f>INDEX('2_Clean_Data'!$L$2:$L$1360,MATCH($A1100,'2_Clean_Data'!$A$2:$A$1360,0))</f>
        <v>10.5</v>
      </c>
      <c r="E1100" s="9" t="str">
        <f>IF(D1100&lt;'3_Summary_Tables'!$C$16,"Low",IF(D1100&lt;'3_Summary_Tables'!$C$17,"Medium","High"))</f>
        <v>Medium</v>
      </c>
      <c r="F1100" s="12">
        <f>INDEX('2_Clean_Data'!$C$2:$C$1360,MATCH($A1100,'2_Clean_Data'!$A$2:$A$1360,0))</f>
        <v>0.37</v>
      </c>
      <c r="G1100" s="10">
        <f>INDEX('2_Clean_Data'!$H$2:$H$1360,MATCH($A1100,'2_Clean_Data'!$A$2:$A$1360,0))</f>
        <v>47</v>
      </c>
      <c r="H1100" s="9" t="str">
        <f t="shared" si="69"/>
        <v>Low</v>
      </c>
      <c r="I1100" s="9" t="str">
        <f t="shared" si="70"/>
        <v>OK</v>
      </c>
      <c r="J1100" s="9" t="str">
        <f t="shared" si="71"/>
        <v>Standard</v>
      </c>
    </row>
    <row r="1101" spans="1:10" x14ac:dyDescent="0.3">
      <c r="A1101" s="10">
        <f>'2_Clean_Data'!A1098</f>
        <v>1097</v>
      </c>
      <c r="B1101" s="10">
        <f>INDEX('2_Clean_Data'!$M$2:$M$1360,MATCH($A1101,'2_Clean_Data'!$A$2:$A$1360,0))</f>
        <v>6</v>
      </c>
      <c r="C1101" s="9" t="str">
        <f t="shared" si="68"/>
        <v>Above Average</v>
      </c>
      <c r="D1101" s="11">
        <f>INDEX('2_Clean_Data'!$L$2:$L$1360,MATCH($A1101,'2_Clean_Data'!$A$2:$A$1360,0))</f>
        <v>12.4</v>
      </c>
      <c r="E1101" s="9" t="str">
        <f>IF(D1101&lt;'3_Summary_Tables'!$C$16,"Low",IF(D1101&lt;'3_Summary_Tables'!$C$17,"Medium","High"))</f>
        <v>High</v>
      </c>
      <c r="F1101" s="12">
        <f>INDEX('2_Clean_Data'!$C$2:$C$1360,MATCH($A1101,'2_Clean_Data'!$A$2:$A$1360,0))</f>
        <v>0.16</v>
      </c>
      <c r="G1101" s="10">
        <f>INDEX('2_Clean_Data'!$H$2:$H$1360,MATCH($A1101,'2_Clean_Data'!$A$2:$A$1360,0))</f>
        <v>31</v>
      </c>
      <c r="H1101" s="9" t="str">
        <f t="shared" si="69"/>
        <v>Low</v>
      </c>
      <c r="I1101" s="9" t="str">
        <f t="shared" si="70"/>
        <v>OK</v>
      </c>
      <c r="J1101" s="9" t="str">
        <f t="shared" si="71"/>
        <v>Solid</v>
      </c>
    </row>
    <row r="1102" spans="1:10" x14ac:dyDescent="0.3">
      <c r="A1102" s="10">
        <f>'2_Clean_Data'!A1099</f>
        <v>1098</v>
      </c>
      <c r="B1102" s="10">
        <f>INDEX('2_Clean_Data'!$M$2:$M$1360,MATCH($A1102,'2_Clean_Data'!$A$2:$A$1360,0))</f>
        <v>5</v>
      </c>
      <c r="C1102" s="9" t="str">
        <f t="shared" si="68"/>
        <v>Average</v>
      </c>
      <c r="D1102" s="11">
        <f>INDEX('2_Clean_Data'!$L$2:$L$1360,MATCH($A1102,'2_Clean_Data'!$A$2:$A$1360,0))</f>
        <v>13</v>
      </c>
      <c r="E1102" s="9" t="str">
        <f>IF(D1102&lt;'3_Summary_Tables'!$C$16,"Low",IF(D1102&lt;'3_Summary_Tables'!$C$17,"Medium","High"))</f>
        <v>High</v>
      </c>
      <c r="F1102" s="12">
        <f>INDEX('2_Clean_Data'!$C$2:$C$1360,MATCH($A1102,'2_Clean_Data'!$A$2:$A$1360,0))</f>
        <v>0.6</v>
      </c>
      <c r="G1102" s="10">
        <f>INDEX('2_Clean_Data'!$H$2:$H$1360,MATCH($A1102,'2_Clean_Data'!$A$2:$A$1360,0))</f>
        <v>7</v>
      </c>
      <c r="H1102" s="9" t="str">
        <f t="shared" si="69"/>
        <v>Low</v>
      </c>
      <c r="I1102" s="9" t="str">
        <f t="shared" si="70"/>
        <v>OK</v>
      </c>
      <c r="J1102" s="9" t="str">
        <f t="shared" si="71"/>
        <v>Standard</v>
      </c>
    </row>
    <row r="1103" spans="1:10" x14ac:dyDescent="0.3">
      <c r="A1103" s="10">
        <f>'2_Clean_Data'!A1100</f>
        <v>1099</v>
      </c>
      <c r="B1103" s="10">
        <f>INDEX('2_Clean_Data'!$M$2:$M$1360,MATCH($A1103,'2_Clean_Data'!$A$2:$A$1360,0))</f>
        <v>5</v>
      </c>
      <c r="C1103" s="9" t="str">
        <f t="shared" si="68"/>
        <v>Average</v>
      </c>
      <c r="D1103" s="11">
        <f>INDEX('2_Clean_Data'!$L$2:$L$1360,MATCH($A1103,'2_Clean_Data'!$A$2:$A$1360,0))</f>
        <v>10.199999999999999</v>
      </c>
      <c r="E1103" s="9" t="str">
        <f>IF(D1103&lt;'3_Summary_Tables'!$C$16,"Low",IF(D1103&lt;'3_Summary_Tables'!$C$17,"Medium","High"))</f>
        <v>Medium</v>
      </c>
      <c r="F1103" s="12">
        <f>INDEX('2_Clean_Data'!$C$2:$C$1360,MATCH($A1103,'2_Clean_Data'!$A$2:$A$1360,0))</f>
        <v>0.6</v>
      </c>
      <c r="G1103" s="10">
        <f>INDEX('2_Clean_Data'!$H$2:$H$1360,MATCH($A1103,'2_Clean_Data'!$A$2:$A$1360,0))</f>
        <v>110</v>
      </c>
      <c r="H1103" s="9" t="str">
        <f t="shared" si="69"/>
        <v>High</v>
      </c>
      <c r="I1103" s="9" t="str">
        <f t="shared" si="70"/>
        <v>OK</v>
      </c>
      <c r="J1103" s="9" t="str">
        <f t="shared" si="71"/>
        <v>Standard</v>
      </c>
    </row>
    <row r="1104" spans="1:10" x14ac:dyDescent="0.3">
      <c r="A1104" s="10">
        <f>'2_Clean_Data'!A1101</f>
        <v>1100</v>
      </c>
      <c r="B1104" s="10">
        <f>INDEX('2_Clean_Data'!$M$2:$M$1360,MATCH($A1104,'2_Clean_Data'!$A$2:$A$1360,0))</f>
        <v>5</v>
      </c>
      <c r="C1104" s="9" t="str">
        <f t="shared" si="68"/>
        <v>Average</v>
      </c>
      <c r="D1104" s="11">
        <f>INDEX('2_Clean_Data'!$L$2:$L$1360,MATCH($A1104,'2_Clean_Data'!$A$2:$A$1360,0))</f>
        <v>11</v>
      </c>
      <c r="E1104" s="9" t="str">
        <f>IF(D1104&lt;'3_Summary_Tables'!$C$16,"Low",IF(D1104&lt;'3_Summary_Tables'!$C$17,"Medium","High"))</f>
        <v>Medium</v>
      </c>
      <c r="F1104" s="12">
        <f>INDEX('2_Clean_Data'!$C$2:$C$1360,MATCH($A1104,'2_Clean_Data'!$A$2:$A$1360,0))</f>
        <v>0.74</v>
      </c>
      <c r="G1104" s="10">
        <f>INDEX('2_Clean_Data'!$H$2:$H$1360,MATCH($A1104,'2_Clean_Data'!$A$2:$A$1360,0))</f>
        <v>12</v>
      </c>
      <c r="H1104" s="9" t="str">
        <f t="shared" si="69"/>
        <v>Low</v>
      </c>
      <c r="I1104" s="9" t="str">
        <f t="shared" si="70"/>
        <v>Above limit</v>
      </c>
      <c r="J1104" s="9" t="str">
        <f t="shared" si="71"/>
        <v>Standard</v>
      </c>
    </row>
    <row r="1105" spans="1:10" x14ac:dyDescent="0.3">
      <c r="A1105" s="10">
        <f>'2_Clean_Data'!A1102</f>
        <v>1101</v>
      </c>
      <c r="B1105" s="10">
        <f>INDEX('2_Clean_Data'!$M$2:$M$1360,MATCH($A1105,'2_Clean_Data'!$A$2:$A$1360,0))</f>
        <v>6</v>
      </c>
      <c r="C1105" s="9" t="str">
        <f t="shared" si="68"/>
        <v>Above Average</v>
      </c>
      <c r="D1105" s="11">
        <f>INDEX('2_Clean_Data'!$L$2:$L$1360,MATCH($A1105,'2_Clean_Data'!$A$2:$A$1360,0))</f>
        <v>10.9</v>
      </c>
      <c r="E1105" s="9" t="str">
        <f>IF(D1105&lt;'3_Summary_Tables'!$C$16,"Low",IF(D1105&lt;'3_Summary_Tables'!$C$17,"Medium","High"))</f>
        <v>Medium</v>
      </c>
      <c r="F1105" s="12">
        <f>INDEX('2_Clean_Data'!$C$2:$C$1360,MATCH($A1105,'2_Clean_Data'!$A$2:$A$1360,0))</f>
        <v>0.63500000000000001</v>
      </c>
      <c r="G1105" s="10">
        <f>INDEX('2_Clean_Data'!$H$2:$H$1360,MATCH($A1105,'2_Clean_Data'!$A$2:$A$1360,0))</f>
        <v>60</v>
      </c>
      <c r="H1105" s="9" t="str">
        <f t="shared" si="69"/>
        <v>Moderate</v>
      </c>
      <c r="I1105" s="9" t="str">
        <f t="shared" si="70"/>
        <v>OK</v>
      </c>
      <c r="J1105" s="9" t="str">
        <f t="shared" si="71"/>
        <v>Solid</v>
      </c>
    </row>
    <row r="1106" spans="1:10" x14ac:dyDescent="0.3">
      <c r="A1106" s="10">
        <f>'2_Clean_Data'!A1103</f>
        <v>1102</v>
      </c>
      <c r="B1106" s="10">
        <f>INDEX('2_Clean_Data'!$M$2:$M$1360,MATCH($A1106,'2_Clean_Data'!$A$2:$A$1360,0))</f>
        <v>6</v>
      </c>
      <c r="C1106" s="9" t="str">
        <f t="shared" si="68"/>
        <v>Above Average</v>
      </c>
      <c r="D1106" s="11">
        <f>INDEX('2_Clean_Data'!$L$2:$L$1360,MATCH($A1106,'2_Clean_Data'!$A$2:$A$1360,0))</f>
        <v>12.4</v>
      </c>
      <c r="E1106" s="9" t="str">
        <f>IF(D1106&lt;'3_Summary_Tables'!$C$16,"Low",IF(D1106&lt;'3_Summary_Tables'!$C$17,"Medium","High"))</f>
        <v>High</v>
      </c>
      <c r="F1106" s="12">
        <f>INDEX('2_Clean_Data'!$C$2:$C$1360,MATCH($A1106,'2_Clean_Data'!$A$2:$A$1360,0))</f>
        <v>0.39500000000000002</v>
      </c>
      <c r="G1106" s="10">
        <f>INDEX('2_Clean_Data'!$H$2:$H$1360,MATCH($A1106,'2_Clean_Data'!$A$2:$A$1360,0))</f>
        <v>28</v>
      </c>
      <c r="H1106" s="9" t="str">
        <f t="shared" si="69"/>
        <v>Low</v>
      </c>
      <c r="I1106" s="9" t="str">
        <f t="shared" si="70"/>
        <v>OK</v>
      </c>
      <c r="J1106" s="9" t="str">
        <f t="shared" si="71"/>
        <v>Solid</v>
      </c>
    </row>
    <row r="1107" spans="1:10" x14ac:dyDescent="0.3">
      <c r="A1107" s="10">
        <f>'2_Clean_Data'!A1104</f>
        <v>1103</v>
      </c>
      <c r="B1107" s="10">
        <f>INDEX('2_Clean_Data'!$M$2:$M$1360,MATCH($A1107,'2_Clean_Data'!$A$2:$A$1360,0))</f>
        <v>4</v>
      </c>
      <c r="C1107" s="9" t="str">
        <f t="shared" si="68"/>
        <v>Poor</v>
      </c>
      <c r="D1107" s="11">
        <f>INDEX('2_Clean_Data'!$L$2:$L$1360,MATCH($A1107,'2_Clean_Data'!$A$2:$A$1360,0))</f>
        <v>9.6999999999999993</v>
      </c>
      <c r="E1107" s="9" t="str">
        <f>IF(D1107&lt;'3_Summary_Tables'!$C$16,"Low",IF(D1107&lt;'3_Summary_Tables'!$C$17,"Medium","High"))</f>
        <v>Low</v>
      </c>
      <c r="F1107" s="12">
        <f>INDEX('2_Clean_Data'!$C$2:$C$1360,MATCH($A1107,'2_Clean_Data'!$A$2:$A$1360,0))</f>
        <v>0.755</v>
      </c>
      <c r="G1107" s="10">
        <f>INDEX('2_Clean_Data'!$H$2:$H$1360,MATCH($A1107,'2_Clean_Data'!$A$2:$A$1360,0))</f>
        <v>12</v>
      </c>
      <c r="H1107" s="9" t="str">
        <f t="shared" si="69"/>
        <v>Low</v>
      </c>
      <c r="I1107" s="9" t="str">
        <f t="shared" si="70"/>
        <v>Above limit</v>
      </c>
      <c r="J1107" s="9" t="str">
        <f t="shared" si="71"/>
        <v>Poor</v>
      </c>
    </row>
    <row r="1108" spans="1:10" x14ac:dyDescent="0.3">
      <c r="A1108" s="10">
        <f>'2_Clean_Data'!A1105</f>
        <v>1104</v>
      </c>
      <c r="B1108" s="10">
        <f>INDEX('2_Clean_Data'!$M$2:$M$1360,MATCH($A1108,'2_Clean_Data'!$A$2:$A$1360,0))</f>
        <v>5</v>
      </c>
      <c r="C1108" s="9" t="str">
        <f t="shared" si="68"/>
        <v>Average</v>
      </c>
      <c r="D1108" s="11">
        <f>INDEX('2_Clean_Data'!$L$2:$L$1360,MATCH($A1108,'2_Clean_Data'!$A$2:$A$1360,0))</f>
        <v>9.5</v>
      </c>
      <c r="E1108" s="9" t="str">
        <f>IF(D1108&lt;'3_Summary_Tables'!$C$16,"Low",IF(D1108&lt;'3_Summary_Tables'!$C$17,"Medium","High"))</f>
        <v>Low</v>
      </c>
      <c r="F1108" s="12">
        <f>INDEX('2_Clean_Data'!$C$2:$C$1360,MATCH($A1108,'2_Clean_Data'!$A$2:$A$1360,0))</f>
        <v>0.63</v>
      </c>
      <c r="G1108" s="10">
        <f>INDEX('2_Clean_Data'!$H$2:$H$1360,MATCH($A1108,'2_Clean_Data'!$A$2:$A$1360,0))</f>
        <v>77.5</v>
      </c>
      <c r="H1108" s="9" t="str">
        <f t="shared" si="69"/>
        <v>Moderate</v>
      </c>
      <c r="I1108" s="9" t="str">
        <f t="shared" si="70"/>
        <v>OK</v>
      </c>
      <c r="J1108" s="9" t="str">
        <f t="shared" si="71"/>
        <v>Standard</v>
      </c>
    </row>
    <row r="1109" spans="1:10" x14ac:dyDescent="0.3">
      <c r="A1109" s="10">
        <f>'2_Clean_Data'!A1106</f>
        <v>1105</v>
      </c>
      <c r="B1109" s="10">
        <f>INDEX('2_Clean_Data'!$M$2:$M$1360,MATCH($A1109,'2_Clean_Data'!$A$2:$A$1360,0))</f>
        <v>6</v>
      </c>
      <c r="C1109" s="9" t="str">
        <f t="shared" si="68"/>
        <v>Above Average</v>
      </c>
      <c r="D1109" s="11">
        <f>INDEX('2_Clean_Data'!$L$2:$L$1360,MATCH($A1109,'2_Clean_Data'!$A$2:$A$1360,0))</f>
        <v>12.1</v>
      </c>
      <c r="E1109" s="9" t="str">
        <f>IF(D1109&lt;'3_Summary_Tables'!$C$16,"Low",IF(D1109&lt;'3_Summary_Tables'!$C$17,"Medium","High"))</f>
        <v>High</v>
      </c>
      <c r="F1109" s="12">
        <f>INDEX('2_Clean_Data'!$C$2:$C$1360,MATCH($A1109,'2_Clean_Data'!$A$2:$A$1360,0))</f>
        <v>0.53</v>
      </c>
      <c r="G1109" s="10">
        <f>INDEX('2_Clean_Data'!$H$2:$H$1360,MATCH($A1109,'2_Clean_Data'!$A$2:$A$1360,0))</f>
        <v>29</v>
      </c>
      <c r="H1109" s="9" t="str">
        <f t="shared" si="69"/>
        <v>Low</v>
      </c>
      <c r="I1109" s="9" t="str">
        <f t="shared" si="70"/>
        <v>OK</v>
      </c>
      <c r="J1109" s="9" t="str">
        <f t="shared" si="71"/>
        <v>Solid</v>
      </c>
    </row>
    <row r="1110" spans="1:10" x14ac:dyDescent="0.3">
      <c r="A1110" s="10">
        <f>'2_Clean_Data'!A1107</f>
        <v>1106</v>
      </c>
      <c r="B1110" s="10">
        <f>INDEX('2_Clean_Data'!$M$2:$M$1360,MATCH($A1110,'2_Clean_Data'!$A$2:$A$1360,0))</f>
        <v>6</v>
      </c>
      <c r="C1110" s="9" t="str">
        <f t="shared" si="68"/>
        <v>Above Average</v>
      </c>
      <c r="D1110" s="11">
        <f>INDEX('2_Clean_Data'!$L$2:$L$1360,MATCH($A1110,'2_Clean_Data'!$A$2:$A$1360,0))</f>
        <v>12.2</v>
      </c>
      <c r="E1110" s="9" t="str">
        <f>IF(D1110&lt;'3_Summary_Tables'!$C$16,"Low",IF(D1110&lt;'3_Summary_Tables'!$C$17,"Medium","High"))</f>
        <v>High</v>
      </c>
      <c r="F1110" s="12">
        <f>INDEX('2_Clean_Data'!$C$2:$C$1360,MATCH($A1110,'2_Clean_Data'!$A$2:$A$1360,0))</f>
        <v>0.6</v>
      </c>
      <c r="G1110" s="10">
        <f>INDEX('2_Clean_Data'!$H$2:$H$1360,MATCH($A1110,'2_Clean_Data'!$A$2:$A$1360,0))</f>
        <v>18</v>
      </c>
      <c r="H1110" s="9" t="str">
        <f t="shared" si="69"/>
        <v>Low</v>
      </c>
      <c r="I1110" s="9" t="str">
        <f t="shared" si="70"/>
        <v>OK</v>
      </c>
      <c r="J1110" s="9" t="str">
        <f t="shared" si="71"/>
        <v>Solid</v>
      </c>
    </row>
    <row r="1111" spans="1:10" x14ac:dyDescent="0.3">
      <c r="A1111" s="10">
        <f>'2_Clean_Data'!A1108</f>
        <v>1107</v>
      </c>
      <c r="B1111" s="10">
        <f>INDEX('2_Clean_Data'!$M$2:$M$1360,MATCH($A1111,'2_Clean_Data'!$A$2:$A$1360,0))</f>
        <v>3</v>
      </c>
      <c r="C1111" s="9" t="str">
        <f t="shared" si="68"/>
        <v>Poor</v>
      </c>
      <c r="D1111" s="11">
        <f>INDEX('2_Clean_Data'!$L$2:$L$1360,MATCH($A1111,'2_Clean_Data'!$A$2:$A$1360,0))</f>
        <v>10.9</v>
      </c>
      <c r="E1111" s="9" t="str">
        <f>IF(D1111&lt;'3_Summary_Tables'!$C$16,"Low",IF(D1111&lt;'3_Summary_Tables'!$C$17,"Medium","High"))</f>
        <v>Medium</v>
      </c>
      <c r="F1111" s="12">
        <f>INDEX('2_Clean_Data'!$C$2:$C$1360,MATCH($A1111,'2_Clean_Data'!$A$2:$A$1360,0))</f>
        <v>1.58</v>
      </c>
      <c r="G1111" s="10">
        <f>INDEX('2_Clean_Data'!$H$2:$H$1360,MATCH($A1111,'2_Clean_Data'!$A$2:$A$1360,0))</f>
        <v>9</v>
      </c>
      <c r="H1111" s="9" t="str">
        <f t="shared" si="69"/>
        <v>Low</v>
      </c>
      <c r="I1111" s="9" t="str">
        <f t="shared" si="70"/>
        <v>Above limit</v>
      </c>
      <c r="J1111" s="9" t="str">
        <f t="shared" si="71"/>
        <v>Poor</v>
      </c>
    </row>
    <row r="1112" spans="1:10" x14ac:dyDescent="0.3">
      <c r="A1112" s="10">
        <f>'2_Clean_Data'!A1109</f>
        <v>1108</v>
      </c>
      <c r="B1112" s="10">
        <f>INDEX('2_Clean_Data'!$M$2:$M$1360,MATCH($A1112,'2_Clean_Data'!$A$2:$A$1360,0))</f>
        <v>6</v>
      </c>
      <c r="C1112" s="9" t="str">
        <f t="shared" si="68"/>
        <v>Above Average</v>
      </c>
      <c r="D1112" s="11">
        <f>INDEX('2_Clean_Data'!$L$2:$L$1360,MATCH($A1112,'2_Clean_Data'!$A$2:$A$1360,0))</f>
        <v>12.5</v>
      </c>
      <c r="E1112" s="9" t="str">
        <f>IF(D1112&lt;'3_Summary_Tables'!$C$16,"Low",IF(D1112&lt;'3_Summary_Tables'!$C$17,"Medium","High"))</f>
        <v>High</v>
      </c>
      <c r="F1112" s="12">
        <f>INDEX('2_Clean_Data'!$C$2:$C$1360,MATCH($A1112,'2_Clean_Data'!$A$2:$A$1360,0))</f>
        <v>0.64500000000000002</v>
      </c>
      <c r="G1112" s="10">
        <f>INDEX('2_Clean_Data'!$H$2:$H$1360,MATCH($A1112,'2_Clean_Data'!$A$2:$A$1360,0))</f>
        <v>28</v>
      </c>
      <c r="H1112" s="9" t="str">
        <f t="shared" si="69"/>
        <v>Low</v>
      </c>
      <c r="I1112" s="9" t="str">
        <f t="shared" si="70"/>
        <v>OK</v>
      </c>
      <c r="J1112" s="9" t="str">
        <f t="shared" si="71"/>
        <v>Solid</v>
      </c>
    </row>
    <row r="1113" spans="1:10" x14ac:dyDescent="0.3">
      <c r="A1113" s="10">
        <f>'2_Clean_Data'!A1110</f>
        <v>1109</v>
      </c>
      <c r="B1113" s="10">
        <f>INDEX('2_Clean_Data'!$M$2:$M$1360,MATCH($A1113,'2_Clean_Data'!$A$2:$A$1360,0))</f>
        <v>6</v>
      </c>
      <c r="C1113" s="9" t="str">
        <f t="shared" si="68"/>
        <v>Above Average</v>
      </c>
      <c r="D1113" s="11">
        <f>INDEX('2_Clean_Data'!$L$2:$L$1360,MATCH($A1113,'2_Clean_Data'!$A$2:$A$1360,0))</f>
        <v>11.7</v>
      </c>
      <c r="E1113" s="9" t="str">
        <f>IF(D1113&lt;'3_Summary_Tables'!$C$16,"Low",IF(D1113&lt;'3_Summary_Tables'!$C$17,"Medium","High"))</f>
        <v>High</v>
      </c>
      <c r="F1113" s="12">
        <f>INDEX('2_Clean_Data'!$C$2:$C$1360,MATCH($A1113,'2_Clean_Data'!$A$2:$A$1360,0))</f>
        <v>0.86</v>
      </c>
      <c r="G1113" s="10">
        <f>INDEX('2_Clean_Data'!$H$2:$H$1360,MATCH($A1113,'2_Clean_Data'!$A$2:$A$1360,0))</f>
        <v>57</v>
      </c>
      <c r="H1113" s="9" t="str">
        <f t="shared" si="69"/>
        <v>Moderate</v>
      </c>
      <c r="I1113" s="9" t="str">
        <f t="shared" si="70"/>
        <v>Above limit</v>
      </c>
      <c r="J1113" s="9" t="str">
        <f t="shared" si="71"/>
        <v>Standard</v>
      </c>
    </row>
    <row r="1114" spans="1:10" x14ac:dyDescent="0.3">
      <c r="A1114" s="10">
        <f>'2_Clean_Data'!A1111</f>
        <v>1110</v>
      </c>
      <c r="B1114" s="10">
        <f>INDEX('2_Clean_Data'!$M$2:$M$1360,MATCH($A1114,'2_Clean_Data'!$A$2:$A$1360,0))</f>
        <v>6</v>
      </c>
      <c r="C1114" s="9" t="str">
        <f t="shared" si="68"/>
        <v>Above Average</v>
      </c>
      <c r="D1114" s="11">
        <f>INDEX('2_Clean_Data'!$L$2:$L$1360,MATCH($A1114,'2_Clean_Data'!$A$2:$A$1360,0))</f>
        <v>11.2</v>
      </c>
      <c r="E1114" s="9" t="str">
        <f>IF(D1114&lt;'3_Summary_Tables'!$C$16,"Low",IF(D1114&lt;'3_Summary_Tables'!$C$17,"Medium","High"))</f>
        <v>Medium</v>
      </c>
      <c r="F1114" s="12">
        <f>INDEX('2_Clean_Data'!$C$2:$C$1360,MATCH($A1114,'2_Clean_Data'!$A$2:$A$1360,0))</f>
        <v>0.37</v>
      </c>
      <c r="G1114" s="10">
        <f>INDEX('2_Clean_Data'!$H$2:$H$1360,MATCH($A1114,'2_Clean_Data'!$A$2:$A$1360,0))</f>
        <v>15</v>
      </c>
      <c r="H1114" s="9" t="str">
        <f t="shared" si="69"/>
        <v>Low</v>
      </c>
      <c r="I1114" s="9" t="str">
        <f t="shared" si="70"/>
        <v>OK</v>
      </c>
      <c r="J1114" s="9" t="str">
        <f t="shared" si="71"/>
        <v>Solid</v>
      </c>
    </row>
    <row r="1115" spans="1:10" x14ac:dyDescent="0.3">
      <c r="A1115" s="10">
        <f>'2_Clean_Data'!A1112</f>
        <v>1111</v>
      </c>
      <c r="B1115" s="10">
        <f>INDEX('2_Clean_Data'!$M$2:$M$1360,MATCH($A1115,'2_Clean_Data'!$A$2:$A$1360,0))</f>
        <v>5</v>
      </c>
      <c r="C1115" s="9" t="str">
        <f t="shared" si="68"/>
        <v>Average</v>
      </c>
      <c r="D1115" s="11">
        <f>INDEX('2_Clean_Data'!$L$2:$L$1360,MATCH($A1115,'2_Clean_Data'!$A$2:$A$1360,0))</f>
        <v>11.2</v>
      </c>
      <c r="E1115" s="9" t="str">
        <f>IF(D1115&lt;'3_Summary_Tables'!$C$16,"Low",IF(D1115&lt;'3_Summary_Tables'!$C$17,"Medium","High"))</f>
        <v>Medium</v>
      </c>
      <c r="F1115" s="12">
        <f>INDEX('2_Clean_Data'!$C$2:$C$1360,MATCH($A1115,'2_Clean_Data'!$A$2:$A$1360,0))</f>
        <v>0.28000000000000003</v>
      </c>
      <c r="G1115" s="10">
        <f>INDEX('2_Clean_Data'!$H$2:$H$1360,MATCH($A1115,'2_Clean_Data'!$A$2:$A$1360,0))</f>
        <v>68</v>
      </c>
      <c r="H1115" s="9" t="str">
        <f t="shared" si="69"/>
        <v>Moderate</v>
      </c>
      <c r="I1115" s="9" t="str">
        <f t="shared" si="70"/>
        <v>OK</v>
      </c>
      <c r="J1115" s="9" t="str">
        <f t="shared" si="71"/>
        <v>Standard</v>
      </c>
    </row>
    <row r="1116" spans="1:10" x14ac:dyDescent="0.3">
      <c r="A1116" s="10">
        <f>'2_Clean_Data'!A1113</f>
        <v>1112</v>
      </c>
      <c r="B1116" s="10">
        <f>INDEX('2_Clean_Data'!$M$2:$M$1360,MATCH($A1116,'2_Clean_Data'!$A$2:$A$1360,0))</f>
        <v>5</v>
      </c>
      <c r="C1116" s="9" t="str">
        <f t="shared" si="68"/>
        <v>Average</v>
      </c>
      <c r="D1116" s="11">
        <f>INDEX('2_Clean_Data'!$L$2:$L$1360,MATCH($A1116,'2_Clean_Data'!$A$2:$A$1360,0))</f>
        <v>9.1999999999999993</v>
      </c>
      <c r="E1116" s="9" t="str">
        <f>IF(D1116&lt;'3_Summary_Tables'!$C$16,"Low",IF(D1116&lt;'3_Summary_Tables'!$C$17,"Medium","High"))</f>
        <v>Low</v>
      </c>
      <c r="F1116" s="12">
        <f>INDEX('2_Clean_Data'!$C$2:$C$1360,MATCH($A1116,'2_Clean_Data'!$A$2:$A$1360,0))</f>
        <v>0.79</v>
      </c>
      <c r="G1116" s="10">
        <f>INDEX('2_Clean_Data'!$H$2:$H$1360,MATCH($A1116,'2_Clean_Data'!$A$2:$A$1360,0))</f>
        <v>68</v>
      </c>
      <c r="H1116" s="9" t="str">
        <f t="shared" si="69"/>
        <v>Moderate</v>
      </c>
      <c r="I1116" s="9" t="str">
        <f t="shared" si="70"/>
        <v>Above limit</v>
      </c>
      <c r="J1116" s="9" t="str">
        <f t="shared" si="71"/>
        <v>Standard</v>
      </c>
    </row>
    <row r="1117" spans="1:10" x14ac:dyDescent="0.3">
      <c r="A1117" s="10">
        <f>'2_Clean_Data'!A1114</f>
        <v>1113</v>
      </c>
      <c r="B1117" s="10">
        <f>INDEX('2_Clean_Data'!$M$2:$M$1360,MATCH($A1117,'2_Clean_Data'!$A$2:$A$1360,0))</f>
        <v>5</v>
      </c>
      <c r="C1117" s="9" t="str">
        <f t="shared" si="68"/>
        <v>Average</v>
      </c>
      <c r="D1117" s="11">
        <f>INDEX('2_Clean_Data'!$L$2:$L$1360,MATCH($A1117,'2_Clean_Data'!$A$2:$A$1360,0))</f>
        <v>9.8000000000000007</v>
      </c>
      <c r="E1117" s="9" t="str">
        <f>IF(D1117&lt;'3_Summary_Tables'!$C$16,"Low",IF(D1117&lt;'3_Summary_Tables'!$C$17,"Medium","High"))</f>
        <v>Low</v>
      </c>
      <c r="F1117" s="12">
        <f>INDEX('2_Clean_Data'!$C$2:$C$1360,MATCH($A1117,'2_Clean_Data'!$A$2:$A$1360,0))</f>
        <v>0.61</v>
      </c>
      <c r="G1117" s="10">
        <f>INDEX('2_Clean_Data'!$H$2:$H$1360,MATCH($A1117,'2_Clean_Data'!$A$2:$A$1360,0))</f>
        <v>88</v>
      </c>
      <c r="H1117" s="9" t="str">
        <f t="shared" si="69"/>
        <v>Moderate</v>
      </c>
      <c r="I1117" s="9" t="str">
        <f t="shared" si="70"/>
        <v>OK</v>
      </c>
      <c r="J1117" s="9" t="str">
        <f t="shared" si="71"/>
        <v>Standard</v>
      </c>
    </row>
    <row r="1118" spans="1:10" x14ac:dyDescent="0.3">
      <c r="A1118" s="10">
        <f>'2_Clean_Data'!A1115</f>
        <v>1114</v>
      </c>
      <c r="B1118" s="10">
        <f>INDEX('2_Clean_Data'!$M$2:$M$1360,MATCH($A1118,'2_Clean_Data'!$A$2:$A$1360,0))</f>
        <v>5</v>
      </c>
      <c r="C1118" s="9" t="str">
        <f t="shared" si="68"/>
        <v>Average</v>
      </c>
      <c r="D1118" s="11">
        <f>INDEX('2_Clean_Data'!$L$2:$L$1360,MATCH($A1118,'2_Clean_Data'!$A$2:$A$1360,0))</f>
        <v>10.1</v>
      </c>
      <c r="E1118" s="9" t="str">
        <f>IF(D1118&lt;'3_Summary_Tables'!$C$16,"Low",IF(D1118&lt;'3_Summary_Tables'!$C$17,"Medium","High"))</f>
        <v>Medium</v>
      </c>
      <c r="F1118" s="12">
        <f>INDEX('2_Clean_Data'!$C$2:$C$1360,MATCH($A1118,'2_Clean_Data'!$A$2:$A$1360,0))</f>
        <v>0.69</v>
      </c>
      <c r="G1118" s="10">
        <f>INDEX('2_Clean_Data'!$H$2:$H$1360,MATCH($A1118,'2_Clean_Data'!$A$2:$A$1360,0))</f>
        <v>91</v>
      </c>
      <c r="H1118" s="9" t="str">
        <f t="shared" si="69"/>
        <v>Moderate</v>
      </c>
      <c r="I1118" s="9" t="str">
        <f t="shared" si="70"/>
        <v>OK</v>
      </c>
      <c r="J1118" s="9" t="str">
        <f t="shared" si="71"/>
        <v>Standard</v>
      </c>
    </row>
    <row r="1119" spans="1:10" x14ac:dyDescent="0.3">
      <c r="A1119" s="10">
        <f>'2_Clean_Data'!A1116</f>
        <v>1115</v>
      </c>
      <c r="B1119" s="10">
        <f>INDEX('2_Clean_Data'!$M$2:$M$1360,MATCH($A1119,'2_Clean_Data'!$A$2:$A$1360,0))</f>
        <v>4</v>
      </c>
      <c r="C1119" s="9" t="str">
        <f t="shared" si="68"/>
        <v>Poor</v>
      </c>
      <c r="D1119" s="11">
        <f>INDEX('2_Clean_Data'!$L$2:$L$1360,MATCH($A1119,'2_Clean_Data'!$A$2:$A$1360,0))</f>
        <v>11.1</v>
      </c>
      <c r="E1119" s="9" t="str">
        <f>IF(D1119&lt;'3_Summary_Tables'!$C$16,"Low",IF(D1119&lt;'3_Summary_Tables'!$C$17,"Medium","High"))</f>
        <v>Medium</v>
      </c>
      <c r="F1119" s="12">
        <f>INDEX('2_Clean_Data'!$C$2:$C$1360,MATCH($A1119,'2_Clean_Data'!$A$2:$A$1360,0))</f>
        <v>0.68</v>
      </c>
      <c r="G1119" s="10">
        <f>INDEX('2_Clean_Data'!$H$2:$H$1360,MATCH($A1119,'2_Clean_Data'!$A$2:$A$1360,0))</f>
        <v>29</v>
      </c>
      <c r="H1119" s="9" t="str">
        <f t="shared" si="69"/>
        <v>Low</v>
      </c>
      <c r="I1119" s="9" t="str">
        <f t="shared" si="70"/>
        <v>OK</v>
      </c>
      <c r="J1119" s="9" t="str">
        <f t="shared" si="71"/>
        <v>Poor</v>
      </c>
    </row>
    <row r="1120" spans="1:10" x14ac:dyDescent="0.3">
      <c r="A1120" s="10">
        <f>'2_Clean_Data'!A1117</f>
        <v>1116</v>
      </c>
      <c r="B1120" s="10">
        <f>INDEX('2_Clean_Data'!$M$2:$M$1360,MATCH($A1120,'2_Clean_Data'!$A$2:$A$1360,0))</f>
        <v>5</v>
      </c>
      <c r="C1120" s="9" t="str">
        <f t="shared" si="68"/>
        <v>Average</v>
      </c>
      <c r="D1120" s="11">
        <f>INDEX('2_Clean_Data'!$L$2:$L$1360,MATCH($A1120,'2_Clean_Data'!$A$2:$A$1360,0))</f>
        <v>9.1999999999999993</v>
      </c>
      <c r="E1120" s="9" t="str">
        <f>IF(D1120&lt;'3_Summary_Tables'!$C$16,"Low",IF(D1120&lt;'3_Summary_Tables'!$C$17,"Medium","High"))</f>
        <v>Low</v>
      </c>
      <c r="F1120" s="12">
        <f>INDEX('2_Clean_Data'!$C$2:$C$1360,MATCH($A1120,'2_Clean_Data'!$A$2:$A$1360,0))</f>
        <v>0.62</v>
      </c>
      <c r="G1120" s="10">
        <f>INDEX('2_Clean_Data'!$H$2:$H$1360,MATCH($A1120,'2_Clean_Data'!$A$2:$A$1360,0))</f>
        <v>63</v>
      </c>
      <c r="H1120" s="9" t="str">
        <f t="shared" si="69"/>
        <v>Moderate</v>
      </c>
      <c r="I1120" s="9" t="str">
        <f t="shared" si="70"/>
        <v>OK</v>
      </c>
      <c r="J1120" s="9" t="str">
        <f t="shared" si="71"/>
        <v>Standard</v>
      </c>
    </row>
    <row r="1121" spans="1:10" x14ac:dyDescent="0.3">
      <c r="A1121" s="10">
        <f>'2_Clean_Data'!A1118</f>
        <v>1117</v>
      </c>
      <c r="B1121" s="10">
        <f>INDEX('2_Clean_Data'!$M$2:$M$1360,MATCH($A1121,'2_Clean_Data'!$A$2:$A$1360,0))</f>
        <v>6</v>
      </c>
      <c r="C1121" s="9" t="str">
        <f t="shared" si="68"/>
        <v>Above Average</v>
      </c>
      <c r="D1121" s="11">
        <f>INDEX('2_Clean_Data'!$L$2:$L$1360,MATCH($A1121,'2_Clean_Data'!$A$2:$A$1360,0))</f>
        <v>12.8</v>
      </c>
      <c r="E1121" s="9" t="str">
        <f>IF(D1121&lt;'3_Summary_Tables'!$C$16,"Low",IF(D1121&lt;'3_Summary_Tables'!$C$17,"Medium","High"))</f>
        <v>High</v>
      </c>
      <c r="F1121" s="12">
        <f>INDEX('2_Clean_Data'!$C$2:$C$1360,MATCH($A1121,'2_Clean_Data'!$A$2:$A$1360,0))</f>
        <v>0.51</v>
      </c>
      <c r="G1121" s="10">
        <f>INDEX('2_Clean_Data'!$H$2:$H$1360,MATCH($A1121,'2_Clean_Data'!$A$2:$A$1360,0))</f>
        <v>27</v>
      </c>
      <c r="H1121" s="9" t="str">
        <f t="shared" si="69"/>
        <v>Low</v>
      </c>
      <c r="I1121" s="9" t="str">
        <f t="shared" si="70"/>
        <v>OK</v>
      </c>
      <c r="J1121" s="9" t="str">
        <f t="shared" si="71"/>
        <v>Solid</v>
      </c>
    </row>
    <row r="1122" spans="1:10" x14ac:dyDescent="0.3">
      <c r="A1122" s="10">
        <f>'2_Clean_Data'!A1119</f>
        <v>1118</v>
      </c>
      <c r="B1122" s="10">
        <f>INDEX('2_Clean_Data'!$M$2:$M$1360,MATCH($A1122,'2_Clean_Data'!$A$2:$A$1360,0))</f>
        <v>5</v>
      </c>
      <c r="C1122" s="9" t="str">
        <f t="shared" si="68"/>
        <v>Average</v>
      </c>
      <c r="D1122" s="11">
        <f>INDEX('2_Clean_Data'!$L$2:$L$1360,MATCH($A1122,'2_Clean_Data'!$A$2:$A$1360,0))</f>
        <v>10.5</v>
      </c>
      <c r="E1122" s="9" t="str">
        <f>IF(D1122&lt;'3_Summary_Tables'!$C$16,"Low",IF(D1122&lt;'3_Summary_Tables'!$C$17,"Medium","High"))</f>
        <v>Medium</v>
      </c>
      <c r="F1122" s="12">
        <f>INDEX('2_Clean_Data'!$C$2:$C$1360,MATCH($A1122,'2_Clean_Data'!$A$2:$A$1360,0))</f>
        <v>1.18</v>
      </c>
      <c r="G1122" s="10">
        <f>INDEX('2_Clean_Data'!$H$2:$H$1360,MATCH($A1122,'2_Clean_Data'!$A$2:$A$1360,0))</f>
        <v>41</v>
      </c>
      <c r="H1122" s="9" t="str">
        <f t="shared" si="69"/>
        <v>Low</v>
      </c>
      <c r="I1122" s="9" t="str">
        <f t="shared" si="70"/>
        <v>Above limit</v>
      </c>
      <c r="J1122" s="9" t="str">
        <f t="shared" si="71"/>
        <v>Standard</v>
      </c>
    </row>
    <row r="1123" spans="1:10" x14ac:dyDescent="0.3">
      <c r="A1123" s="10">
        <f>'2_Clean_Data'!A1120</f>
        <v>1119</v>
      </c>
      <c r="B1123" s="10">
        <f>INDEX('2_Clean_Data'!$M$2:$M$1360,MATCH($A1123,'2_Clean_Data'!$A$2:$A$1360,0))</f>
        <v>6</v>
      </c>
      <c r="C1123" s="9" t="str">
        <f t="shared" si="68"/>
        <v>Above Average</v>
      </c>
      <c r="D1123" s="11">
        <f>INDEX('2_Clean_Data'!$L$2:$L$1360,MATCH($A1123,'2_Clean_Data'!$A$2:$A$1360,0))</f>
        <v>10.1</v>
      </c>
      <c r="E1123" s="9" t="str">
        <f>IF(D1123&lt;'3_Summary_Tables'!$C$16,"Low",IF(D1123&lt;'3_Summary_Tables'!$C$17,"Medium","High"))</f>
        <v>Medium</v>
      </c>
      <c r="F1123" s="12">
        <f>INDEX('2_Clean_Data'!$C$2:$C$1360,MATCH($A1123,'2_Clean_Data'!$A$2:$A$1360,0))</f>
        <v>0.36</v>
      </c>
      <c r="G1123" s="10">
        <f>INDEX('2_Clean_Data'!$H$2:$H$1360,MATCH($A1123,'2_Clean_Data'!$A$2:$A$1360,0))</f>
        <v>65</v>
      </c>
      <c r="H1123" s="9" t="str">
        <f t="shared" si="69"/>
        <v>Moderate</v>
      </c>
      <c r="I1123" s="9" t="str">
        <f t="shared" si="70"/>
        <v>OK</v>
      </c>
      <c r="J1123" s="9" t="str">
        <f t="shared" si="71"/>
        <v>Solid</v>
      </c>
    </row>
    <row r="1124" spans="1:10" x14ac:dyDescent="0.3">
      <c r="A1124" s="10">
        <f>'2_Clean_Data'!A1121</f>
        <v>1120</v>
      </c>
      <c r="B1124" s="10">
        <f>INDEX('2_Clean_Data'!$M$2:$M$1360,MATCH($A1124,'2_Clean_Data'!$A$2:$A$1360,0))</f>
        <v>6</v>
      </c>
      <c r="C1124" s="9" t="str">
        <f t="shared" si="68"/>
        <v>Above Average</v>
      </c>
      <c r="D1124" s="11">
        <f>INDEX('2_Clean_Data'!$L$2:$L$1360,MATCH($A1124,'2_Clean_Data'!$A$2:$A$1360,0))</f>
        <v>10.1</v>
      </c>
      <c r="E1124" s="9" t="str">
        <f>IF(D1124&lt;'3_Summary_Tables'!$C$16,"Low",IF(D1124&lt;'3_Summary_Tables'!$C$17,"Medium","High"))</f>
        <v>Medium</v>
      </c>
      <c r="F1124" s="12">
        <f>INDEX('2_Clean_Data'!$C$2:$C$1360,MATCH($A1124,'2_Clean_Data'!$A$2:$A$1360,0))</f>
        <v>0.36</v>
      </c>
      <c r="G1124" s="10">
        <f>INDEX('2_Clean_Data'!$H$2:$H$1360,MATCH($A1124,'2_Clean_Data'!$A$2:$A$1360,0))</f>
        <v>69</v>
      </c>
      <c r="H1124" s="9" t="str">
        <f t="shared" si="69"/>
        <v>Moderate</v>
      </c>
      <c r="I1124" s="9" t="str">
        <f t="shared" si="70"/>
        <v>OK</v>
      </c>
      <c r="J1124" s="9" t="str">
        <f t="shared" si="71"/>
        <v>Solid</v>
      </c>
    </row>
    <row r="1125" spans="1:10" x14ac:dyDescent="0.3">
      <c r="A1125" s="10">
        <f>'2_Clean_Data'!A1122</f>
        <v>1121</v>
      </c>
      <c r="B1125" s="10">
        <f>INDEX('2_Clean_Data'!$M$2:$M$1360,MATCH($A1125,'2_Clean_Data'!$A$2:$A$1360,0))</f>
        <v>6</v>
      </c>
      <c r="C1125" s="9" t="str">
        <f t="shared" si="68"/>
        <v>Above Average</v>
      </c>
      <c r="D1125" s="11">
        <f>INDEX('2_Clean_Data'!$L$2:$L$1360,MATCH($A1125,'2_Clean_Data'!$A$2:$A$1360,0))</f>
        <v>9.8000000000000007</v>
      </c>
      <c r="E1125" s="9" t="str">
        <f>IF(D1125&lt;'3_Summary_Tables'!$C$16,"Low",IF(D1125&lt;'3_Summary_Tables'!$C$17,"Medium","High"))</f>
        <v>Low</v>
      </c>
      <c r="F1125" s="12">
        <f>INDEX('2_Clean_Data'!$C$2:$C$1360,MATCH($A1125,'2_Clean_Data'!$A$2:$A$1360,0))</f>
        <v>0.63</v>
      </c>
      <c r="G1125" s="10">
        <f>INDEX('2_Clean_Data'!$H$2:$H$1360,MATCH($A1125,'2_Clean_Data'!$A$2:$A$1360,0))</f>
        <v>91</v>
      </c>
      <c r="H1125" s="9" t="str">
        <f t="shared" si="69"/>
        <v>Moderate</v>
      </c>
      <c r="I1125" s="9" t="str">
        <f t="shared" si="70"/>
        <v>OK</v>
      </c>
      <c r="J1125" s="9" t="str">
        <f t="shared" si="71"/>
        <v>Solid</v>
      </c>
    </row>
    <row r="1126" spans="1:10" x14ac:dyDescent="0.3">
      <c r="A1126" s="10">
        <f>'2_Clean_Data'!A1123</f>
        <v>1122</v>
      </c>
      <c r="B1126" s="10">
        <f>INDEX('2_Clean_Data'!$M$2:$M$1360,MATCH($A1126,'2_Clean_Data'!$A$2:$A$1360,0))</f>
        <v>6</v>
      </c>
      <c r="C1126" s="9" t="str">
        <f t="shared" si="68"/>
        <v>Above Average</v>
      </c>
      <c r="D1126" s="11">
        <f>INDEX('2_Clean_Data'!$L$2:$L$1360,MATCH($A1126,'2_Clean_Data'!$A$2:$A$1360,0))</f>
        <v>12.5</v>
      </c>
      <c r="E1126" s="9" t="str">
        <f>IF(D1126&lt;'3_Summary_Tables'!$C$16,"Low",IF(D1126&lt;'3_Summary_Tables'!$C$17,"Medium","High"))</f>
        <v>High</v>
      </c>
      <c r="F1126" s="12">
        <f>INDEX('2_Clean_Data'!$C$2:$C$1360,MATCH($A1126,'2_Clean_Data'!$A$2:$A$1360,0))</f>
        <v>0.74</v>
      </c>
      <c r="G1126" s="10">
        <f>INDEX('2_Clean_Data'!$H$2:$H$1360,MATCH($A1126,'2_Clean_Data'!$A$2:$A$1360,0))</f>
        <v>46</v>
      </c>
      <c r="H1126" s="9" t="str">
        <f t="shared" si="69"/>
        <v>Low</v>
      </c>
      <c r="I1126" s="9" t="str">
        <f t="shared" si="70"/>
        <v>Above limit</v>
      </c>
      <c r="J1126" s="9" t="str">
        <f t="shared" si="71"/>
        <v>Standard</v>
      </c>
    </row>
    <row r="1127" spans="1:10" x14ac:dyDescent="0.3">
      <c r="A1127" s="10">
        <f>'2_Clean_Data'!A1124</f>
        <v>1123</v>
      </c>
      <c r="B1127" s="10">
        <f>INDEX('2_Clean_Data'!$M$2:$M$1360,MATCH($A1127,'2_Clean_Data'!$A$2:$A$1360,0))</f>
        <v>6</v>
      </c>
      <c r="C1127" s="9" t="str">
        <f t="shared" si="68"/>
        <v>Above Average</v>
      </c>
      <c r="D1127" s="11">
        <f>INDEX('2_Clean_Data'!$L$2:$L$1360,MATCH($A1127,'2_Clean_Data'!$A$2:$A$1360,0))</f>
        <v>11.9</v>
      </c>
      <c r="E1127" s="9" t="str">
        <f>IF(D1127&lt;'3_Summary_Tables'!$C$16,"Low",IF(D1127&lt;'3_Summary_Tables'!$C$17,"Medium","High"))</f>
        <v>High</v>
      </c>
      <c r="F1127" s="12">
        <f>INDEX('2_Clean_Data'!$C$2:$C$1360,MATCH($A1127,'2_Clean_Data'!$A$2:$A$1360,0))</f>
        <v>0.44</v>
      </c>
      <c r="G1127" s="10">
        <f>INDEX('2_Clean_Data'!$H$2:$H$1360,MATCH($A1127,'2_Clean_Data'!$A$2:$A$1360,0))</f>
        <v>41</v>
      </c>
      <c r="H1127" s="9" t="str">
        <f t="shared" si="69"/>
        <v>Low</v>
      </c>
      <c r="I1127" s="9" t="str">
        <f t="shared" si="70"/>
        <v>OK</v>
      </c>
      <c r="J1127" s="9" t="str">
        <f t="shared" si="71"/>
        <v>Solid</v>
      </c>
    </row>
    <row r="1128" spans="1:10" x14ac:dyDescent="0.3">
      <c r="A1128" s="10">
        <f>'2_Clean_Data'!A1125</f>
        <v>1124</v>
      </c>
      <c r="B1128" s="10">
        <f>INDEX('2_Clean_Data'!$M$2:$M$1360,MATCH($A1128,'2_Clean_Data'!$A$2:$A$1360,0))</f>
        <v>6</v>
      </c>
      <c r="C1128" s="9" t="str">
        <f t="shared" si="68"/>
        <v>Above Average</v>
      </c>
      <c r="D1128" s="11">
        <f>INDEX('2_Clean_Data'!$L$2:$L$1360,MATCH($A1128,'2_Clean_Data'!$A$2:$A$1360,0))</f>
        <v>9.1</v>
      </c>
      <c r="E1128" s="9" t="str">
        <f>IF(D1128&lt;'3_Summary_Tables'!$C$16,"Low",IF(D1128&lt;'3_Summary_Tables'!$C$17,"Medium","High"))</f>
        <v>Low</v>
      </c>
      <c r="F1128" s="12">
        <f>INDEX('2_Clean_Data'!$C$2:$C$1360,MATCH($A1128,'2_Clean_Data'!$A$2:$A$1360,0))</f>
        <v>0.76</v>
      </c>
      <c r="G1128" s="10">
        <f>INDEX('2_Clean_Data'!$H$2:$H$1360,MATCH($A1128,'2_Clean_Data'!$A$2:$A$1360,0))</f>
        <v>64</v>
      </c>
      <c r="H1128" s="9" t="str">
        <f t="shared" si="69"/>
        <v>Moderate</v>
      </c>
      <c r="I1128" s="9" t="str">
        <f t="shared" si="70"/>
        <v>Above limit</v>
      </c>
      <c r="J1128" s="9" t="str">
        <f t="shared" si="71"/>
        <v>Standard</v>
      </c>
    </row>
    <row r="1129" spans="1:10" x14ac:dyDescent="0.3">
      <c r="A1129" s="10">
        <f>'2_Clean_Data'!A1126</f>
        <v>1125</v>
      </c>
      <c r="B1129" s="10">
        <f>INDEX('2_Clean_Data'!$M$2:$M$1360,MATCH($A1129,'2_Clean_Data'!$A$2:$A$1360,0))</f>
        <v>5</v>
      </c>
      <c r="C1129" s="9" t="str">
        <f t="shared" si="68"/>
        <v>Average</v>
      </c>
      <c r="D1129" s="11">
        <f>INDEX('2_Clean_Data'!$L$2:$L$1360,MATCH($A1129,'2_Clean_Data'!$A$2:$A$1360,0))</f>
        <v>10.1</v>
      </c>
      <c r="E1129" s="9" t="str">
        <f>IF(D1129&lt;'3_Summary_Tables'!$C$16,"Low",IF(D1129&lt;'3_Summary_Tables'!$C$17,"Medium","High"))</f>
        <v>Medium</v>
      </c>
      <c r="F1129" s="12">
        <f>INDEX('2_Clean_Data'!$C$2:$C$1360,MATCH($A1129,'2_Clean_Data'!$A$2:$A$1360,0))</f>
        <v>0.66</v>
      </c>
      <c r="G1129" s="10">
        <f>INDEX('2_Clean_Data'!$H$2:$H$1360,MATCH($A1129,'2_Clean_Data'!$A$2:$A$1360,0))</f>
        <v>88</v>
      </c>
      <c r="H1129" s="9" t="str">
        <f t="shared" si="69"/>
        <v>Moderate</v>
      </c>
      <c r="I1129" s="9" t="str">
        <f t="shared" si="70"/>
        <v>OK</v>
      </c>
      <c r="J1129" s="9" t="str">
        <f t="shared" si="71"/>
        <v>Standard</v>
      </c>
    </row>
    <row r="1130" spans="1:10" x14ac:dyDescent="0.3">
      <c r="A1130" s="10">
        <f>'2_Clean_Data'!A1127</f>
        <v>1126</v>
      </c>
      <c r="B1130" s="10">
        <f>INDEX('2_Clean_Data'!$M$2:$M$1360,MATCH($A1130,'2_Clean_Data'!$A$2:$A$1360,0))</f>
        <v>6</v>
      </c>
      <c r="C1130" s="9" t="str">
        <f t="shared" si="68"/>
        <v>Above Average</v>
      </c>
      <c r="D1130" s="11">
        <f>INDEX('2_Clean_Data'!$L$2:$L$1360,MATCH($A1130,'2_Clean_Data'!$A$2:$A$1360,0))</f>
        <v>12.5</v>
      </c>
      <c r="E1130" s="9" t="str">
        <f>IF(D1130&lt;'3_Summary_Tables'!$C$16,"Low",IF(D1130&lt;'3_Summary_Tables'!$C$17,"Medium","High"))</f>
        <v>High</v>
      </c>
      <c r="F1130" s="12">
        <f>INDEX('2_Clean_Data'!$C$2:$C$1360,MATCH($A1130,'2_Clean_Data'!$A$2:$A$1360,0))</f>
        <v>0.74</v>
      </c>
      <c r="G1130" s="10">
        <f>INDEX('2_Clean_Data'!$H$2:$H$1360,MATCH($A1130,'2_Clean_Data'!$A$2:$A$1360,0))</f>
        <v>46</v>
      </c>
      <c r="H1130" s="9" t="str">
        <f t="shared" si="69"/>
        <v>Low</v>
      </c>
      <c r="I1130" s="9" t="str">
        <f t="shared" si="70"/>
        <v>Above limit</v>
      </c>
      <c r="J1130" s="9" t="str">
        <f t="shared" si="71"/>
        <v>Standard</v>
      </c>
    </row>
    <row r="1131" spans="1:10" x14ac:dyDescent="0.3">
      <c r="A1131" s="10">
        <f>'2_Clean_Data'!A1128</f>
        <v>1127</v>
      </c>
      <c r="B1131" s="10">
        <f>INDEX('2_Clean_Data'!$M$2:$M$1360,MATCH($A1131,'2_Clean_Data'!$A$2:$A$1360,0))</f>
        <v>5</v>
      </c>
      <c r="C1131" s="9" t="str">
        <f t="shared" si="68"/>
        <v>Average</v>
      </c>
      <c r="D1131" s="11">
        <f>INDEX('2_Clean_Data'!$L$2:$L$1360,MATCH($A1131,'2_Clean_Data'!$A$2:$A$1360,0))</f>
        <v>11.4</v>
      </c>
      <c r="E1131" s="9" t="str">
        <f>IF(D1131&lt;'3_Summary_Tables'!$C$16,"Low",IF(D1131&lt;'3_Summary_Tables'!$C$17,"Medium","High"))</f>
        <v>Medium</v>
      </c>
      <c r="F1131" s="12">
        <f>INDEX('2_Clean_Data'!$C$2:$C$1360,MATCH($A1131,'2_Clean_Data'!$A$2:$A$1360,0))</f>
        <v>0.34</v>
      </c>
      <c r="G1131" s="10">
        <f>INDEX('2_Clean_Data'!$H$2:$H$1360,MATCH($A1131,'2_Clean_Data'!$A$2:$A$1360,0))</f>
        <v>18</v>
      </c>
      <c r="H1131" s="9" t="str">
        <f t="shared" si="69"/>
        <v>Low</v>
      </c>
      <c r="I1131" s="9" t="str">
        <f t="shared" si="70"/>
        <v>OK</v>
      </c>
      <c r="J1131" s="9" t="str">
        <f t="shared" si="71"/>
        <v>Standard</v>
      </c>
    </row>
    <row r="1132" spans="1:10" x14ac:dyDescent="0.3">
      <c r="A1132" s="10">
        <f>'2_Clean_Data'!A1129</f>
        <v>1128</v>
      </c>
      <c r="B1132" s="10">
        <f>INDEX('2_Clean_Data'!$M$2:$M$1360,MATCH($A1132,'2_Clean_Data'!$A$2:$A$1360,0))</f>
        <v>7</v>
      </c>
      <c r="C1132" s="9" t="str">
        <f t="shared" si="68"/>
        <v>Good</v>
      </c>
      <c r="D1132" s="11">
        <f>INDEX('2_Clean_Data'!$L$2:$L$1360,MATCH($A1132,'2_Clean_Data'!$A$2:$A$1360,0))</f>
        <v>11</v>
      </c>
      <c r="E1132" s="9" t="str">
        <f>IF(D1132&lt;'3_Summary_Tables'!$C$16,"Low",IF(D1132&lt;'3_Summary_Tables'!$C$17,"Medium","High"))</f>
        <v>Medium</v>
      </c>
      <c r="F1132" s="12">
        <f>INDEX('2_Clean_Data'!$C$2:$C$1360,MATCH($A1132,'2_Clean_Data'!$A$2:$A$1360,0))</f>
        <v>0.36</v>
      </c>
      <c r="G1132" s="10">
        <f>INDEX('2_Clean_Data'!$H$2:$H$1360,MATCH($A1132,'2_Clean_Data'!$A$2:$A$1360,0))</f>
        <v>55</v>
      </c>
      <c r="H1132" s="9" t="str">
        <f t="shared" si="69"/>
        <v>Moderate</v>
      </c>
      <c r="I1132" s="9" t="str">
        <f t="shared" si="70"/>
        <v>OK</v>
      </c>
      <c r="J1132" s="9" t="str">
        <f t="shared" si="71"/>
        <v>Solid</v>
      </c>
    </row>
    <row r="1133" spans="1:10" x14ac:dyDescent="0.3">
      <c r="A1133" s="10">
        <f>'2_Clean_Data'!A1130</f>
        <v>1129</v>
      </c>
      <c r="B1133" s="10">
        <f>INDEX('2_Clean_Data'!$M$2:$M$1360,MATCH($A1133,'2_Clean_Data'!$A$2:$A$1360,0))</f>
        <v>6</v>
      </c>
      <c r="C1133" s="9" t="str">
        <f t="shared" si="68"/>
        <v>Above Average</v>
      </c>
      <c r="D1133" s="11">
        <f>INDEX('2_Clean_Data'!$L$2:$L$1360,MATCH($A1133,'2_Clean_Data'!$A$2:$A$1360,0))</f>
        <v>10.6</v>
      </c>
      <c r="E1133" s="9" t="str">
        <f>IF(D1133&lt;'3_Summary_Tables'!$C$16,"Low",IF(D1133&lt;'3_Summary_Tables'!$C$17,"Medium","High"))</f>
        <v>Medium</v>
      </c>
      <c r="F1133" s="12">
        <f>INDEX('2_Clean_Data'!$C$2:$C$1360,MATCH($A1133,'2_Clean_Data'!$A$2:$A$1360,0))</f>
        <v>0.46</v>
      </c>
      <c r="G1133" s="10">
        <f>INDEX('2_Clean_Data'!$H$2:$H$1360,MATCH($A1133,'2_Clean_Data'!$A$2:$A$1360,0))</f>
        <v>34</v>
      </c>
      <c r="H1133" s="9" t="str">
        <f t="shared" si="69"/>
        <v>Low</v>
      </c>
      <c r="I1133" s="9" t="str">
        <f t="shared" si="70"/>
        <v>OK</v>
      </c>
      <c r="J1133" s="9" t="str">
        <f t="shared" si="71"/>
        <v>Solid</v>
      </c>
    </row>
    <row r="1134" spans="1:10" x14ac:dyDescent="0.3">
      <c r="A1134" s="10">
        <f>'2_Clean_Data'!A1131</f>
        <v>1130</v>
      </c>
      <c r="B1134" s="10">
        <f>INDEX('2_Clean_Data'!$M$2:$M$1360,MATCH($A1134,'2_Clean_Data'!$A$2:$A$1360,0))</f>
        <v>5</v>
      </c>
      <c r="C1134" s="9" t="str">
        <f t="shared" si="68"/>
        <v>Average</v>
      </c>
      <c r="D1134" s="11">
        <f>INDEX('2_Clean_Data'!$L$2:$L$1360,MATCH($A1134,'2_Clean_Data'!$A$2:$A$1360,0))</f>
        <v>9.3000000000000007</v>
      </c>
      <c r="E1134" s="9" t="str">
        <f>IF(D1134&lt;'3_Summary_Tables'!$C$16,"Low",IF(D1134&lt;'3_Summary_Tables'!$C$17,"Medium","High"))</f>
        <v>Low</v>
      </c>
      <c r="F1134" s="12">
        <f>INDEX('2_Clean_Data'!$C$2:$C$1360,MATCH($A1134,'2_Clean_Data'!$A$2:$A$1360,0))</f>
        <v>0.52</v>
      </c>
      <c r="G1134" s="10">
        <f>INDEX('2_Clean_Data'!$H$2:$H$1360,MATCH($A1134,'2_Clean_Data'!$A$2:$A$1360,0))</f>
        <v>38</v>
      </c>
      <c r="H1134" s="9" t="str">
        <f t="shared" si="69"/>
        <v>Low</v>
      </c>
      <c r="I1134" s="9" t="str">
        <f t="shared" si="70"/>
        <v>OK</v>
      </c>
      <c r="J1134" s="9" t="str">
        <f t="shared" si="71"/>
        <v>Standard</v>
      </c>
    </row>
    <row r="1135" spans="1:10" x14ac:dyDescent="0.3">
      <c r="A1135" s="10">
        <f>'2_Clean_Data'!A1132</f>
        <v>1131</v>
      </c>
      <c r="B1135" s="10">
        <f>INDEX('2_Clean_Data'!$M$2:$M$1360,MATCH($A1135,'2_Clean_Data'!$A$2:$A$1360,0))</f>
        <v>6</v>
      </c>
      <c r="C1135" s="9" t="str">
        <f t="shared" si="68"/>
        <v>Above Average</v>
      </c>
      <c r="D1135" s="11">
        <f>INDEX('2_Clean_Data'!$L$2:$L$1360,MATCH($A1135,'2_Clean_Data'!$A$2:$A$1360,0))</f>
        <v>9.8000000000000007</v>
      </c>
      <c r="E1135" s="9" t="str">
        <f>IF(D1135&lt;'3_Summary_Tables'!$C$16,"Low",IF(D1135&lt;'3_Summary_Tables'!$C$17,"Medium","High"))</f>
        <v>Low</v>
      </c>
      <c r="F1135" s="12">
        <f>INDEX('2_Clean_Data'!$C$2:$C$1360,MATCH($A1135,'2_Clean_Data'!$A$2:$A$1360,0))</f>
        <v>0.6</v>
      </c>
      <c r="G1135" s="10">
        <f>INDEX('2_Clean_Data'!$H$2:$H$1360,MATCH($A1135,'2_Clean_Data'!$A$2:$A$1360,0))</f>
        <v>91</v>
      </c>
      <c r="H1135" s="9" t="str">
        <f t="shared" si="69"/>
        <v>Moderate</v>
      </c>
      <c r="I1135" s="9" t="str">
        <f t="shared" si="70"/>
        <v>OK</v>
      </c>
      <c r="J1135" s="9" t="str">
        <f t="shared" si="71"/>
        <v>Solid</v>
      </c>
    </row>
    <row r="1136" spans="1:10" x14ac:dyDescent="0.3">
      <c r="A1136" s="10">
        <f>'2_Clean_Data'!A1133</f>
        <v>1132</v>
      </c>
      <c r="B1136" s="10">
        <f>INDEX('2_Clean_Data'!$M$2:$M$1360,MATCH($A1136,'2_Clean_Data'!$A$2:$A$1360,0))</f>
        <v>5</v>
      </c>
      <c r="C1136" s="9" t="str">
        <f t="shared" si="68"/>
        <v>Average</v>
      </c>
      <c r="D1136" s="11">
        <f>INDEX('2_Clean_Data'!$L$2:$L$1360,MATCH($A1136,'2_Clean_Data'!$A$2:$A$1360,0))</f>
        <v>9.1999999999999993</v>
      </c>
      <c r="E1136" s="9" t="str">
        <f>IF(D1136&lt;'3_Summary_Tables'!$C$16,"Low",IF(D1136&lt;'3_Summary_Tables'!$C$17,"Medium","High"))</f>
        <v>Low</v>
      </c>
      <c r="F1136" s="12">
        <f>INDEX('2_Clean_Data'!$C$2:$C$1360,MATCH($A1136,'2_Clean_Data'!$A$2:$A$1360,0))</f>
        <v>0.87</v>
      </c>
      <c r="G1136" s="10">
        <f>INDEX('2_Clean_Data'!$H$2:$H$1360,MATCH($A1136,'2_Clean_Data'!$A$2:$A$1360,0))</f>
        <v>67</v>
      </c>
      <c r="H1136" s="9" t="str">
        <f t="shared" si="69"/>
        <v>Moderate</v>
      </c>
      <c r="I1136" s="9" t="str">
        <f t="shared" si="70"/>
        <v>Above limit</v>
      </c>
      <c r="J1136" s="9" t="str">
        <f t="shared" si="71"/>
        <v>Standard</v>
      </c>
    </row>
    <row r="1137" spans="1:10" x14ac:dyDescent="0.3">
      <c r="A1137" s="10">
        <f>'2_Clean_Data'!A1134</f>
        <v>1133</v>
      </c>
      <c r="B1137" s="10">
        <f>INDEX('2_Clean_Data'!$M$2:$M$1360,MATCH($A1137,'2_Clean_Data'!$A$2:$A$1360,0))</f>
        <v>6</v>
      </c>
      <c r="C1137" s="9" t="str">
        <f t="shared" si="68"/>
        <v>Above Average</v>
      </c>
      <c r="D1137" s="11">
        <f>INDEX('2_Clean_Data'!$L$2:$L$1360,MATCH($A1137,'2_Clean_Data'!$A$2:$A$1360,0))</f>
        <v>9.6999999999999993</v>
      </c>
      <c r="E1137" s="9" t="str">
        <f>IF(D1137&lt;'3_Summary_Tables'!$C$16,"Low",IF(D1137&lt;'3_Summary_Tables'!$C$17,"Medium","High"))</f>
        <v>Low</v>
      </c>
      <c r="F1137" s="12">
        <f>INDEX('2_Clean_Data'!$C$2:$C$1360,MATCH($A1137,'2_Clean_Data'!$A$2:$A$1360,0))</f>
        <v>0.39</v>
      </c>
      <c r="G1137" s="10">
        <f>INDEX('2_Clean_Data'!$H$2:$H$1360,MATCH($A1137,'2_Clean_Data'!$A$2:$A$1360,0))</f>
        <v>25</v>
      </c>
      <c r="H1137" s="9" t="str">
        <f t="shared" si="69"/>
        <v>Low</v>
      </c>
      <c r="I1137" s="9" t="str">
        <f t="shared" si="70"/>
        <v>OK</v>
      </c>
      <c r="J1137" s="9" t="str">
        <f t="shared" si="71"/>
        <v>Solid</v>
      </c>
    </row>
    <row r="1138" spans="1:10" x14ac:dyDescent="0.3">
      <c r="A1138" s="10">
        <f>'2_Clean_Data'!A1135</f>
        <v>1134</v>
      </c>
      <c r="B1138" s="10">
        <f>INDEX('2_Clean_Data'!$M$2:$M$1360,MATCH($A1138,'2_Clean_Data'!$A$2:$A$1360,0))</f>
        <v>5</v>
      </c>
      <c r="C1138" s="9" t="str">
        <f t="shared" si="68"/>
        <v>Average</v>
      </c>
      <c r="D1138" s="11">
        <f>INDEX('2_Clean_Data'!$L$2:$L$1360,MATCH($A1138,'2_Clean_Data'!$A$2:$A$1360,0))</f>
        <v>9.6</v>
      </c>
      <c r="E1138" s="9" t="str">
        <f>IF(D1138&lt;'3_Summary_Tables'!$C$16,"Low",IF(D1138&lt;'3_Summary_Tables'!$C$17,"Medium","High"))</f>
        <v>Low</v>
      </c>
      <c r="F1138" s="12">
        <f>INDEX('2_Clean_Data'!$C$2:$C$1360,MATCH($A1138,'2_Clean_Data'!$A$2:$A$1360,0))</f>
        <v>0.77500000000000002</v>
      </c>
      <c r="G1138" s="10">
        <f>INDEX('2_Clean_Data'!$H$2:$H$1360,MATCH($A1138,'2_Clean_Data'!$A$2:$A$1360,0))</f>
        <v>48</v>
      </c>
      <c r="H1138" s="9" t="str">
        <f t="shared" si="69"/>
        <v>Low</v>
      </c>
      <c r="I1138" s="9" t="str">
        <f t="shared" si="70"/>
        <v>Above limit</v>
      </c>
      <c r="J1138" s="9" t="str">
        <f t="shared" si="71"/>
        <v>Standard</v>
      </c>
    </row>
    <row r="1139" spans="1:10" x14ac:dyDescent="0.3">
      <c r="A1139" s="10">
        <f>'2_Clean_Data'!A1136</f>
        <v>1135</v>
      </c>
      <c r="B1139" s="10">
        <f>INDEX('2_Clean_Data'!$M$2:$M$1360,MATCH($A1139,'2_Clean_Data'!$A$2:$A$1360,0))</f>
        <v>5</v>
      </c>
      <c r="C1139" s="9" t="str">
        <f t="shared" si="68"/>
        <v>Average</v>
      </c>
      <c r="D1139" s="11">
        <f>INDEX('2_Clean_Data'!$L$2:$L$1360,MATCH($A1139,'2_Clean_Data'!$A$2:$A$1360,0))</f>
        <v>10</v>
      </c>
      <c r="E1139" s="9" t="str">
        <f>IF(D1139&lt;'3_Summary_Tables'!$C$16,"Low",IF(D1139&lt;'3_Summary_Tables'!$C$17,"Medium","High"))</f>
        <v>Medium</v>
      </c>
      <c r="F1139" s="12">
        <f>INDEX('2_Clean_Data'!$C$2:$C$1360,MATCH($A1139,'2_Clean_Data'!$A$2:$A$1360,0))</f>
        <v>0.83499999999999996</v>
      </c>
      <c r="G1139" s="10">
        <f>INDEX('2_Clean_Data'!$H$2:$H$1360,MATCH($A1139,'2_Clean_Data'!$A$2:$A$1360,0))</f>
        <v>11</v>
      </c>
      <c r="H1139" s="9" t="str">
        <f t="shared" si="69"/>
        <v>Low</v>
      </c>
      <c r="I1139" s="9" t="str">
        <f t="shared" si="70"/>
        <v>Above limit</v>
      </c>
      <c r="J1139" s="9" t="str">
        <f t="shared" si="71"/>
        <v>Standard</v>
      </c>
    </row>
    <row r="1140" spans="1:10" x14ac:dyDescent="0.3">
      <c r="A1140" s="10">
        <f>'2_Clean_Data'!A1137</f>
        <v>1136</v>
      </c>
      <c r="B1140" s="10">
        <f>INDEX('2_Clean_Data'!$M$2:$M$1360,MATCH($A1140,'2_Clean_Data'!$A$2:$A$1360,0))</f>
        <v>6</v>
      </c>
      <c r="C1140" s="9" t="str">
        <f t="shared" si="68"/>
        <v>Above Average</v>
      </c>
      <c r="D1140" s="11">
        <f>INDEX('2_Clean_Data'!$L$2:$L$1360,MATCH($A1140,'2_Clean_Data'!$A$2:$A$1360,0))</f>
        <v>12.6</v>
      </c>
      <c r="E1140" s="9" t="str">
        <f>IF(D1140&lt;'3_Summary_Tables'!$C$16,"Low",IF(D1140&lt;'3_Summary_Tables'!$C$17,"Medium","High"))</f>
        <v>High</v>
      </c>
      <c r="F1140" s="12">
        <f>INDEX('2_Clean_Data'!$C$2:$C$1360,MATCH($A1140,'2_Clean_Data'!$A$2:$A$1360,0))</f>
        <v>0.57999999999999996</v>
      </c>
      <c r="G1140" s="10">
        <f>INDEX('2_Clean_Data'!$H$2:$H$1360,MATCH($A1140,'2_Clean_Data'!$A$2:$A$1360,0))</f>
        <v>40</v>
      </c>
      <c r="H1140" s="9" t="str">
        <f t="shared" si="69"/>
        <v>Low</v>
      </c>
      <c r="I1140" s="9" t="str">
        <f t="shared" si="70"/>
        <v>OK</v>
      </c>
      <c r="J1140" s="9" t="str">
        <f t="shared" si="71"/>
        <v>Solid</v>
      </c>
    </row>
    <row r="1141" spans="1:10" x14ac:dyDescent="0.3">
      <c r="A1141" s="10">
        <f>'2_Clean_Data'!A1138</f>
        <v>1137</v>
      </c>
      <c r="B1141" s="10">
        <f>INDEX('2_Clean_Data'!$M$2:$M$1360,MATCH($A1141,'2_Clean_Data'!$A$2:$A$1360,0))</f>
        <v>5</v>
      </c>
      <c r="C1141" s="9" t="str">
        <f t="shared" si="68"/>
        <v>Average</v>
      </c>
      <c r="D1141" s="11">
        <f>INDEX('2_Clean_Data'!$L$2:$L$1360,MATCH($A1141,'2_Clean_Data'!$A$2:$A$1360,0))</f>
        <v>9.5</v>
      </c>
      <c r="E1141" s="9" t="str">
        <f>IF(D1141&lt;'3_Summary_Tables'!$C$16,"Low",IF(D1141&lt;'3_Summary_Tables'!$C$17,"Medium","High"))</f>
        <v>Low</v>
      </c>
      <c r="F1141" s="12">
        <f>INDEX('2_Clean_Data'!$C$2:$C$1360,MATCH($A1141,'2_Clean_Data'!$A$2:$A$1360,0))</f>
        <v>0.5</v>
      </c>
      <c r="G1141" s="10">
        <f>INDEX('2_Clean_Data'!$H$2:$H$1360,MATCH($A1141,'2_Clean_Data'!$A$2:$A$1360,0))</f>
        <v>26</v>
      </c>
      <c r="H1141" s="9" t="str">
        <f t="shared" si="69"/>
        <v>Low</v>
      </c>
      <c r="I1141" s="9" t="str">
        <f t="shared" si="70"/>
        <v>OK</v>
      </c>
      <c r="J1141" s="9" t="str">
        <f t="shared" si="71"/>
        <v>Standard</v>
      </c>
    </row>
    <row r="1142" spans="1:10" x14ac:dyDescent="0.3">
      <c r="A1142" s="10">
        <f>'2_Clean_Data'!A1139</f>
        <v>1138</v>
      </c>
      <c r="B1142" s="10">
        <f>INDEX('2_Clean_Data'!$M$2:$M$1360,MATCH($A1142,'2_Clean_Data'!$A$2:$A$1360,0))</f>
        <v>6</v>
      </c>
      <c r="C1142" s="9" t="str">
        <f t="shared" si="68"/>
        <v>Above Average</v>
      </c>
      <c r="D1142" s="11">
        <f>INDEX('2_Clean_Data'!$L$2:$L$1360,MATCH($A1142,'2_Clean_Data'!$A$2:$A$1360,0))</f>
        <v>10.5</v>
      </c>
      <c r="E1142" s="9" t="str">
        <f>IF(D1142&lt;'3_Summary_Tables'!$C$16,"Low",IF(D1142&lt;'3_Summary_Tables'!$C$17,"Medium","High"))</f>
        <v>Medium</v>
      </c>
      <c r="F1142" s="12">
        <f>INDEX('2_Clean_Data'!$C$2:$C$1360,MATCH($A1142,'2_Clean_Data'!$A$2:$A$1360,0))</f>
        <v>0.51</v>
      </c>
      <c r="G1142" s="10">
        <f>INDEX('2_Clean_Data'!$H$2:$H$1360,MATCH($A1142,'2_Clean_Data'!$A$2:$A$1360,0))</f>
        <v>31</v>
      </c>
      <c r="H1142" s="9" t="str">
        <f t="shared" si="69"/>
        <v>Low</v>
      </c>
      <c r="I1142" s="9" t="str">
        <f t="shared" si="70"/>
        <v>OK</v>
      </c>
      <c r="J1142" s="9" t="str">
        <f t="shared" si="71"/>
        <v>Solid</v>
      </c>
    </row>
    <row r="1143" spans="1:10" x14ac:dyDescent="0.3">
      <c r="A1143" s="10">
        <f>'2_Clean_Data'!A1140</f>
        <v>1139</v>
      </c>
      <c r="B1143" s="10">
        <f>INDEX('2_Clean_Data'!$M$2:$M$1360,MATCH($A1143,'2_Clean_Data'!$A$2:$A$1360,0))</f>
        <v>6</v>
      </c>
      <c r="C1143" s="9" t="str">
        <f t="shared" si="68"/>
        <v>Above Average</v>
      </c>
      <c r="D1143" s="11">
        <f>INDEX('2_Clean_Data'!$L$2:$L$1360,MATCH($A1143,'2_Clean_Data'!$A$2:$A$1360,0))</f>
        <v>10.4</v>
      </c>
      <c r="E1143" s="9" t="str">
        <f>IF(D1143&lt;'3_Summary_Tables'!$C$16,"Low",IF(D1143&lt;'3_Summary_Tables'!$C$17,"Medium","High"))</f>
        <v>Medium</v>
      </c>
      <c r="F1143" s="12">
        <f>INDEX('2_Clean_Data'!$C$2:$C$1360,MATCH($A1143,'2_Clean_Data'!$A$2:$A$1360,0))</f>
        <v>0.54</v>
      </c>
      <c r="G1143" s="10">
        <f>INDEX('2_Clean_Data'!$H$2:$H$1360,MATCH($A1143,'2_Clean_Data'!$A$2:$A$1360,0))</f>
        <v>31</v>
      </c>
      <c r="H1143" s="9" t="str">
        <f t="shared" si="69"/>
        <v>Low</v>
      </c>
      <c r="I1143" s="9" t="str">
        <f t="shared" si="70"/>
        <v>OK</v>
      </c>
      <c r="J1143" s="9" t="str">
        <f t="shared" si="71"/>
        <v>Solid</v>
      </c>
    </row>
    <row r="1144" spans="1:10" x14ac:dyDescent="0.3">
      <c r="A1144" s="10">
        <f>'2_Clean_Data'!A1141</f>
        <v>1140</v>
      </c>
      <c r="B1144" s="10">
        <f>INDEX('2_Clean_Data'!$M$2:$M$1360,MATCH($A1144,'2_Clean_Data'!$A$2:$A$1360,0))</f>
        <v>5</v>
      </c>
      <c r="C1144" s="9" t="str">
        <f t="shared" si="68"/>
        <v>Average</v>
      </c>
      <c r="D1144" s="11">
        <f>INDEX('2_Clean_Data'!$L$2:$L$1360,MATCH($A1144,'2_Clean_Data'!$A$2:$A$1360,0))</f>
        <v>11</v>
      </c>
      <c r="E1144" s="9" t="str">
        <f>IF(D1144&lt;'3_Summary_Tables'!$C$16,"Low",IF(D1144&lt;'3_Summary_Tables'!$C$17,"Medium","High"))</f>
        <v>Medium</v>
      </c>
      <c r="F1144" s="12">
        <f>INDEX('2_Clean_Data'!$C$2:$C$1360,MATCH($A1144,'2_Clean_Data'!$A$2:$A$1360,0))</f>
        <v>0.42</v>
      </c>
      <c r="G1144" s="10">
        <f>INDEX('2_Clean_Data'!$H$2:$H$1360,MATCH($A1144,'2_Clean_Data'!$A$2:$A$1360,0))</f>
        <v>20</v>
      </c>
      <c r="H1144" s="9" t="str">
        <f t="shared" si="69"/>
        <v>Low</v>
      </c>
      <c r="I1144" s="9" t="str">
        <f t="shared" si="70"/>
        <v>OK</v>
      </c>
      <c r="J1144" s="9" t="str">
        <f t="shared" si="71"/>
        <v>Standard</v>
      </c>
    </row>
    <row r="1145" spans="1:10" x14ac:dyDescent="0.3">
      <c r="A1145" s="10">
        <f>'2_Clean_Data'!A1142</f>
        <v>1141</v>
      </c>
      <c r="B1145" s="10">
        <f>INDEX('2_Clean_Data'!$M$2:$M$1360,MATCH($A1145,'2_Clean_Data'!$A$2:$A$1360,0))</f>
        <v>6</v>
      </c>
      <c r="C1145" s="9" t="str">
        <f t="shared" si="68"/>
        <v>Above Average</v>
      </c>
      <c r="D1145" s="11">
        <f>INDEX('2_Clean_Data'!$L$2:$L$1360,MATCH($A1145,'2_Clean_Data'!$A$2:$A$1360,0))</f>
        <v>10.199999999999999</v>
      </c>
      <c r="E1145" s="9" t="str">
        <f>IF(D1145&lt;'3_Summary_Tables'!$C$16,"Low",IF(D1145&lt;'3_Summary_Tables'!$C$17,"Medium","High"))</f>
        <v>Medium</v>
      </c>
      <c r="F1145" s="12">
        <f>INDEX('2_Clean_Data'!$C$2:$C$1360,MATCH($A1145,'2_Clean_Data'!$A$2:$A$1360,0))</f>
        <v>0.44</v>
      </c>
      <c r="G1145" s="10">
        <f>INDEX('2_Clean_Data'!$H$2:$H$1360,MATCH($A1145,'2_Clean_Data'!$A$2:$A$1360,0))</f>
        <v>28</v>
      </c>
      <c r="H1145" s="9" t="str">
        <f t="shared" si="69"/>
        <v>Low</v>
      </c>
      <c r="I1145" s="9" t="str">
        <f t="shared" si="70"/>
        <v>OK</v>
      </c>
      <c r="J1145" s="9" t="str">
        <f t="shared" si="71"/>
        <v>Solid</v>
      </c>
    </row>
    <row r="1146" spans="1:10" x14ac:dyDescent="0.3">
      <c r="A1146" s="10">
        <f>'2_Clean_Data'!A1143</f>
        <v>1142</v>
      </c>
      <c r="B1146" s="10">
        <f>INDEX('2_Clean_Data'!$M$2:$M$1360,MATCH($A1146,'2_Clean_Data'!$A$2:$A$1360,0))</f>
        <v>5</v>
      </c>
      <c r="C1146" s="9" t="str">
        <f t="shared" si="68"/>
        <v>Average</v>
      </c>
      <c r="D1146" s="11">
        <f>INDEX('2_Clean_Data'!$L$2:$L$1360,MATCH($A1146,'2_Clean_Data'!$A$2:$A$1360,0))</f>
        <v>11.4</v>
      </c>
      <c r="E1146" s="9" t="str">
        <f>IF(D1146&lt;'3_Summary_Tables'!$C$16,"Low",IF(D1146&lt;'3_Summary_Tables'!$C$17,"Medium","High"))</f>
        <v>Medium</v>
      </c>
      <c r="F1146" s="12">
        <f>INDEX('2_Clean_Data'!$C$2:$C$1360,MATCH($A1146,'2_Clean_Data'!$A$2:$A$1360,0))</f>
        <v>0.59</v>
      </c>
      <c r="G1146" s="10">
        <f>INDEX('2_Clean_Data'!$H$2:$H$1360,MATCH($A1146,'2_Clean_Data'!$A$2:$A$1360,0))</f>
        <v>13</v>
      </c>
      <c r="H1146" s="9" t="str">
        <f t="shared" si="69"/>
        <v>Low</v>
      </c>
      <c r="I1146" s="9" t="str">
        <f t="shared" si="70"/>
        <v>OK</v>
      </c>
      <c r="J1146" s="9" t="str">
        <f t="shared" si="71"/>
        <v>Standard</v>
      </c>
    </row>
    <row r="1147" spans="1:10" x14ac:dyDescent="0.3">
      <c r="A1147" s="10">
        <f>'2_Clean_Data'!A1144</f>
        <v>1143</v>
      </c>
      <c r="B1147" s="10">
        <f>INDEX('2_Clean_Data'!$M$2:$M$1360,MATCH($A1147,'2_Clean_Data'!$A$2:$A$1360,0))</f>
        <v>5</v>
      </c>
      <c r="C1147" s="9" t="str">
        <f t="shared" si="68"/>
        <v>Average</v>
      </c>
      <c r="D1147" s="11">
        <f>INDEX('2_Clean_Data'!$L$2:$L$1360,MATCH($A1147,'2_Clean_Data'!$A$2:$A$1360,0))</f>
        <v>9.5</v>
      </c>
      <c r="E1147" s="9" t="str">
        <f>IF(D1147&lt;'3_Summary_Tables'!$C$16,"Low",IF(D1147&lt;'3_Summary_Tables'!$C$17,"Medium","High"))</f>
        <v>Low</v>
      </c>
      <c r="F1147" s="12">
        <f>INDEX('2_Clean_Data'!$C$2:$C$1360,MATCH($A1147,'2_Clean_Data'!$A$2:$A$1360,0))</f>
        <v>0.65500000000000003</v>
      </c>
      <c r="G1147" s="10">
        <f>INDEX('2_Clean_Data'!$H$2:$H$1360,MATCH($A1147,'2_Clean_Data'!$A$2:$A$1360,0))</f>
        <v>12</v>
      </c>
      <c r="H1147" s="9" t="str">
        <f t="shared" si="69"/>
        <v>Low</v>
      </c>
      <c r="I1147" s="9" t="str">
        <f t="shared" si="70"/>
        <v>OK</v>
      </c>
      <c r="J1147" s="9" t="str">
        <f t="shared" si="71"/>
        <v>Standard</v>
      </c>
    </row>
    <row r="1148" spans="1:10" x14ac:dyDescent="0.3">
      <c r="A1148" s="10">
        <f>'2_Clean_Data'!A1145</f>
        <v>1144</v>
      </c>
      <c r="B1148" s="10">
        <f>INDEX('2_Clean_Data'!$M$2:$M$1360,MATCH($A1148,'2_Clean_Data'!$A$2:$A$1360,0))</f>
        <v>5</v>
      </c>
      <c r="C1148" s="9" t="str">
        <f t="shared" si="68"/>
        <v>Average</v>
      </c>
      <c r="D1148" s="11">
        <f>INDEX('2_Clean_Data'!$L$2:$L$1360,MATCH($A1148,'2_Clean_Data'!$A$2:$A$1360,0))</f>
        <v>10.8</v>
      </c>
      <c r="E1148" s="9" t="str">
        <f>IF(D1148&lt;'3_Summary_Tables'!$C$16,"Low",IF(D1148&lt;'3_Summary_Tables'!$C$17,"Medium","High"))</f>
        <v>Medium</v>
      </c>
      <c r="F1148" s="12">
        <f>INDEX('2_Clean_Data'!$C$2:$C$1360,MATCH($A1148,'2_Clean_Data'!$A$2:$A$1360,0))</f>
        <v>0.56999999999999995</v>
      </c>
      <c r="G1148" s="10">
        <f>INDEX('2_Clean_Data'!$H$2:$H$1360,MATCH($A1148,'2_Clean_Data'!$A$2:$A$1360,0))</f>
        <v>41</v>
      </c>
      <c r="H1148" s="9" t="str">
        <f t="shared" si="69"/>
        <v>Low</v>
      </c>
      <c r="I1148" s="9" t="str">
        <f t="shared" si="70"/>
        <v>OK</v>
      </c>
      <c r="J1148" s="9" t="str">
        <f t="shared" si="71"/>
        <v>Standard</v>
      </c>
    </row>
    <row r="1149" spans="1:10" x14ac:dyDescent="0.3">
      <c r="A1149" s="10">
        <f>'2_Clean_Data'!A1146</f>
        <v>1145</v>
      </c>
      <c r="B1149" s="10">
        <f>INDEX('2_Clean_Data'!$M$2:$M$1360,MATCH($A1149,'2_Clean_Data'!$A$2:$A$1360,0))</f>
        <v>5</v>
      </c>
      <c r="C1149" s="9" t="str">
        <f t="shared" si="68"/>
        <v>Average</v>
      </c>
      <c r="D1149" s="11">
        <f>INDEX('2_Clean_Data'!$L$2:$L$1360,MATCH($A1149,'2_Clean_Data'!$A$2:$A$1360,0))</f>
        <v>10</v>
      </c>
      <c r="E1149" s="9" t="str">
        <f>IF(D1149&lt;'3_Summary_Tables'!$C$16,"Low",IF(D1149&lt;'3_Summary_Tables'!$C$17,"Medium","High"))</f>
        <v>Medium</v>
      </c>
      <c r="F1149" s="12">
        <f>INDEX('2_Clean_Data'!$C$2:$C$1360,MATCH($A1149,'2_Clean_Data'!$A$2:$A$1360,0))</f>
        <v>0.6</v>
      </c>
      <c r="G1149" s="10">
        <f>INDEX('2_Clean_Data'!$H$2:$H$1360,MATCH($A1149,'2_Clean_Data'!$A$2:$A$1360,0))</f>
        <v>73</v>
      </c>
      <c r="H1149" s="9" t="str">
        <f t="shared" si="69"/>
        <v>Moderate</v>
      </c>
      <c r="I1149" s="9" t="str">
        <f t="shared" si="70"/>
        <v>OK</v>
      </c>
      <c r="J1149" s="9" t="str">
        <f t="shared" si="71"/>
        <v>Standard</v>
      </c>
    </row>
    <row r="1150" spans="1:10" x14ac:dyDescent="0.3">
      <c r="A1150" s="10">
        <f>'2_Clean_Data'!A1147</f>
        <v>1146</v>
      </c>
      <c r="B1150" s="10">
        <f>INDEX('2_Clean_Data'!$M$2:$M$1360,MATCH($A1150,'2_Clean_Data'!$A$2:$A$1360,0))</f>
        <v>6</v>
      </c>
      <c r="C1150" s="9" t="str">
        <f t="shared" si="68"/>
        <v>Above Average</v>
      </c>
      <c r="D1150" s="11">
        <f>INDEX('2_Clean_Data'!$L$2:$L$1360,MATCH($A1150,'2_Clean_Data'!$A$2:$A$1360,0))</f>
        <v>11.8</v>
      </c>
      <c r="E1150" s="9" t="str">
        <f>IF(D1150&lt;'3_Summary_Tables'!$C$16,"Low",IF(D1150&lt;'3_Summary_Tables'!$C$17,"Medium","High"))</f>
        <v>High</v>
      </c>
      <c r="F1150" s="12">
        <f>INDEX('2_Clean_Data'!$C$2:$C$1360,MATCH($A1150,'2_Clean_Data'!$A$2:$A$1360,0))</f>
        <v>0.62</v>
      </c>
      <c r="G1150" s="10">
        <f>INDEX('2_Clean_Data'!$H$2:$H$1360,MATCH($A1150,'2_Clean_Data'!$A$2:$A$1360,0))</f>
        <v>46</v>
      </c>
      <c r="H1150" s="9" t="str">
        <f t="shared" si="69"/>
        <v>Low</v>
      </c>
      <c r="I1150" s="9" t="str">
        <f t="shared" si="70"/>
        <v>OK</v>
      </c>
      <c r="J1150" s="9" t="str">
        <f t="shared" si="71"/>
        <v>Solid</v>
      </c>
    </row>
    <row r="1151" spans="1:10" x14ac:dyDescent="0.3">
      <c r="A1151" s="10">
        <f>'2_Clean_Data'!A1148</f>
        <v>1147</v>
      </c>
      <c r="B1151" s="10">
        <f>INDEX('2_Clean_Data'!$M$2:$M$1360,MATCH($A1151,'2_Clean_Data'!$A$2:$A$1360,0))</f>
        <v>5</v>
      </c>
      <c r="C1151" s="9" t="str">
        <f t="shared" si="68"/>
        <v>Average</v>
      </c>
      <c r="D1151" s="11">
        <f>INDEX('2_Clean_Data'!$L$2:$L$1360,MATCH($A1151,'2_Clean_Data'!$A$2:$A$1360,0))</f>
        <v>10.3</v>
      </c>
      <c r="E1151" s="9" t="str">
        <f>IF(D1151&lt;'3_Summary_Tables'!$C$16,"Low",IF(D1151&lt;'3_Summary_Tables'!$C$17,"Medium","High"))</f>
        <v>Medium</v>
      </c>
      <c r="F1151" s="12">
        <f>INDEX('2_Clean_Data'!$C$2:$C$1360,MATCH($A1151,'2_Clean_Data'!$A$2:$A$1360,0))</f>
        <v>0.64500000000000002</v>
      </c>
      <c r="G1151" s="10">
        <f>INDEX('2_Clean_Data'!$H$2:$H$1360,MATCH($A1151,'2_Clean_Data'!$A$2:$A$1360,0))</f>
        <v>57</v>
      </c>
      <c r="H1151" s="9" t="str">
        <f t="shared" si="69"/>
        <v>Moderate</v>
      </c>
      <c r="I1151" s="9" t="str">
        <f t="shared" si="70"/>
        <v>OK</v>
      </c>
      <c r="J1151" s="9" t="str">
        <f t="shared" si="71"/>
        <v>Standard</v>
      </c>
    </row>
    <row r="1152" spans="1:10" x14ac:dyDescent="0.3">
      <c r="A1152" s="10">
        <f>'2_Clean_Data'!A1149</f>
        <v>1148</v>
      </c>
      <c r="B1152" s="10">
        <f>INDEX('2_Clean_Data'!$M$2:$M$1360,MATCH($A1152,'2_Clean_Data'!$A$2:$A$1360,0))</f>
        <v>5</v>
      </c>
      <c r="C1152" s="9" t="str">
        <f t="shared" si="68"/>
        <v>Average</v>
      </c>
      <c r="D1152" s="11">
        <f>INDEX('2_Clean_Data'!$L$2:$L$1360,MATCH($A1152,'2_Clean_Data'!$A$2:$A$1360,0))</f>
        <v>10</v>
      </c>
      <c r="E1152" s="9" t="str">
        <f>IF(D1152&lt;'3_Summary_Tables'!$C$16,"Low",IF(D1152&lt;'3_Summary_Tables'!$C$17,"Medium","High"))</f>
        <v>Medium</v>
      </c>
      <c r="F1152" s="12">
        <f>INDEX('2_Clean_Data'!$C$2:$C$1360,MATCH($A1152,'2_Clean_Data'!$A$2:$A$1360,0))</f>
        <v>0.57999999999999996</v>
      </c>
      <c r="G1152" s="10">
        <f>INDEX('2_Clean_Data'!$H$2:$H$1360,MATCH($A1152,'2_Clean_Data'!$A$2:$A$1360,0))</f>
        <v>28</v>
      </c>
      <c r="H1152" s="9" t="str">
        <f t="shared" si="69"/>
        <v>Low</v>
      </c>
      <c r="I1152" s="9" t="str">
        <f t="shared" si="70"/>
        <v>OK</v>
      </c>
      <c r="J1152" s="9" t="str">
        <f t="shared" si="71"/>
        <v>Standard</v>
      </c>
    </row>
    <row r="1153" spans="1:10" x14ac:dyDescent="0.3">
      <c r="A1153" s="10">
        <f>'2_Clean_Data'!A1150</f>
        <v>1149</v>
      </c>
      <c r="B1153" s="10">
        <f>INDEX('2_Clean_Data'!$M$2:$M$1360,MATCH($A1153,'2_Clean_Data'!$A$2:$A$1360,0))</f>
        <v>5</v>
      </c>
      <c r="C1153" s="9" t="str">
        <f t="shared" si="68"/>
        <v>Average</v>
      </c>
      <c r="D1153" s="11">
        <f>INDEX('2_Clean_Data'!$L$2:$L$1360,MATCH($A1153,'2_Clean_Data'!$A$2:$A$1360,0))</f>
        <v>10.1</v>
      </c>
      <c r="E1153" s="9" t="str">
        <f>IF(D1153&lt;'3_Summary_Tables'!$C$16,"Low",IF(D1153&lt;'3_Summary_Tables'!$C$17,"Medium","High"))</f>
        <v>Medium</v>
      </c>
      <c r="F1153" s="12">
        <f>INDEX('2_Clean_Data'!$C$2:$C$1360,MATCH($A1153,'2_Clean_Data'!$A$2:$A$1360,0))</f>
        <v>0.32</v>
      </c>
      <c r="G1153" s="10">
        <f>INDEX('2_Clean_Data'!$H$2:$H$1360,MATCH($A1153,'2_Clean_Data'!$A$2:$A$1360,0))</f>
        <v>32</v>
      </c>
      <c r="H1153" s="9" t="str">
        <f t="shared" si="69"/>
        <v>Low</v>
      </c>
      <c r="I1153" s="9" t="str">
        <f t="shared" si="70"/>
        <v>OK</v>
      </c>
      <c r="J1153" s="9" t="str">
        <f t="shared" si="71"/>
        <v>Standard</v>
      </c>
    </row>
    <row r="1154" spans="1:10" x14ac:dyDescent="0.3">
      <c r="A1154" s="10">
        <f>'2_Clean_Data'!A1151</f>
        <v>1150</v>
      </c>
      <c r="B1154" s="10">
        <f>INDEX('2_Clean_Data'!$M$2:$M$1360,MATCH($A1154,'2_Clean_Data'!$A$2:$A$1360,0))</f>
        <v>5</v>
      </c>
      <c r="C1154" s="9" t="str">
        <f t="shared" si="68"/>
        <v>Average</v>
      </c>
      <c r="D1154" s="11">
        <f>INDEX('2_Clean_Data'!$L$2:$L$1360,MATCH($A1154,'2_Clean_Data'!$A$2:$A$1360,0))</f>
        <v>10.1</v>
      </c>
      <c r="E1154" s="9" t="str">
        <f>IF(D1154&lt;'3_Summary_Tables'!$C$16,"Low",IF(D1154&lt;'3_Summary_Tables'!$C$17,"Medium","High"))</f>
        <v>Medium</v>
      </c>
      <c r="F1154" s="12">
        <f>INDEX('2_Clean_Data'!$C$2:$C$1360,MATCH($A1154,'2_Clean_Data'!$A$2:$A$1360,0))</f>
        <v>0.34</v>
      </c>
      <c r="G1154" s="10">
        <f>INDEX('2_Clean_Data'!$H$2:$H$1360,MATCH($A1154,'2_Clean_Data'!$A$2:$A$1360,0))</f>
        <v>28</v>
      </c>
      <c r="H1154" s="9" t="str">
        <f t="shared" si="69"/>
        <v>Low</v>
      </c>
      <c r="I1154" s="9" t="str">
        <f t="shared" si="70"/>
        <v>OK</v>
      </c>
      <c r="J1154" s="9" t="str">
        <f t="shared" si="71"/>
        <v>Standard</v>
      </c>
    </row>
    <row r="1155" spans="1:10" x14ac:dyDescent="0.3">
      <c r="A1155" s="10">
        <f>'2_Clean_Data'!A1152</f>
        <v>1151</v>
      </c>
      <c r="B1155" s="10">
        <f>INDEX('2_Clean_Data'!$M$2:$M$1360,MATCH($A1155,'2_Clean_Data'!$A$2:$A$1360,0))</f>
        <v>6</v>
      </c>
      <c r="C1155" s="9" t="str">
        <f t="shared" si="68"/>
        <v>Above Average</v>
      </c>
      <c r="D1155" s="11">
        <f>INDEX('2_Clean_Data'!$L$2:$L$1360,MATCH($A1155,'2_Clean_Data'!$A$2:$A$1360,0))</f>
        <v>11.1</v>
      </c>
      <c r="E1155" s="9" t="str">
        <f>IF(D1155&lt;'3_Summary_Tables'!$C$16,"Low",IF(D1155&lt;'3_Summary_Tables'!$C$17,"Medium","High"))</f>
        <v>Medium</v>
      </c>
      <c r="F1155" s="12">
        <f>INDEX('2_Clean_Data'!$C$2:$C$1360,MATCH($A1155,'2_Clean_Data'!$A$2:$A$1360,0))</f>
        <v>0.43</v>
      </c>
      <c r="G1155" s="10">
        <f>INDEX('2_Clean_Data'!$H$2:$H$1360,MATCH($A1155,'2_Clean_Data'!$A$2:$A$1360,0))</f>
        <v>67</v>
      </c>
      <c r="H1155" s="9" t="str">
        <f t="shared" si="69"/>
        <v>Moderate</v>
      </c>
      <c r="I1155" s="9" t="str">
        <f t="shared" si="70"/>
        <v>OK</v>
      </c>
      <c r="J1155" s="9" t="str">
        <f t="shared" si="71"/>
        <v>Solid</v>
      </c>
    </row>
    <row r="1156" spans="1:10" x14ac:dyDescent="0.3">
      <c r="A1156" s="10">
        <f>'2_Clean_Data'!A1153</f>
        <v>1152</v>
      </c>
      <c r="B1156" s="10">
        <f>INDEX('2_Clean_Data'!$M$2:$M$1360,MATCH($A1156,'2_Clean_Data'!$A$2:$A$1360,0))</f>
        <v>5</v>
      </c>
      <c r="C1156" s="9" t="str">
        <f t="shared" si="68"/>
        <v>Average</v>
      </c>
      <c r="D1156" s="11">
        <f>INDEX('2_Clean_Data'!$L$2:$L$1360,MATCH($A1156,'2_Clean_Data'!$A$2:$A$1360,0))</f>
        <v>9.5</v>
      </c>
      <c r="E1156" s="9" t="str">
        <f>IF(D1156&lt;'3_Summary_Tables'!$C$16,"Low",IF(D1156&lt;'3_Summary_Tables'!$C$17,"Medium","High"))</f>
        <v>Low</v>
      </c>
      <c r="F1156" s="12">
        <f>INDEX('2_Clean_Data'!$C$2:$C$1360,MATCH($A1156,'2_Clean_Data'!$A$2:$A$1360,0))</f>
        <v>0.64</v>
      </c>
      <c r="G1156" s="10">
        <f>INDEX('2_Clean_Data'!$H$2:$H$1360,MATCH($A1156,'2_Clean_Data'!$A$2:$A$1360,0))</f>
        <v>98</v>
      </c>
      <c r="H1156" s="9" t="str">
        <f t="shared" si="69"/>
        <v>Moderate</v>
      </c>
      <c r="I1156" s="9" t="str">
        <f t="shared" si="70"/>
        <v>OK</v>
      </c>
      <c r="J1156" s="9" t="str">
        <f t="shared" si="71"/>
        <v>Standard</v>
      </c>
    </row>
    <row r="1157" spans="1:10" x14ac:dyDescent="0.3">
      <c r="A1157" s="10">
        <f>'2_Clean_Data'!A1154</f>
        <v>1153</v>
      </c>
      <c r="B1157" s="10">
        <f>INDEX('2_Clean_Data'!$M$2:$M$1360,MATCH($A1157,'2_Clean_Data'!$A$2:$A$1360,0))</f>
        <v>6</v>
      </c>
      <c r="C1157" s="9" t="str">
        <f t="shared" ref="C1157:C1220" si="72">VLOOKUP(B1157,$L$12:$N$17,2,FALSE())</f>
        <v>Above Average</v>
      </c>
      <c r="D1157" s="11">
        <f>INDEX('2_Clean_Data'!$L$2:$L$1360,MATCH($A1157,'2_Clean_Data'!$A$2:$A$1360,0))</f>
        <v>10.033333333333299</v>
      </c>
      <c r="E1157" s="9" t="str">
        <f>IF(D1157&lt;'3_Summary_Tables'!$C$16,"Low",IF(D1157&lt;'3_Summary_Tables'!$C$17,"Medium","High"))</f>
        <v>Medium</v>
      </c>
      <c r="F1157" s="12">
        <f>INDEX('2_Clean_Data'!$C$2:$C$1360,MATCH($A1157,'2_Clean_Data'!$A$2:$A$1360,0))</f>
        <v>0.47499999999999998</v>
      </c>
      <c r="G1157" s="10">
        <f>INDEX('2_Clean_Data'!$H$2:$H$1360,MATCH($A1157,'2_Clean_Data'!$A$2:$A$1360,0))</f>
        <v>28</v>
      </c>
      <c r="H1157" s="9" t="str">
        <f t="shared" ref="H1157:H1220" si="73">IF(G1157&gt;$M$8,"High",IF(G1157&gt;$M$7,"Moderate","Low"))</f>
        <v>Low</v>
      </c>
      <c r="I1157" s="9" t="str">
        <f t="shared" ref="I1157:I1220" si="74">IF(F1157&gt;$M$6,"Above limit","OK")</f>
        <v>OK</v>
      </c>
      <c r="J1157" s="9" t="str">
        <f t="shared" ref="J1157:J1220" si="75">IF(AND(B1157&gt;=7,E1157="High"),"Premium",IF(AND(B1157&gt;=6,I1157="OK"),"Solid",IF(B1157&lt;=4,"Poor","Standard")))</f>
        <v>Solid</v>
      </c>
    </row>
    <row r="1158" spans="1:10" x14ac:dyDescent="0.3">
      <c r="A1158" s="10">
        <f>'2_Clean_Data'!A1155</f>
        <v>1154</v>
      </c>
      <c r="B1158" s="10">
        <f>INDEX('2_Clean_Data'!$M$2:$M$1360,MATCH($A1158,'2_Clean_Data'!$A$2:$A$1360,0))</f>
        <v>5</v>
      </c>
      <c r="C1158" s="9" t="str">
        <f t="shared" si="72"/>
        <v>Average</v>
      </c>
      <c r="D1158" s="11">
        <f>INDEX('2_Clean_Data'!$L$2:$L$1360,MATCH($A1158,'2_Clean_Data'!$A$2:$A$1360,0))</f>
        <v>10.9</v>
      </c>
      <c r="E1158" s="9" t="str">
        <f>IF(D1158&lt;'3_Summary_Tables'!$C$16,"Low",IF(D1158&lt;'3_Summary_Tables'!$C$17,"Medium","High"))</f>
        <v>Medium</v>
      </c>
      <c r="F1158" s="12">
        <f>INDEX('2_Clean_Data'!$C$2:$C$1360,MATCH($A1158,'2_Clean_Data'!$A$2:$A$1360,0))</f>
        <v>0.54</v>
      </c>
      <c r="G1158" s="10">
        <f>INDEX('2_Clean_Data'!$H$2:$H$1360,MATCH($A1158,'2_Clean_Data'!$A$2:$A$1360,0))</f>
        <v>38</v>
      </c>
      <c r="H1158" s="9" t="str">
        <f t="shared" si="73"/>
        <v>Low</v>
      </c>
      <c r="I1158" s="9" t="str">
        <f t="shared" si="74"/>
        <v>OK</v>
      </c>
      <c r="J1158" s="9" t="str">
        <f t="shared" si="75"/>
        <v>Standard</v>
      </c>
    </row>
    <row r="1159" spans="1:10" x14ac:dyDescent="0.3">
      <c r="A1159" s="10">
        <f>'2_Clean_Data'!A1156</f>
        <v>1155</v>
      </c>
      <c r="B1159" s="10">
        <f>INDEX('2_Clean_Data'!$M$2:$M$1360,MATCH($A1159,'2_Clean_Data'!$A$2:$A$1360,0))</f>
        <v>5</v>
      </c>
      <c r="C1159" s="9" t="str">
        <f t="shared" si="72"/>
        <v>Average</v>
      </c>
      <c r="D1159" s="11">
        <f>INDEX('2_Clean_Data'!$L$2:$L$1360,MATCH($A1159,'2_Clean_Data'!$A$2:$A$1360,0))</f>
        <v>10.1</v>
      </c>
      <c r="E1159" s="9" t="str">
        <f>IF(D1159&lt;'3_Summary_Tables'!$C$16,"Low",IF(D1159&lt;'3_Summary_Tables'!$C$17,"Medium","High"))</f>
        <v>Medium</v>
      </c>
      <c r="F1159" s="12">
        <f>INDEX('2_Clean_Data'!$C$2:$C$1360,MATCH($A1159,'2_Clean_Data'!$A$2:$A$1360,0))</f>
        <v>0.85</v>
      </c>
      <c r="G1159" s="10">
        <f>INDEX('2_Clean_Data'!$H$2:$H$1360,MATCH($A1159,'2_Clean_Data'!$A$2:$A$1360,0))</f>
        <v>54</v>
      </c>
      <c r="H1159" s="9" t="str">
        <f t="shared" si="73"/>
        <v>Moderate</v>
      </c>
      <c r="I1159" s="9" t="str">
        <f t="shared" si="74"/>
        <v>Above limit</v>
      </c>
      <c r="J1159" s="9" t="str">
        <f t="shared" si="75"/>
        <v>Standard</v>
      </c>
    </row>
    <row r="1160" spans="1:10" x14ac:dyDescent="0.3">
      <c r="A1160" s="10">
        <f>'2_Clean_Data'!A1157</f>
        <v>1156</v>
      </c>
      <c r="B1160" s="10">
        <f>INDEX('2_Clean_Data'!$M$2:$M$1360,MATCH($A1160,'2_Clean_Data'!$A$2:$A$1360,0))</f>
        <v>4</v>
      </c>
      <c r="C1160" s="9" t="str">
        <f t="shared" si="72"/>
        <v>Poor</v>
      </c>
      <c r="D1160" s="11">
        <f>INDEX('2_Clean_Data'!$L$2:$L$1360,MATCH($A1160,'2_Clean_Data'!$A$2:$A$1360,0))</f>
        <v>9.8000000000000007</v>
      </c>
      <c r="E1160" s="9" t="str">
        <f>IF(D1160&lt;'3_Summary_Tables'!$C$16,"Low",IF(D1160&lt;'3_Summary_Tables'!$C$17,"Medium","High"))</f>
        <v>Low</v>
      </c>
      <c r="F1160" s="12">
        <f>INDEX('2_Clean_Data'!$C$2:$C$1360,MATCH($A1160,'2_Clean_Data'!$A$2:$A$1360,0))</f>
        <v>0.83</v>
      </c>
      <c r="G1160" s="10">
        <f>INDEX('2_Clean_Data'!$H$2:$H$1360,MATCH($A1160,'2_Clean_Data'!$A$2:$A$1360,0))</f>
        <v>63</v>
      </c>
      <c r="H1160" s="9" t="str">
        <f t="shared" si="73"/>
        <v>Moderate</v>
      </c>
      <c r="I1160" s="9" t="str">
        <f t="shared" si="74"/>
        <v>Above limit</v>
      </c>
      <c r="J1160" s="9" t="str">
        <f t="shared" si="75"/>
        <v>Poor</v>
      </c>
    </row>
    <row r="1161" spans="1:10" x14ac:dyDescent="0.3">
      <c r="A1161" s="10">
        <f>'2_Clean_Data'!A1158</f>
        <v>1157</v>
      </c>
      <c r="B1161" s="10">
        <f>INDEX('2_Clean_Data'!$M$2:$M$1360,MATCH($A1161,'2_Clean_Data'!$A$2:$A$1360,0))</f>
        <v>6</v>
      </c>
      <c r="C1161" s="9" t="str">
        <f t="shared" si="72"/>
        <v>Above Average</v>
      </c>
      <c r="D1161" s="11">
        <f>INDEX('2_Clean_Data'!$L$2:$L$1360,MATCH($A1161,'2_Clean_Data'!$A$2:$A$1360,0))</f>
        <v>11.8</v>
      </c>
      <c r="E1161" s="9" t="str">
        <f>IF(D1161&lt;'3_Summary_Tables'!$C$16,"Low",IF(D1161&lt;'3_Summary_Tables'!$C$17,"Medium","High"))</f>
        <v>High</v>
      </c>
      <c r="F1161" s="12">
        <f>INDEX('2_Clean_Data'!$C$2:$C$1360,MATCH($A1161,'2_Clean_Data'!$A$2:$A$1360,0))</f>
        <v>0.60499999999999998</v>
      </c>
      <c r="G1161" s="10">
        <f>INDEX('2_Clean_Data'!$H$2:$H$1360,MATCH($A1161,'2_Clean_Data'!$A$2:$A$1360,0))</f>
        <v>31</v>
      </c>
      <c r="H1161" s="9" t="str">
        <f t="shared" si="73"/>
        <v>Low</v>
      </c>
      <c r="I1161" s="9" t="str">
        <f t="shared" si="74"/>
        <v>OK</v>
      </c>
      <c r="J1161" s="9" t="str">
        <f t="shared" si="75"/>
        <v>Solid</v>
      </c>
    </row>
    <row r="1162" spans="1:10" x14ac:dyDescent="0.3">
      <c r="A1162" s="10">
        <f>'2_Clean_Data'!A1159</f>
        <v>1158</v>
      </c>
      <c r="B1162" s="10">
        <f>INDEX('2_Clean_Data'!$M$2:$M$1360,MATCH($A1162,'2_Clean_Data'!$A$2:$A$1360,0))</f>
        <v>5</v>
      </c>
      <c r="C1162" s="9" t="str">
        <f t="shared" si="72"/>
        <v>Average</v>
      </c>
      <c r="D1162" s="11">
        <f>INDEX('2_Clean_Data'!$L$2:$L$1360,MATCH($A1162,'2_Clean_Data'!$A$2:$A$1360,0))</f>
        <v>9.5</v>
      </c>
      <c r="E1162" s="9" t="str">
        <f>IF(D1162&lt;'3_Summary_Tables'!$C$16,"Low",IF(D1162&lt;'3_Summary_Tables'!$C$17,"Medium","High"))</f>
        <v>Low</v>
      </c>
      <c r="F1162" s="12">
        <f>INDEX('2_Clean_Data'!$C$2:$C$1360,MATCH($A1162,'2_Clean_Data'!$A$2:$A$1360,0))</f>
        <v>0.5</v>
      </c>
      <c r="G1162" s="10">
        <f>INDEX('2_Clean_Data'!$H$2:$H$1360,MATCH($A1162,'2_Clean_Data'!$A$2:$A$1360,0))</f>
        <v>42</v>
      </c>
      <c r="H1162" s="9" t="str">
        <f t="shared" si="73"/>
        <v>Low</v>
      </c>
      <c r="I1162" s="9" t="str">
        <f t="shared" si="74"/>
        <v>OK</v>
      </c>
      <c r="J1162" s="9" t="str">
        <f t="shared" si="75"/>
        <v>Standard</v>
      </c>
    </row>
    <row r="1163" spans="1:10" x14ac:dyDescent="0.3">
      <c r="A1163" s="10">
        <f>'2_Clean_Data'!A1160</f>
        <v>1159</v>
      </c>
      <c r="B1163" s="10">
        <f>INDEX('2_Clean_Data'!$M$2:$M$1360,MATCH($A1163,'2_Clean_Data'!$A$2:$A$1360,0))</f>
        <v>5</v>
      </c>
      <c r="C1163" s="9" t="str">
        <f t="shared" si="72"/>
        <v>Average</v>
      </c>
      <c r="D1163" s="11">
        <f>INDEX('2_Clean_Data'!$L$2:$L$1360,MATCH($A1163,'2_Clean_Data'!$A$2:$A$1360,0))</f>
        <v>9.8000000000000007</v>
      </c>
      <c r="E1163" s="9" t="str">
        <f>IF(D1163&lt;'3_Summary_Tables'!$C$16,"Low",IF(D1163&lt;'3_Summary_Tables'!$C$17,"Medium","High"))</f>
        <v>Low</v>
      </c>
      <c r="F1163" s="12">
        <f>INDEX('2_Clean_Data'!$C$2:$C$1360,MATCH($A1163,'2_Clean_Data'!$A$2:$A$1360,0))</f>
        <v>0.74</v>
      </c>
      <c r="G1163" s="10">
        <f>INDEX('2_Clean_Data'!$H$2:$H$1360,MATCH($A1163,'2_Clean_Data'!$A$2:$A$1360,0))</f>
        <v>45</v>
      </c>
      <c r="H1163" s="9" t="str">
        <f t="shared" si="73"/>
        <v>Low</v>
      </c>
      <c r="I1163" s="9" t="str">
        <f t="shared" si="74"/>
        <v>Above limit</v>
      </c>
      <c r="J1163" s="9" t="str">
        <f t="shared" si="75"/>
        <v>Standard</v>
      </c>
    </row>
    <row r="1164" spans="1:10" x14ac:dyDescent="0.3">
      <c r="A1164" s="10">
        <f>'2_Clean_Data'!A1161</f>
        <v>1160</v>
      </c>
      <c r="B1164" s="10">
        <f>INDEX('2_Clean_Data'!$M$2:$M$1360,MATCH($A1164,'2_Clean_Data'!$A$2:$A$1360,0))</f>
        <v>6</v>
      </c>
      <c r="C1164" s="9" t="str">
        <f t="shared" si="72"/>
        <v>Above Average</v>
      </c>
      <c r="D1164" s="11">
        <f>INDEX('2_Clean_Data'!$L$2:$L$1360,MATCH($A1164,'2_Clean_Data'!$A$2:$A$1360,0))</f>
        <v>10.5</v>
      </c>
      <c r="E1164" s="9" t="str">
        <f>IF(D1164&lt;'3_Summary_Tables'!$C$16,"Low",IF(D1164&lt;'3_Summary_Tables'!$C$17,"Medium","High"))</f>
        <v>Medium</v>
      </c>
      <c r="F1164" s="12">
        <f>INDEX('2_Clean_Data'!$C$2:$C$1360,MATCH($A1164,'2_Clean_Data'!$A$2:$A$1360,0))</f>
        <v>0.54</v>
      </c>
      <c r="G1164" s="10">
        <f>INDEX('2_Clean_Data'!$H$2:$H$1360,MATCH($A1164,'2_Clean_Data'!$A$2:$A$1360,0))</f>
        <v>105</v>
      </c>
      <c r="H1164" s="9" t="str">
        <f t="shared" si="73"/>
        <v>High</v>
      </c>
      <c r="I1164" s="9" t="str">
        <f t="shared" si="74"/>
        <v>OK</v>
      </c>
      <c r="J1164" s="9" t="str">
        <f t="shared" si="75"/>
        <v>Solid</v>
      </c>
    </row>
    <row r="1165" spans="1:10" x14ac:dyDescent="0.3">
      <c r="A1165" s="10">
        <f>'2_Clean_Data'!A1162</f>
        <v>1161</v>
      </c>
      <c r="B1165" s="10">
        <f>INDEX('2_Clean_Data'!$M$2:$M$1360,MATCH($A1165,'2_Clean_Data'!$A$2:$A$1360,0))</f>
        <v>6</v>
      </c>
      <c r="C1165" s="9" t="str">
        <f t="shared" si="72"/>
        <v>Above Average</v>
      </c>
      <c r="D1165" s="11">
        <f>INDEX('2_Clean_Data'!$L$2:$L$1360,MATCH($A1165,'2_Clean_Data'!$A$2:$A$1360,0))</f>
        <v>9.8000000000000007</v>
      </c>
      <c r="E1165" s="9" t="str">
        <f>IF(D1165&lt;'3_Summary_Tables'!$C$16,"Low",IF(D1165&lt;'3_Summary_Tables'!$C$17,"Medium","High"))</f>
        <v>Low</v>
      </c>
      <c r="F1165" s="12">
        <f>INDEX('2_Clean_Data'!$C$2:$C$1360,MATCH($A1165,'2_Clean_Data'!$A$2:$A$1360,0))</f>
        <v>0.77</v>
      </c>
      <c r="G1165" s="10">
        <f>INDEX('2_Clean_Data'!$H$2:$H$1360,MATCH($A1165,'2_Clean_Data'!$A$2:$A$1360,0))</f>
        <v>74</v>
      </c>
      <c r="H1165" s="9" t="str">
        <f t="shared" si="73"/>
        <v>Moderate</v>
      </c>
      <c r="I1165" s="9" t="str">
        <f t="shared" si="74"/>
        <v>Above limit</v>
      </c>
      <c r="J1165" s="9" t="str">
        <f t="shared" si="75"/>
        <v>Standard</v>
      </c>
    </row>
    <row r="1166" spans="1:10" x14ac:dyDescent="0.3">
      <c r="A1166" s="10">
        <f>'2_Clean_Data'!A1163</f>
        <v>1162</v>
      </c>
      <c r="B1166" s="10">
        <f>INDEX('2_Clean_Data'!$M$2:$M$1360,MATCH($A1166,'2_Clean_Data'!$A$2:$A$1360,0))</f>
        <v>4</v>
      </c>
      <c r="C1166" s="9" t="str">
        <f t="shared" si="72"/>
        <v>Poor</v>
      </c>
      <c r="D1166" s="11">
        <f>INDEX('2_Clean_Data'!$L$2:$L$1360,MATCH($A1166,'2_Clean_Data'!$A$2:$A$1360,0))</f>
        <v>10.4</v>
      </c>
      <c r="E1166" s="9" t="str">
        <f>IF(D1166&lt;'3_Summary_Tables'!$C$16,"Low",IF(D1166&lt;'3_Summary_Tables'!$C$17,"Medium","High"))</f>
        <v>Medium</v>
      </c>
      <c r="F1166" s="12">
        <f>INDEX('2_Clean_Data'!$C$2:$C$1360,MATCH($A1166,'2_Clean_Data'!$A$2:$A$1360,0))</f>
        <v>0.61</v>
      </c>
      <c r="G1166" s="10">
        <f>INDEX('2_Clean_Data'!$H$2:$H$1360,MATCH($A1166,'2_Clean_Data'!$A$2:$A$1360,0))</f>
        <v>8</v>
      </c>
      <c r="H1166" s="9" t="str">
        <f t="shared" si="73"/>
        <v>Low</v>
      </c>
      <c r="I1166" s="9" t="str">
        <f t="shared" si="74"/>
        <v>OK</v>
      </c>
      <c r="J1166" s="9" t="str">
        <f t="shared" si="75"/>
        <v>Poor</v>
      </c>
    </row>
    <row r="1167" spans="1:10" x14ac:dyDescent="0.3">
      <c r="A1167" s="10">
        <f>'2_Clean_Data'!A1164</f>
        <v>1163</v>
      </c>
      <c r="B1167" s="10">
        <f>INDEX('2_Clean_Data'!$M$2:$M$1360,MATCH($A1167,'2_Clean_Data'!$A$2:$A$1360,0))</f>
        <v>5</v>
      </c>
      <c r="C1167" s="9" t="str">
        <f t="shared" si="72"/>
        <v>Average</v>
      </c>
      <c r="D1167" s="11">
        <f>INDEX('2_Clean_Data'!$L$2:$L$1360,MATCH($A1167,'2_Clean_Data'!$A$2:$A$1360,0))</f>
        <v>9.1999999999999993</v>
      </c>
      <c r="E1167" s="9" t="str">
        <f>IF(D1167&lt;'3_Summary_Tables'!$C$16,"Low",IF(D1167&lt;'3_Summary_Tables'!$C$17,"Medium","High"))</f>
        <v>Low</v>
      </c>
      <c r="F1167" s="12">
        <f>INDEX('2_Clean_Data'!$C$2:$C$1360,MATCH($A1167,'2_Clean_Data'!$A$2:$A$1360,0))</f>
        <v>0.78</v>
      </c>
      <c r="G1167" s="10">
        <f>INDEX('2_Clean_Data'!$H$2:$H$1360,MATCH($A1167,'2_Clean_Data'!$A$2:$A$1360,0))</f>
        <v>66</v>
      </c>
      <c r="H1167" s="9" t="str">
        <f t="shared" si="73"/>
        <v>Moderate</v>
      </c>
      <c r="I1167" s="9" t="str">
        <f t="shared" si="74"/>
        <v>Above limit</v>
      </c>
      <c r="J1167" s="9" t="str">
        <f t="shared" si="75"/>
        <v>Standard</v>
      </c>
    </row>
    <row r="1168" spans="1:10" x14ac:dyDescent="0.3">
      <c r="A1168" s="10">
        <f>'2_Clean_Data'!A1165</f>
        <v>1164</v>
      </c>
      <c r="B1168" s="10">
        <f>INDEX('2_Clean_Data'!$M$2:$M$1360,MATCH($A1168,'2_Clean_Data'!$A$2:$A$1360,0))</f>
        <v>6</v>
      </c>
      <c r="C1168" s="9" t="str">
        <f t="shared" si="72"/>
        <v>Above Average</v>
      </c>
      <c r="D1168" s="11">
        <f>INDEX('2_Clean_Data'!$L$2:$L$1360,MATCH($A1168,'2_Clean_Data'!$A$2:$A$1360,0))</f>
        <v>11.6</v>
      </c>
      <c r="E1168" s="9" t="str">
        <f>IF(D1168&lt;'3_Summary_Tables'!$C$16,"Low",IF(D1168&lt;'3_Summary_Tables'!$C$17,"Medium","High"))</f>
        <v>High</v>
      </c>
      <c r="F1168" s="12">
        <f>INDEX('2_Clean_Data'!$C$2:$C$1360,MATCH($A1168,'2_Clean_Data'!$A$2:$A$1360,0))</f>
        <v>0.57999999999999996</v>
      </c>
      <c r="G1168" s="10">
        <f>INDEX('2_Clean_Data'!$H$2:$H$1360,MATCH($A1168,'2_Clean_Data'!$A$2:$A$1360,0))</f>
        <v>14</v>
      </c>
      <c r="H1168" s="9" t="str">
        <f t="shared" si="73"/>
        <v>Low</v>
      </c>
      <c r="I1168" s="9" t="str">
        <f t="shared" si="74"/>
        <v>OK</v>
      </c>
      <c r="J1168" s="9" t="str">
        <f t="shared" si="75"/>
        <v>Solid</v>
      </c>
    </row>
    <row r="1169" spans="1:10" x14ac:dyDescent="0.3">
      <c r="A1169" s="10">
        <f>'2_Clean_Data'!A1166</f>
        <v>1165</v>
      </c>
      <c r="B1169" s="10">
        <f>INDEX('2_Clean_Data'!$M$2:$M$1360,MATCH($A1169,'2_Clean_Data'!$A$2:$A$1360,0))</f>
        <v>5</v>
      </c>
      <c r="C1169" s="9" t="str">
        <f t="shared" si="72"/>
        <v>Average</v>
      </c>
      <c r="D1169" s="11">
        <f>INDEX('2_Clean_Data'!$L$2:$L$1360,MATCH($A1169,'2_Clean_Data'!$A$2:$A$1360,0))</f>
        <v>9.3000000000000007</v>
      </c>
      <c r="E1169" s="9" t="str">
        <f>IF(D1169&lt;'3_Summary_Tables'!$C$16,"Low",IF(D1169&lt;'3_Summary_Tables'!$C$17,"Medium","High"))</f>
        <v>Low</v>
      </c>
      <c r="F1169" s="12">
        <f>INDEX('2_Clean_Data'!$C$2:$C$1360,MATCH($A1169,'2_Clean_Data'!$A$2:$A$1360,0))</f>
        <v>0.75</v>
      </c>
      <c r="G1169" s="10">
        <f>INDEX('2_Clean_Data'!$H$2:$H$1360,MATCH($A1169,'2_Clean_Data'!$A$2:$A$1360,0))</f>
        <v>89</v>
      </c>
      <c r="H1169" s="9" t="str">
        <f t="shared" si="73"/>
        <v>Moderate</v>
      </c>
      <c r="I1169" s="9" t="str">
        <f t="shared" si="74"/>
        <v>Above limit</v>
      </c>
      <c r="J1169" s="9" t="str">
        <f t="shared" si="75"/>
        <v>Standard</v>
      </c>
    </row>
    <row r="1170" spans="1:10" x14ac:dyDescent="0.3">
      <c r="A1170" s="10">
        <f>'2_Clean_Data'!A1167</f>
        <v>1166</v>
      </c>
      <c r="B1170" s="10">
        <f>INDEX('2_Clean_Data'!$M$2:$M$1360,MATCH($A1170,'2_Clean_Data'!$A$2:$A$1360,0))</f>
        <v>3</v>
      </c>
      <c r="C1170" s="9" t="str">
        <f t="shared" si="72"/>
        <v>Poor</v>
      </c>
      <c r="D1170" s="11">
        <f>INDEX('2_Clean_Data'!$L$2:$L$1360,MATCH($A1170,'2_Clean_Data'!$A$2:$A$1360,0))</f>
        <v>9.8000000000000007</v>
      </c>
      <c r="E1170" s="9" t="str">
        <f>IF(D1170&lt;'3_Summary_Tables'!$C$16,"Low",IF(D1170&lt;'3_Summary_Tables'!$C$17,"Medium","High"))</f>
        <v>Low</v>
      </c>
      <c r="F1170" s="12">
        <f>INDEX('2_Clean_Data'!$C$2:$C$1360,MATCH($A1170,'2_Clean_Data'!$A$2:$A$1360,0))</f>
        <v>0.81499999999999995</v>
      </c>
      <c r="G1170" s="10">
        <f>INDEX('2_Clean_Data'!$H$2:$H$1360,MATCH($A1170,'2_Clean_Data'!$A$2:$A$1360,0))</f>
        <v>29</v>
      </c>
      <c r="H1170" s="9" t="str">
        <f t="shared" si="73"/>
        <v>Low</v>
      </c>
      <c r="I1170" s="9" t="str">
        <f t="shared" si="74"/>
        <v>Above limit</v>
      </c>
      <c r="J1170" s="9" t="str">
        <f t="shared" si="75"/>
        <v>Poor</v>
      </c>
    </row>
    <row r="1171" spans="1:10" x14ac:dyDescent="0.3">
      <c r="A1171" s="10">
        <f>'2_Clean_Data'!A1168</f>
        <v>1167</v>
      </c>
      <c r="B1171" s="10">
        <f>INDEX('2_Clean_Data'!$M$2:$M$1360,MATCH($A1171,'2_Clean_Data'!$A$2:$A$1360,0))</f>
        <v>5</v>
      </c>
      <c r="C1171" s="9" t="str">
        <f t="shared" si="72"/>
        <v>Average</v>
      </c>
      <c r="D1171" s="11">
        <f>INDEX('2_Clean_Data'!$L$2:$L$1360,MATCH($A1171,'2_Clean_Data'!$A$2:$A$1360,0))</f>
        <v>9.9</v>
      </c>
      <c r="E1171" s="9" t="str">
        <f>IF(D1171&lt;'3_Summary_Tables'!$C$16,"Low",IF(D1171&lt;'3_Summary_Tables'!$C$17,"Medium","High"))</f>
        <v>Low</v>
      </c>
      <c r="F1171" s="12">
        <f>INDEX('2_Clean_Data'!$C$2:$C$1360,MATCH($A1171,'2_Clean_Data'!$A$2:$A$1360,0))</f>
        <v>0.56000000000000005</v>
      </c>
      <c r="G1171" s="10">
        <f>INDEX('2_Clean_Data'!$H$2:$H$1360,MATCH($A1171,'2_Clean_Data'!$A$2:$A$1360,0))</f>
        <v>100</v>
      </c>
      <c r="H1171" s="9" t="str">
        <f t="shared" si="73"/>
        <v>Moderate</v>
      </c>
      <c r="I1171" s="9" t="str">
        <f t="shared" si="74"/>
        <v>OK</v>
      </c>
      <c r="J1171" s="9" t="str">
        <f t="shared" si="75"/>
        <v>Standard</v>
      </c>
    </row>
    <row r="1172" spans="1:10" x14ac:dyDescent="0.3">
      <c r="A1172" s="10">
        <f>'2_Clean_Data'!A1169</f>
        <v>1168</v>
      </c>
      <c r="B1172" s="10">
        <f>INDEX('2_Clean_Data'!$M$2:$M$1360,MATCH($A1172,'2_Clean_Data'!$A$2:$A$1360,0))</f>
        <v>5</v>
      </c>
      <c r="C1172" s="9" t="str">
        <f t="shared" si="72"/>
        <v>Average</v>
      </c>
      <c r="D1172" s="11">
        <f>INDEX('2_Clean_Data'!$L$2:$L$1360,MATCH($A1172,'2_Clean_Data'!$A$2:$A$1360,0))</f>
        <v>10</v>
      </c>
      <c r="E1172" s="9" t="str">
        <f>IF(D1172&lt;'3_Summary_Tables'!$C$16,"Low",IF(D1172&lt;'3_Summary_Tables'!$C$17,"Medium","High"))</f>
        <v>Medium</v>
      </c>
      <c r="F1172" s="12">
        <f>INDEX('2_Clean_Data'!$C$2:$C$1360,MATCH($A1172,'2_Clean_Data'!$A$2:$A$1360,0))</f>
        <v>0.88500000000000001</v>
      </c>
      <c r="G1172" s="10">
        <f>INDEX('2_Clean_Data'!$H$2:$H$1360,MATCH($A1172,'2_Clean_Data'!$A$2:$A$1360,0))</f>
        <v>31</v>
      </c>
      <c r="H1172" s="9" t="str">
        <f t="shared" si="73"/>
        <v>Low</v>
      </c>
      <c r="I1172" s="9" t="str">
        <f t="shared" si="74"/>
        <v>Above limit</v>
      </c>
      <c r="J1172" s="9" t="str">
        <f t="shared" si="75"/>
        <v>Standard</v>
      </c>
    </row>
    <row r="1173" spans="1:10" x14ac:dyDescent="0.3">
      <c r="A1173" s="10">
        <f>'2_Clean_Data'!A1170</f>
        <v>1169</v>
      </c>
      <c r="B1173" s="10">
        <f>INDEX('2_Clean_Data'!$M$2:$M$1360,MATCH($A1173,'2_Clean_Data'!$A$2:$A$1360,0))</f>
        <v>6</v>
      </c>
      <c r="C1173" s="9" t="str">
        <f t="shared" si="72"/>
        <v>Above Average</v>
      </c>
      <c r="D1173" s="11">
        <f>INDEX('2_Clean_Data'!$L$2:$L$1360,MATCH($A1173,'2_Clean_Data'!$A$2:$A$1360,0))</f>
        <v>12.2</v>
      </c>
      <c r="E1173" s="9" t="str">
        <f>IF(D1173&lt;'3_Summary_Tables'!$C$16,"Low",IF(D1173&lt;'3_Summary_Tables'!$C$17,"Medium","High"))</f>
        <v>High</v>
      </c>
      <c r="F1173" s="12">
        <f>INDEX('2_Clean_Data'!$C$2:$C$1360,MATCH($A1173,'2_Clean_Data'!$A$2:$A$1360,0))</f>
        <v>0.49</v>
      </c>
      <c r="G1173" s="10">
        <f>INDEX('2_Clean_Data'!$H$2:$H$1360,MATCH($A1173,'2_Clean_Data'!$A$2:$A$1360,0))</f>
        <v>74</v>
      </c>
      <c r="H1173" s="9" t="str">
        <f t="shared" si="73"/>
        <v>Moderate</v>
      </c>
      <c r="I1173" s="9" t="str">
        <f t="shared" si="74"/>
        <v>OK</v>
      </c>
      <c r="J1173" s="9" t="str">
        <f t="shared" si="75"/>
        <v>Solid</v>
      </c>
    </row>
    <row r="1174" spans="1:10" x14ac:dyDescent="0.3">
      <c r="A1174" s="10">
        <f>'2_Clean_Data'!A1171</f>
        <v>1170</v>
      </c>
      <c r="B1174" s="10">
        <f>INDEX('2_Clean_Data'!$M$2:$M$1360,MATCH($A1174,'2_Clean_Data'!$A$2:$A$1360,0))</f>
        <v>6</v>
      </c>
      <c r="C1174" s="9" t="str">
        <f t="shared" si="72"/>
        <v>Above Average</v>
      </c>
      <c r="D1174" s="11">
        <f>INDEX('2_Clean_Data'!$L$2:$L$1360,MATCH($A1174,'2_Clean_Data'!$A$2:$A$1360,0))</f>
        <v>9.9</v>
      </c>
      <c r="E1174" s="9" t="str">
        <f>IF(D1174&lt;'3_Summary_Tables'!$C$16,"Low",IF(D1174&lt;'3_Summary_Tables'!$C$17,"Medium","High"))</f>
        <v>Low</v>
      </c>
      <c r="F1174" s="12">
        <f>INDEX('2_Clean_Data'!$C$2:$C$1360,MATCH($A1174,'2_Clean_Data'!$A$2:$A$1360,0))</f>
        <v>0.45</v>
      </c>
      <c r="G1174" s="10">
        <f>INDEX('2_Clean_Data'!$H$2:$H$1360,MATCH($A1174,'2_Clean_Data'!$A$2:$A$1360,0))</f>
        <v>28</v>
      </c>
      <c r="H1174" s="9" t="str">
        <f t="shared" si="73"/>
        <v>Low</v>
      </c>
      <c r="I1174" s="9" t="str">
        <f t="shared" si="74"/>
        <v>OK</v>
      </c>
      <c r="J1174" s="9" t="str">
        <f t="shared" si="75"/>
        <v>Solid</v>
      </c>
    </row>
    <row r="1175" spans="1:10" x14ac:dyDescent="0.3">
      <c r="A1175" s="10">
        <f>'2_Clean_Data'!A1172</f>
        <v>1171</v>
      </c>
      <c r="B1175" s="10">
        <f>INDEX('2_Clean_Data'!$M$2:$M$1360,MATCH($A1175,'2_Clean_Data'!$A$2:$A$1360,0))</f>
        <v>6</v>
      </c>
      <c r="C1175" s="9" t="str">
        <f t="shared" si="72"/>
        <v>Above Average</v>
      </c>
      <c r="D1175" s="11">
        <f>INDEX('2_Clean_Data'!$L$2:$L$1360,MATCH($A1175,'2_Clean_Data'!$A$2:$A$1360,0))</f>
        <v>10.8</v>
      </c>
      <c r="E1175" s="9" t="str">
        <f>IF(D1175&lt;'3_Summary_Tables'!$C$16,"Low",IF(D1175&lt;'3_Summary_Tables'!$C$17,"Medium","High"))</f>
        <v>Medium</v>
      </c>
      <c r="F1175" s="12">
        <f>INDEX('2_Clean_Data'!$C$2:$C$1360,MATCH($A1175,'2_Clean_Data'!$A$2:$A$1360,0))</f>
        <v>0.56999999999999995</v>
      </c>
      <c r="G1175" s="10">
        <f>INDEX('2_Clean_Data'!$H$2:$H$1360,MATCH($A1175,'2_Clean_Data'!$A$2:$A$1360,0))</f>
        <v>35</v>
      </c>
      <c r="H1175" s="9" t="str">
        <f t="shared" si="73"/>
        <v>Low</v>
      </c>
      <c r="I1175" s="9" t="str">
        <f t="shared" si="74"/>
        <v>OK</v>
      </c>
      <c r="J1175" s="9" t="str">
        <f t="shared" si="75"/>
        <v>Solid</v>
      </c>
    </row>
    <row r="1176" spans="1:10" x14ac:dyDescent="0.3">
      <c r="A1176" s="10">
        <f>'2_Clean_Data'!A1173</f>
        <v>1172</v>
      </c>
      <c r="B1176" s="10">
        <f>INDEX('2_Clean_Data'!$M$2:$M$1360,MATCH($A1176,'2_Clean_Data'!$A$2:$A$1360,0))</f>
        <v>5</v>
      </c>
      <c r="C1176" s="9" t="str">
        <f t="shared" si="72"/>
        <v>Average</v>
      </c>
      <c r="D1176" s="11">
        <f>INDEX('2_Clean_Data'!$L$2:$L$1360,MATCH($A1176,'2_Clean_Data'!$A$2:$A$1360,0))</f>
        <v>9.6</v>
      </c>
      <c r="E1176" s="9" t="str">
        <f>IF(D1176&lt;'3_Summary_Tables'!$C$16,"Low",IF(D1176&lt;'3_Summary_Tables'!$C$17,"Medium","High"))</f>
        <v>Low</v>
      </c>
      <c r="F1176" s="12">
        <f>INDEX('2_Clean_Data'!$C$2:$C$1360,MATCH($A1176,'2_Clean_Data'!$A$2:$A$1360,0))</f>
        <v>0.83</v>
      </c>
      <c r="G1176" s="10">
        <f>INDEX('2_Clean_Data'!$H$2:$H$1360,MATCH($A1176,'2_Clean_Data'!$A$2:$A$1360,0))</f>
        <v>25</v>
      </c>
      <c r="H1176" s="9" t="str">
        <f t="shared" si="73"/>
        <v>Low</v>
      </c>
      <c r="I1176" s="9" t="str">
        <f t="shared" si="74"/>
        <v>Above limit</v>
      </c>
      <c r="J1176" s="9" t="str">
        <f t="shared" si="75"/>
        <v>Standard</v>
      </c>
    </row>
    <row r="1177" spans="1:10" x14ac:dyDescent="0.3">
      <c r="A1177" s="10">
        <f>'2_Clean_Data'!A1174</f>
        <v>1173</v>
      </c>
      <c r="B1177" s="10">
        <f>INDEX('2_Clean_Data'!$M$2:$M$1360,MATCH($A1177,'2_Clean_Data'!$A$2:$A$1360,0))</f>
        <v>5</v>
      </c>
      <c r="C1177" s="9" t="str">
        <f t="shared" si="72"/>
        <v>Average</v>
      </c>
      <c r="D1177" s="11">
        <f>INDEX('2_Clean_Data'!$L$2:$L$1360,MATCH($A1177,'2_Clean_Data'!$A$2:$A$1360,0))</f>
        <v>9.9</v>
      </c>
      <c r="E1177" s="9" t="str">
        <f>IF(D1177&lt;'3_Summary_Tables'!$C$16,"Low",IF(D1177&lt;'3_Summary_Tables'!$C$17,"Medium","High"))</f>
        <v>Low</v>
      </c>
      <c r="F1177" s="12">
        <f>INDEX('2_Clean_Data'!$C$2:$C$1360,MATCH($A1177,'2_Clean_Data'!$A$2:$A$1360,0))</f>
        <v>0.6</v>
      </c>
      <c r="G1177" s="10">
        <f>INDEX('2_Clean_Data'!$H$2:$H$1360,MATCH($A1177,'2_Clean_Data'!$A$2:$A$1360,0))</f>
        <v>105</v>
      </c>
      <c r="H1177" s="9" t="str">
        <f t="shared" si="73"/>
        <v>High</v>
      </c>
      <c r="I1177" s="9" t="str">
        <f t="shared" si="74"/>
        <v>OK</v>
      </c>
      <c r="J1177" s="9" t="str">
        <f t="shared" si="75"/>
        <v>Standard</v>
      </c>
    </row>
    <row r="1178" spans="1:10" x14ac:dyDescent="0.3">
      <c r="A1178" s="10">
        <f>'2_Clean_Data'!A1175</f>
        <v>1174</v>
      </c>
      <c r="B1178" s="10">
        <f>INDEX('2_Clean_Data'!$M$2:$M$1360,MATCH($A1178,'2_Clean_Data'!$A$2:$A$1360,0))</f>
        <v>5</v>
      </c>
      <c r="C1178" s="9" t="str">
        <f t="shared" si="72"/>
        <v>Average</v>
      </c>
      <c r="D1178" s="11">
        <f>INDEX('2_Clean_Data'!$L$2:$L$1360,MATCH($A1178,'2_Clean_Data'!$A$2:$A$1360,0))</f>
        <v>9.5</v>
      </c>
      <c r="E1178" s="9" t="str">
        <f>IF(D1178&lt;'3_Summary_Tables'!$C$16,"Low",IF(D1178&lt;'3_Summary_Tables'!$C$17,"Medium","High"))</f>
        <v>Low</v>
      </c>
      <c r="F1178" s="12">
        <f>INDEX('2_Clean_Data'!$C$2:$C$1360,MATCH($A1178,'2_Clean_Data'!$A$2:$A$1360,0))</f>
        <v>0.755</v>
      </c>
      <c r="G1178" s="10">
        <f>INDEX('2_Clean_Data'!$H$2:$H$1360,MATCH($A1178,'2_Clean_Data'!$A$2:$A$1360,0))</f>
        <v>84</v>
      </c>
      <c r="H1178" s="9" t="str">
        <f t="shared" si="73"/>
        <v>Moderate</v>
      </c>
      <c r="I1178" s="9" t="str">
        <f t="shared" si="74"/>
        <v>Above limit</v>
      </c>
      <c r="J1178" s="9" t="str">
        <f t="shared" si="75"/>
        <v>Standard</v>
      </c>
    </row>
    <row r="1179" spans="1:10" x14ac:dyDescent="0.3">
      <c r="A1179" s="10">
        <f>'2_Clean_Data'!A1176</f>
        <v>1175</v>
      </c>
      <c r="B1179" s="10">
        <f>INDEX('2_Clean_Data'!$M$2:$M$1360,MATCH($A1179,'2_Clean_Data'!$A$2:$A$1360,0))</f>
        <v>5</v>
      </c>
      <c r="C1179" s="9" t="str">
        <f t="shared" si="72"/>
        <v>Average</v>
      </c>
      <c r="D1179" s="11">
        <f>INDEX('2_Clean_Data'!$L$2:$L$1360,MATCH($A1179,'2_Clean_Data'!$A$2:$A$1360,0))</f>
        <v>9.1999999999999993</v>
      </c>
      <c r="E1179" s="9" t="str">
        <f>IF(D1179&lt;'3_Summary_Tables'!$C$16,"Low",IF(D1179&lt;'3_Summary_Tables'!$C$17,"Medium","High"))</f>
        <v>Low</v>
      </c>
      <c r="F1179" s="12">
        <f>INDEX('2_Clean_Data'!$C$2:$C$1360,MATCH($A1179,'2_Clean_Data'!$A$2:$A$1360,0))</f>
        <v>0.81</v>
      </c>
      <c r="G1179" s="10">
        <f>INDEX('2_Clean_Data'!$H$2:$H$1360,MATCH($A1179,'2_Clean_Data'!$A$2:$A$1360,0))</f>
        <v>85</v>
      </c>
      <c r="H1179" s="9" t="str">
        <f t="shared" si="73"/>
        <v>Moderate</v>
      </c>
      <c r="I1179" s="9" t="str">
        <f t="shared" si="74"/>
        <v>Above limit</v>
      </c>
      <c r="J1179" s="9" t="str">
        <f t="shared" si="75"/>
        <v>Standard</v>
      </c>
    </row>
    <row r="1180" spans="1:10" x14ac:dyDescent="0.3">
      <c r="A1180" s="10">
        <f>'2_Clean_Data'!A1177</f>
        <v>1176</v>
      </c>
      <c r="B1180" s="10">
        <f>INDEX('2_Clean_Data'!$M$2:$M$1360,MATCH($A1180,'2_Clean_Data'!$A$2:$A$1360,0))</f>
        <v>5</v>
      </c>
      <c r="C1180" s="9" t="str">
        <f t="shared" si="72"/>
        <v>Average</v>
      </c>
      <c r="D1180" s="11">
        <f>INDEX('2_Clean_Data'!$L$2:$L$1360,MATCH($A1180,'2_Clean_Data'!$A$2:$A$1360,0))</f>
        <v>9.6</v>
      </c>
      <c r="E1180" s="9" t="str">
        <f>IF(D1180&lt;'3_Summary_Tables'!$C$16,"Low",IF(D1180&lt;'3_Summary_Tables'!$C$17,"Medium","High"))</f>
        <v>Low</v>
      </c>
      <c r="F1180" s="12">
        <f>INDEX('2_Clean_Data'!$C$2:$C$1360,MATCH($A1180,'2_Clean_Data'!$A$2:$A$1360,0))</f>
        <v>0.64</v>
      </c>
      <c r="G1180" s="10">
        <f>INDEX('2_Clean_Data'!$H$2:$H$1360,MATCH($A1180,'2_Clean_Data'!$A$2:$A$1360,0))</f>
        <v>23</v>
      </c>
      <c r="H1180" s="9" t="str">
        <f t="shared" si="73"/>
        <v>Low</v>
      </c>
      <c r="I1180" s="9" t="str">
        <f t="shared" si="74"/>
        <v>OK</v>
      </c>
      <c r="J1180" s="9" t="str">
        <f t="shared" si="75"/>
        <v>Standard</v>
      </c>
    </row>
    <row r="1181" spans="1:10" x14ac:dyDescent="0.3">
      <c r="A1181" s="10">
        <f>'2_Clean_Data'!A1178</f>
        <v>1177</v>
      </c>
      <c r="B1181" s="10">
        <f>INDEX('2_Clean_Data'!$M$2:$M$1360,MATCH($A1181,'2_Clean_Data'!$A$2:$A$1360,0))</f>
        <v>5</v>
      </c>
      <c r="C1181" s="9" t="str">
        <f t="shared" si="72"/>
        <v>Average</v>
      </c>
      <c r="D1181" s="11">
        <f>INDEX('2_Clean_Data'!$L$2:$L$1360,MATCH($A1181,'2_Clean_Data'!$A$2:$A$1360,0))</f>
        <v>10.3</v>
      </c>
      <c r="E1181" s="9" t="str">
        <f>IF(D1181&lt;'3_Summary_Tables'!$C$16,"Low",IF(D1181&lt;'3_Summary_Tables'!$C$17,"Medium","High"))</f>
        <v>Medium</v>
      </c>
      <c r="F1181" s="12">
        <f>INDEX('2_Clean_Data'!$C$2:$C$1360,MATCH($A1181,'2_Clean_Data'!$A$2:$A$1360,0))</f>
        <v>0.64</v>
      </c>
      <c r="G1181" s="10">
        <f>INDEX('2_Clean_Data'!$H$2:$H$1360,MATCH($A1181,'2_Clean_Data'!$A$2:$A$1360,0))</f>
        <v>49</v>
      </c>
      <c r="H1181" s="9" t="str">
        <f t="shared" si="73"/>
        <v>Low</v>
      </c>
      <c r="I1181" s="9" t="str">
        <f t="shared" si="74"/>
        <v>OK</v>
      </c>
      <c r="J1181" s="9" t="str">
        <f t="shared" si="75"/>
        <v>Standard</v>
      </c>
    </row>
    <row r="1182" spans="1:10" x14ac:dyDescent="0.3">
      <c r="A1182" s="10">
        <f>'2_Clean_Data'!A1179</f>
        <v>1178</v>
      </c>
      <c r="B1182" s="10">
        <f>INDEX('2_Clean_Data'!$M$2:$M$1360,MATCH($A1182,'2_Clean_Data'!$A$2:$A$1360,0))</f>
        <v>5</v>
      </c>
      <c r="C1182" s="9" t="str">
        <f t="shared" si="72"/>
        <v>Average</v>
      </c>
      <c r="D1182" s="11">
        <f>INDEX('2_Clean_Data'!$L$2:$L$1360,MATCH($A1182,'2_Clean_Data'!$A$2:$A$1360,0))</f>
        <v>9.6999999999999993</v>
      </c>
      <c r="E1182" s="9" t="str">
        <f>IF(D1182&lt;'3_Summary_Tables'!$C$16,"Low",IF(D1182&lt;'3_Summary_Tables'!$C$17,"Medium","High"))</f>
        <v>Low</v>
      </c>
      <c r="F1182" s="12">
        <f>INDEX('2_Clean_Data'!$C$2:$C$1360,MATCH($A1182,'2_Clean_Data'!$A$2:$A$1360,0))</f>
        <v>0.48</v>
      </c>
      <c r="G1182" s="10">
        <f>INDEX('2_Clean_Data'!$H$2:$H$1360,MATCH($A1182,'2_Clean_Data'!$A$2:$A$1360,0))</f>
        <v>111</v>
      </c>
      <c r="H1182" s="9" t="str">
        <f t="shared" si="73"/>
        <v>High</v>
      </c>
      <c r="I1182" s="9" t="str">
        <f t="shared" si="74"/>
        <v>OK</v>
      </c>
      <c r="J1182" s="9" t="str">
        <f t="shared" si="75"/>
        <v>Standard</v>
      </c>
    </row>
    <row r="1183" spans="1:10" x14ac:dyDescent="0.3">
      <c r="A1183" s="10">
        <f>'2_Clean_Data'!A1180</f>
        <v>1179</v>
      </c>
      <c r="B1183" s="10">
        <f>INDEX('2_Clean_Data'!$M$2:$M$1360,MATCH($A1183,'2_Clean_Data'!$A$2:$A$1360,0))</f>
        <v>6</v>
      </c>
      <c r="C1183" s="9" t="str">
        <f t="shared" si="72"/>
        <v>Above Average</v>
      </c>
      <c r="D1183" s="11">
        <f>INDEX('2_Clean_Data'!$L$2:$L$1360,MATCH($A1183,'2_Clean_Data'!$A$2:$A$1360,0))</f>
        <v>12.5</v>
      </c>
      <c r="E1183" s="9" t="str">
        <f>IF(D1183&lt;'3_Summary_Tables'!$C$16,"Low",IF(D1183&lt;'3_Summary_Tables'!$C$17,"Medium","High"))</f>
        <v>High</v>
      </c>
      <c r="F1183" s="12">
        <f>INDEX('2_Clean_Data'!$C$2:$C$1360,MATCH($A1183,'2_Clean_Data'!$A$2:$A$1360,0))</f>
        <v>0.49</v>
      </c>
      <c r="G1183" s="10">
        <f>INDEX('2_Clean_Data'!$H$2:$H$1360,MATCH($A1183,'2_Clean_Data'!$A$2:$A$1360,0))</f>
        <v>33</v>
      </c>
      <c r="H1183" s="9" t="str">
        <f t="shared" si="73"/>
        <v>Low</v>
      </c>
      <c r="I1183" s="9" t="str">
        <f t="shared" si="74"/>
        <v>OK</v>
      </c>
      <c r="J1183" s="9" t="str">
        <f t="shared" si="75"/>
        <v>Solid</v>
      </c>
    </row>
    <row r="1184" spans="1:10" x14ac:dyDescent="0.3">
      <c r="A1184" s="10">
        <f>'2_Clean_Data'!A1181</f>
        <v>1180</v>
      </c>
      <c r="B1184" s="10">
        <f>INDEX('2_Clean_Data'!$M$2:$M$1360,MATCH($A1184,'2_Clean_Data'!$A$2:$A$1360,0))</f>
        <v>5</v>
      </c>
      <c r="C1184" s="9" t="str">
        <f t="shared" si="72"/>
        <v>Average</v>
      </c>
      <c r="D1184" s="11">
        <f>INDEX('2_Clean_Data'!$L$2:$L$1360,MATCH($A1184,'2_Clean_Data'!$A$2:$A$1360,0))</f>
        <v>11</v>
      </c>
      <c r="E1184" s="9" t="str">
        <f>IF(D1184&lt;'3_Summary_Tables'!$C$16,"Low",IF(D1184&lt;'3_Summary_Tables'!$C$17,"Medium","High"))</f>
        <v>Medium</v>
      </c>
      <c r="F1184" s="12">
        <f>INDEX('2_Clean_Data'!$C$2:$C$1360,MATCH($A1184,'2_Clean_Data'!$A$2:$A$1360,0))</f>
        <v>0.64</v>
      </c>
      <c r="G1184" s="10">
        <f>INDEX('2_Clean_Data'!$H$2:$H$1360,MATCH($A1184,'2_Clean_Data'!$A$2:$A$1360,0))</f>
        <v>33</v>
      </c>
      <c r="H1184" s="9" t="str">
        <f t="shared" si="73"/>
        <v>Low</v>
      </c>
      <c r="I1184" s="9" t="str">
        <f t="shared" si="74"/>
        <v>OK</v>
      </c>
      <c r="J1184" s="9" t="str">
        <f t="shared" si="75"/>
        <v>Standard</v>
      </c>
    </row>
    <row r="1185" spans="1:10" x14ac:dyDescent="0.3">
      <c r="A1185" s="10">
        <f>'2_Clean_Data'!A1182</f>
        <v>1181</v>
      </c>
      <c r="B1185" s="10">
        <f>INDEX('2_Clean_Data'!$M$2:$M$1360,MATCH($A1185,'2_Clean_Data'!$A$2:$A$1360,0))</f>
        <v>5</v>
      </c>
      <c r="C1185" s="9" t="str">
        <f t="shared" si="72"/>
        <v>Average</v>
      </c>
      <c r="D1185" s="11">
        <f>INDEX('2_Clean_Data'!$L$2:$L$1360,MATCH($A1185,'2_Clean_Data'!$A$2:$A$1360,0))</f>
        <v>9.8000000000000007</v>
      </c>
      <c r="E1185" s="9" t="str">
        <f>IF(D1185&lt;'3_Summary_Tables'!$C$16,"Low",IF(D1185&lt;'3_Summary_Tables'!$C$17,"Medium","High"))</f>
        <v>Low</v>
      </c>
      <c r="F1185" s="12">
        <f>INDEX('2_Clean_Data'!$C$2:$C$1360,MATCH($A1185,'2_Clean_Data'!$A$2:$A$1360,0))</f>
        <v>0.62</v>
      </c>
      <c r="G1185" s="10">
        <f>INDEX('2_Clean_Data'!$H$2:$H$1360,MATCH($A1185,'2_Clean_Data'!$A$2:$A$1360,0))</f>
        <v>12</v>
      </c>
      <c r="H1185" s="9" t="str">
        <f t="shared" si="73"/>
        <v>Low</v>
      </c>
      <c r="I1185" s="9" t="str">
        <f t="shared" si="74"/>
        <v>OK</v>
      </c>
      <c r="J1185" s="9" t="str">
        <f t="shared" si="75"/>
        <v>Standard</v>
      </c>
    </row>
    <row r="1186" spans="1:10" x14ac:dyDescent="0.3">
      <c r="A1186" s="10">
        <f>'2_Clean_Data'!A1183</f>
        <v>1182</v>
      </c>
      <c r="B1186" s="10">
        <f>INDEX('2_Clean_Data'!$M$2:$M$1360,MATCH($A1186,'2_Clean_Data'!$A$2:$A$1360,0))</f>
        <v>5</v>
      </c>
      <c r="C1186" s="9" t="str">
        <f t="shared" si="72"/>
        <v>Average</v>
      </c>
      <c r="D1186" s="11">
        <f>INDEX('2_Clean_Data'!$L$2:$L$1360,MATCH($A1186,'2_Clean_Data'!$A$2:$A$1360,0))</f>
        <v>10.199999999999999</v>
      </c>
      <c r="E1186" s="9" t="str">
        <f>IF(D1186&lt;'3_Summary_Tables'!$C$16,"Low",IF(D1186&lt;'3_Summary_Tables'!$C$17,"Medium","High"))</f>
        <v>Medium</v>
      </c>
      <c r="F1186" s="12">
        <f>INDEX('2_Clean_Data'!$C$2:$C$1360,MATCH($A1186,'2_Clean_Data'!$A$2:$A$1360,0))</f>
        <v>0.52</v>
      </c>
      <c r="G1186" s="10">
        <f>INDEX('2_Clean_Data'!$H$2:$H$1360,MATCH($A1186,'2_Clean_Data'!$A$2:$A$1360,0))</f>
        <v>59</v>
      </c>
      <c r="H1186" s="9" t="str">
        <f t="shared" si="73"/>
        <v>Moderate</v>
      </c>
      <c r="I1186" s="9" t="str">
        <f t="shared" si="74"/>
        <v>OK</v>
      </c>
      <c r="J1186" s="9" t="str">
        <f t="shared" si="75"/>
        <v>Standard</v>
      </c>
    </row>
    <row r="1187" spans="1:10" x14ac:dyDescent="0.3">
      <c r="A1187" s="10">
        <f>'2_Clean_Data'!A1184</f>
        <v>1183</v>
      </c>
      <c r="B1187" s="10">
        <f>INDEX('2_Clean_Data'!$M$2:$M$1360,MATCH($A1187,'2_Clean_Data'!$A$2:$A$1360,0))</f>
        <v>5</v>
      </c>
      <c r="C1187" s="9" t="str">
        <f t="shared" si="72"/>
        <v>Average</v>
      </c>
      <c r="D1187" s="11">
        <f>INDEX('2_Clean_Data'!$L$2:$L$1360,MATCH($A1187,'2_Clean_Data'!$A$2:$A$1360,0))</f>
        <v>9.1999999999999993</v>
      </c>
      <c r="E1187" s="9" t="str">
        <f>IF(D1187&lt;'3_Summary_Tables'!$C$16,"Low",IF(D1187&lt;'3_Summary_Tables'!$C$17,"Medium","High"))</f>
        <v>Low</v>
      </c>
      <c r="F1187" s="12">
        <f>INDEX('2_Clean_Data'!$C$2:$C$1360,MATCH($A1187,'2_Clean_Data'!$A$2:$A$1360,0))</f>
        <v>0.56999999999999995</v>
      </c>
      <c r="G1187" s="10">
        <f>INDEX('2_Clean_Data'!$H$2:$H$1360,MATCH($A1187,'2_Clean_Data'!$A$2:$A$1360,0))</f>
        <v>73</v>
      </c>
      <c r="H1187" s="9" t="str">
        <f t="shared" si="73"/>
        <v>Moderate</v>
      </c>
      <c r="I1187" s="9" t="str">
        <f t="shared" si="74"/>
        <v>OK</v>
      </c>
      <c r="J1187" s="9" t="str">
        <f t="shared" si="75"/>
        <v>Standard</v>
      </c>
    </row>
    <row r="1188" spans="1:10" x14ac:dyDescent="0.3">
      <c r="A1188" s="10">
        <f>'2_Clean_Data'!A1185</f>
        <v>1184</v>
      </c>
      <c r="B1188" s="10">
        <f>INDEX('2_Clean_Data'!$M$2:$M$1360,MATCH($A1188,'2_Clean_Data'!$A$2:$A$1360,0))</f>
        <v>6</v>
      </c>
      <c r="C1188" s="9" t="str">
        <f t="shared" si="72"/>
        <v>Above Average</v>
      </c>
      <c r="D1188" s="11">
        <f>INDEX('2_Clean_Data'!$L$2:$L$1360,MATCH($A1188,'2_Clean_Data'!$A$2:$A$1360,0))</f>
        <v>9.5500000000000007</v>
      </c>
      <c r="E1188" s="9" t="str">
        <f>IF(D1188&lt;'3_Summary_Tables'!$C$16,"Low",IF(D1188&lt;'3_Summary_Tables'!$C$17,"Medium","High"))</f>
        <v>Low</v>
      </c>
      <c r="F1188" s="12">
        <f>INDEX('2_Clean_Data'!$C$2:$C$1360,MATCH($A1188,'2_Clean_Data'!$A$2:$A$1360,0))</f>
        <v>0.68500000000000005</v>
      </c>
      <c r="G1188" s="10">
        <f>INDEX('2_Clean_Data'!$H$2:$H$1360,MATCH($A1188,'2_Clean_Data'!$A$2:$A$1360,0))</f>
        <v>12</v>
      </c>
      <c r="H1188" s="9" t="str">
        <f t="shared" si="73"/>
        <v>Low</v>
      </c>
      <c r="I1188" s="9" t="str">
        <f t="shared" si="74"/>
        <v>OK</v>
      </c>
      <c r="J1188" s="9" t="str">
        <f t="shared" si="75"/>
        <v>Solid</v>
      </c>
    </row>
    <row r="1189" spans="1:10" x14ac:dyDescent="0.3">
      <c r="A1189" s="10">
        <f>'2_Clean_Data'!A1186</f>
        <v>1185</v>
      </c>
      <c r="B1189" s="10">
        <f>INDEX('2_Clean_Data'!$M$2:$M$1360,MATCH($A1189,'2_Clean_Data'!$A$2:$A$1360,0))</f>
        <v>5</v>
      </c>
      <c r="C1189" s="9" t="str">
        <f t="shared" si="72"/>
        <v>Average</v>
      </c>
      <c r="D1189" s="11">
        <f>INDEX('2_Clean_Data'!$L$2:$L$1360,MATCH($A1189,'2_Clean_Data'!$A$2:$A$1360,0))</f>
        <v>9.5500000000000007</v>
      </c>
      <c r="E1189" s="9" t="str">
        <f>IF(D1189&lt;'3_Summary_Tables'!$C$16,"Low",IF(D1189&lt;'3_Summary_Tables'!$C$17,"Medium","High"))</f>
        <v>Low</v>
      </c>
      <c r="F1189" s="12">
        <f>INDEX('2_Clean_Data'!$C$2:$C$1360,MATCH($A1189,'2_Clean_Data'!$A$2:$A$1360,0))</f>
        <v>0.67500000000000004</v>
      </c>
      <c r="G1189" s="10">
        <f>INDEX('2_Clean_Data'!$H$2:$H$1360,MATCH($A1189,'2_Clean_Data'!$A$2:$A$1360,0))</f>
        <v>11</v>
      </c>
      <c r="H1189" s="9" t="str">
        <f t="shared" si="73"/>
        <v>Low</v>
      </c>
      <c r="I1189" s="9" t="str">
        <f t="shared" si="74"/>
        <v>OK</v>
      </c>
      <c r="J1189" s="9" t="str">
        <f t="shared" si="75"/>
        <v>Standard</v>
      </c>
    </row>
    <row r="1190" spans="1:10" x14ac:dyDescent="0.3">
      <c r="A1190" s="10">
        <f>'2_Clean_Data'!A1187</f>
        <v>1186</v>
      </c>
      <c r="B1190" s="10">
        <f>INDEX('2_Clean_Data'!$M$2:$M$1360,MATCH($A1190,'2_Clean_Data'!$A$2:$A$1360,0))</f>
        <v>5</v>
      </c>
      <c r="C1190" s="9" t="str">
        <f t="shared" si="72"/>
        <v>Average</v>
      </c>
      <c r="D1190" s="11">
        <f>INDEX('2_Clean_Data'!$L$2:$L$1360,MATCH($A1190,'2_Clean_Data'!$A$2:$A$1360,0))</f>
        <v>9.9</v>
      </c>
      <c r="E1190" s="9" t="str">
        <f>IF(D1190&lt;'3_Summary_Tables'!$C$16,"Low",IF(D1190&lt;'3_Summary_Tables'!$C$17,"Medium","High"))</f>
        <v>Low</v>
      </c>
      <c r="F1190" s="12">
        <f>INDEX('2_Clean_Data'!$C$2:$C$1360,MATCH($A1190,'2_Clean_Data'!$A$2:$A$1360,0))</f>
        <v>0.59</v>
      </c>
      <c r="G1190" s="10">
        <f>INDEX('2_Clean_Data'!$H$2:$H$1360,MATCH($A1190,'2_Clean_Data'!$A$2:$A$1360,0))</f>
        <v>104</v>
      </c>
      <c r="H1190" s="9" t="str">
        <f t="shared" si="73"/>
        <v>High</v>
      </c>
      <c r="I1190" s="9" t="str">
        <f t="shared" si="74"/>
        <v>OK</v>
      </c>
      <c r="J1190" s="9" t="str">
        <f t="shared" si="75"/>
        <v>Standard</v>
      </c>
    </row>
    <row r="1191" spans="1:10" x14ac:dyDescent="0.3">
      <c r="A1191" s="10">
        <f>'2_Clean_Data'!A1188</f>
        <v>1187</v>
      </c>
      <c r="B1191" s="10">
        <f>INDEX('2_Clean_Data'!$M$2:$M$1360,MATCH($A1191,'2_Clean_Data'!$A$2:$A$1360,0))</f>
        <v>7</v>
      </c>
      <c r="C1191" s="9" t="str">
        <f t="shared" si="72"/>
        <v>Good</v>
      </c>
      <c r="D1191" s="11">
        <f>INDEX('2_Clean_Data'!$L$2:$L$1360,MATCH($A1191,'2_Clean_Data'!$A$2:$A$1360,0))</f>
        <v>10.199999999999999</v>
      </c>
      <c r="E1191" s="9" t="str">
        <f>IF(D1191&lt;'3_Summary_Tables'!$C$16,"Low",IF(D1191&lt;'3_Summary_Tables'!$C$17,"Medium","High"))</f>
        <v>Medium</v>
      </c>
      <c r="F1191" s="12">
        <f>INDEX('2_Clean_Data'!$C$2:$C$1360,MATCH($A1191,'2_Clean_Data'!$A$2:$A$1360,0))</f>
        <v>0.6</v>
      </c>
      <c r="G1191" s="10">
        <f>INDEX('2_Clean_Data'!$H$2:$H$1360,MATCH($A1191,'2_Clean_Data'!$A$2:$A$1360,0))</f>
        <v>28</v>
      </c>
      <c r="H1191" s="9" t="str">
        <f t="shared" si="73"/>
        <v>Low</v>
      </c>
      <c r="I1191" s="9" t="str">
        <f t="shared" si="74"/>
        <v>OK</v>
      </c>
      <c r="J1191" s="9" t="str">
        <f t="shared" si="75"/>
        <v>Solid</v>
      </c>
    </row>
    <row r="1192" spans="1:10" x14ac:dyDescent="0.3">
      <c r="A1192" s="10">
        <f>'2_Clean_Data'!A1189</f>
        <v>1188</v>
      </c>
      <c r="B1192" s="10">
        <f>INDEX('2_Clean_Data'!$M$2:$M$1360,MATCH($A1192,'2_Clean_Data'!$A$2:$A$1360,0))</f>
        <v>6</v>
      </c>
      <c r="C1192" s="9" t="str">
        <f t="shared" si="72"/>
        <v>Above Average</v>
      </c>
      <c r="D1192" s="11">
        <f>INDEX('2_Clean_Data'!$L$2:$L$1360,MATCH($A1192,'2_Clean_Data'!$A$2:$A$1360,0))</f>
        <v>11.1</v>
      </c>
      <c r="E1192" s="9" t="str">
        <f>IF(D1192&lt;'3_Summary_Tables'!$C$16,"Low",IF(D1192&lt;'3_Summary_Tables'!$C$17,"Medium","High"))</f>
        <v>Medium</v>
      </c>
      <c r="F1192" s="12">
        <f>INDEX('2_Clean_Data'!$C$2:$C$1360,MATCH($A1192,'2_Clean_Data'!$A$2:$A$1360,0))</f>
        <v>0.67</v>
      </c>
      <c r="G1192" s="10">
        <f>INDEX('2_Clean_Data'!$H$2:$H$1360,MATCH($A1192,'2_Clean_Data'!$A$2:$A$1360,0))</f>
        <v>24</v>
      </c>
      <c r="H1192" s="9" t="str">
        <f t="shared" si="73"/>
        <v>Low</v>
      </c>
      <c r="I1192" s="9" t="str">
        <f t="shared" si="74"/>
        <v>OK</v>
      </c>
      <c r="J1192" s="9" t="str">
        <f t="shared" si="75"/>
        <v>Solid</v>
      </c>
    </row>
    <row r="1193" spans="1:10" x14ac:dyDescent="0.3">
      <c r="A1193" s="10">
        <f>'2_Clean_Data'!A1190</f>
        <v>1189</v>
      </c>
      <c r="B1193" s="10">
        <f>INDEX('2_Clean_Data'!$M$2:$M$1360,MATCH($A1193,'2_Clean_Data'!$A$2:$A$1360,0))</f>
        <v>5</v>
      </c>
      <c r="C1193" s="9" t="str">
        <f t="shared" si="72"/>
        <v>Average</v>
      </c>
      <c r="D1193" s="11">
        <f>INDEX('2_Clean_Data'!$L$2:$L$1360,MATCH($A1193,'2_Clean_Data'!$A$2:$A$1360,0))</f>
        <v>9.9</v>
      </c>
      <c r="E1193" s="9" t="str">
        <f>IF(D1193&lt;'3_Summary_Tables'!$C$16,"Low",IF(D1193&lt;'3_Summary_Tables'!$C$17,"Medium","High"))</f>
        <v>Low</v>
      </c>
      <c r="F1193" s="12">
        <f>INDEX('2_Clean_Data'!$C$2:$C$1360,MATCH($A1193,'2_Clean_Data'!$A$2:$A$1360,0))</f>
        <v>0.69</v>
      </c>
      <c r="G1193" s="10">
        <f>INDEX('2_Clean_Data'!$H$2:$H$1360,MATCH($A1193,'2_Clean_Data'!$A$2:$A$1360,0))</f>
        <v>141</v>
      </c>
      <c r="H1193" s="9" t="str">
        <f t="shared" si="73"/>
        <v>High</v>
      </c>
      <c r="I1193" s="9" t="str">
        <f t="shared" si="74"/>
        <v>OK</v>
      </c>
      <c r="J1193" s="9" t="str">
        <f t="shared" si="75"/>
        <v>Standard</v>
      </c>
    </row>
    <row r="1194" spans="1:10" x14ac:dyDescent="0.3">
      <c r="A1194" s="10">
        <f>'2_Clean_Data'!A1191</f>
        <v>1190</v>
      </c>
      <c r="B1194" s="10">
        <f>INDEX('2_Clean_Data'!$M$2:$M$1360,MATCH($A1194,'2_Clean_Data'!$A$2:$A$1360,0))</f>
        <v>6</v>
      </c>
      <c r="C1194" s="9" t="str">
        <f t="shared" si="72"/>
        <v>Above Average</v>
      </c>
      <c r="D1194" s="11">
        <f>INDEX('2_Clean_Data'!$L$2:$L$1360,MATCH($A1194,'2_Clean_Data'!$A$2:$A$1360,0))</f>
        <v>11.9</v>
      </c>
      <c r="E1194" s="9" t="str">
        <f>IF(D1194&lt;'3_Summary_Tables'!$C$16,"Low",IF(D1194&lt;'3_Summary_Tables'!$C$17,"Medium","High"))</f>
        <v>High</v>
      </c>
      <c r="F1194" s="12">
        <f>INDEX('2_Clean_Data'!$C$2:$C$1360,MATCH($A1194,'2_Clean_Data'!$A$2:$A$1360,0))</f>
        <v>0.3</v>
      </c>
      <c r="G1194" s="10">
        <f>INDEX('2_Clean_Data'!$H$2:$H$1360,MATCH($A1194,'2_Clean_Data'!$A$2:$A$1360,0))</f>
        <v>24</v>
      </c>
      <c r="H1194" s="9" t="str">
        <f t="shared" si="73"/>
        <v>Low</v>
      </c>
      <c r="I1194" s="9" t="str">
        <f t="shared" si="74"/>
        <v>OK</v>
      </c>
      <c r="J1194" s="9" t="str">
        <f t="shared" si="75"/>
        <v>Solid</v>
      </c>
    </row>
    <row r="1195" spans="1:10" x14ac:dyDescent="0.3">
      <c r="A1195" s="10">
        <f>'2_Clean_Data'!A1192</f>
        <v>1191</v>
      </c>
      <c r="B1195" s="10">
        <f>INDEX('2_Clean_Data'!$M$2:$M$1360,MATCH($A1195,'2_Clean_Data'!$A$2:$A$1360,0))</f>
        <v>8</v>
      </c>
      <c r="C1195" s="9" t="str">
        <f t="shared" si="72"/>
        <v>Excellent</v>
      </c>
      <c r="D1195" s="11">
        <f>INDEX('2_Clean_Data'!$L$2:$L$1360,MATCH($A1195,'2_Clean_Data'!$A$2:$A$1360,0))</f>
        <v>10</v>
      </c>
      <c r="E1195" s="9" t="str">
        <f>IF(D1195&lt;'3_Summary_Tables'!$C$16,"Low",IF(D1195&lt;'3_Summary_Tables'!$C$17,"Medium","High"))</f>
        <v>Medium</v>
      </c>
      <c r="F1195" s="12">
        <f>INDEX('2_Clean_Data'!$C$2:$C$1360,MATCH($A1195,'2_Clean_Data'!$A$2:$A$1360,0))</f>
        <v>0.33</v>
      </c>
      <c r="G1195" s="10">
        <f>INDEX('2_Clean_Data'!$H$2:$H$1360,MATCH($A1195,'2_Clean_Data'!$A$2:$A$1360,0))</f>
        <v>13</v>
      </c>
      <c r="H1195" s="9" t="str">
        <f t="shared" si="73"/>
        <v>Low</v>
      </c>
      <c r="I1195" s="9" t="str">
        <f t="shared" si="74"/>
        <v>OK</v>
      </c>
      <c r="J1195" s="9" t="str">
        <f t="shared" si="75"/>
        <v>Solid</v>
      </c>
    </row>
    <row r="1196" spans="1:10" x14ac:dyDescent="0.3">
      <c r="A1196" s="10">
        <f>'2_Clean_Data'!A1193</f>
        <v>1192</v>
      </c>
      <c r="B1196" s="10">
        <f>INDEX('2_Clean_Data'!$M$2:$M$1360,MATCH($A1196,'2_Clean_Data'!$A$2:$A$1360,0))</f>
        <v>6</v>
      </c>
      <c r="C1196" s="9" t="str">
        <f t="shared" si="72"/>
        <v>Above Average</v>
      </c>
      <c r="D1196" s="11">
        <f>INDEX('2_Clean_Data'!$L$2:$L$1360,MATCH($A1196,'2_Clean_Data'!$A$2:$A$1360,0))</f>
        <v>10.7</v>
      </c>
      <c r="E1196" s="9" t="str">
        <f>IF(D1196&lt;'3_Summary_Tables'!$C$16,"Low",IF(D1196&lt;'3_Summary_Tables'!$C$17,"Medium","High"))</f>
        <v>Medium</v>
      </c>
      <c r="F1196" s="12">
        <f>INDEX('2_Clean_Data'!$C$2:$C$1360,MATCH($A1196,'2_Clean_Data'!$A$2:$A$1360,0))</f>
        <v>0.5</v>
      </c>
      <c r="G1196" s="10">
        <f>INDEX('2_Clean_Data'!$H$2:$H$1360,MATCH($A1196,'2_Clean_Data'!$A$2:$A$1360,0))</f>
        <v>46</v>
      </c>
      <c r="H1196" s="9" t="str">
        <f t="shared" si="73"/>
        <v>Low</v>
      </c>
      <c r="I1196" s="9" t="str">
        <f t="shared" si="74"/>
        <v>OK</v>
      </c>
      <c r="J1196" s="9" t="str">
        <f t="shared" si="75"/>
        <v>Solid</v>
      </c>
    </row>
    <row r="1197" spans="1:10" x14ac:dyDescent="0.3">
      <c r="A1197" s="10">
        <f>'2_Clean_Data'!A1194</f>
        <v>1193</v>
      </c>
      <c r="B1197" s="10">
        <f>INDEX('2_Clean_Data'!$M$2:$M$1360,MATCH($A1197,'2_Clean_Data'!$A$2:$A$1360,0))</f>
        <v>7</v>
      </c>
      <c r="C1197" s="9" t="str">
        <f t="shared" si="72"/>
        <v>Good</v>
      </c>
      <c r="D1197" s="11">
        <f>INDEX('2_Clean_Data'!$L$2:$L$1360,MATCH($A1197,'2_Clean_Data'!$A$2:$A$1360,0))</f>
        <v>11.3</v>
      </c>
      <c r="E1197" s="9" t="str">
        <f>IF(D1197&lt;'3_Summary_Tables'!$C$16,"Low",IF(D1197&lt;'3_Summary_Tables'!$C$17,"Medium","High"))</f>
        <v>Medium</v>
      </c>
      <c r="F1197" s="12">
        <f>INDEX('2_Clean_Data'!$C$2:$C$1360,MATCH($A1197,'2_Clean_Data'!$A$2:$A$1360,0))</f>
        <v>0.28000000000000003</v>
      </c>
      <c r="G1197" s="10">
        <f>INDEX('2_Clean_Data'!$H$2:$H$1360,MATCH($A1197,'2_Clean_Data'!$A$2:$A$1360,0))</f>
        <v>34</v>
      </c>
      <c r="H1197" s="9" t="str">
        <f t="shared" si="73"/>
        <v>Low</v>
      </c>
      <c r="I1197" s="9" t="str">
        <f t="shared" si="74"/>
        <v>OK</v>
      </c>
      <c r="J1197" s="9" t="str">
        <f t="shared" si="75"/>
        <v>Solid</v>
      </c>
    </row>
    <row r="1198" spans="1:10" x14ac:dyDescent="0.3">
      <c r="A1198" s="10">
        <f>'2_Clean_Data'!A1195</f>
        <v>1194</v>
      </c>
      <c r="B1198" s="10">
        <f>INDEX('2_Clean_Data'!$M$2:$M$1360,MATCH($A1198,'2_Clean_Data'!$A$2:$A$1360,0))</f>
        <v>6</v>
      </c>
      <c r="C1198" s="9" t="str">
        <f t="shared" si="72"/>
        <v>Above Average</v>
      </c>
      <c r="D1198" s="11">
        <f>INDEX('2_Clean_Data'!$L$2:$L$1360,MATCH($A1198,'2_Clean_Data'!$A$2:$A$1360,0))</f>
        <v>10.9</v>
      </c>
      <c r="E1198" s="9" t="str">
        <f>IF(D1198&lt;'3_Summary_Tables'!$C$16,"Low",IF(D1198&lt;'3_Summary_Tables'!$C$17,"Medium","High"))</f>
        <v>Medium</v>
      </c>
      <c r="F1198" s="12">
        <f>INDEX('2_Clean_Data'!$C$2:$C$1360,MATCH($A1198,'2_Clean_Data'!$A$2:$A$1360,0))</f>
        <v>0.24</v>
      </c>
      <c r="G1198" s="10">
        <f>INDEX('2_Clean_Data'!$H$2:$H$1360,MATCH($A1198,'2_Clean_Data'!$A$2:$A$1360,0))</f>
        <v>22</v>
      </c>
      <c r="H1198" s="9" t="str">
        <f t="shared" si="73"/>
        <v>Low</v>
      </c>
      <c r="I1198" s="9" t="str">
        <f t="shared" si="74"/>
        <v>OK</v>
      </c>
      <c r="J1198" s="9" t="str">
        <f t="shared" si="75"/>
        <v>Solid</v>
      </c>
    </row>
    <row r="1199" spans="1:10" x14ac:dyDescent="0.3">
      <c r="A1199" s="10">
        <f>'2_Clean_Data'!A1196</f>
        <v>1195</v>
      </c>
      <c r="B1199" s="10">
        <f>INDEX('2_Clean_Data'!$M$2:$M$1360,MATCH($A1199,'2_Clean_Data'!$A$2:$A$1360,0))</f>
        <v>6</v>
      </c>
      <c r="C1199" s="9" t="str">
        <f t="shared" si="72"/>
        <v>Above Average</v>
      </c>
      <c r="D1199" s="11">
        <f>INDEX('2_Clean_Data'!$L$2:$L$1360,MATCH($A1199,'2_Clean_Data'!$A$2:$A$1360,0))</f>
        <v>10.7</v>
      </c>
      <c r="E1199" s="9" t="str">
        <f>IF(D1199&lt;'3_Summary_Tables'!$C$16,"Low",IF(D1199&lt;'3_Summary_Tables'!$C$17,"Medium","High"))</f>
        <v>Medium</v>
      </c>
      <c r="F1199" s="12">
        <f>INDEX('2_Clean_Data'!$C$2:$C$1360,MATCH($A1199,'2_Clean_Data'!$A$2:$A$1360,0))</f>
        <v>0.51</v>
      </c>
      <c r="G1199" s="10">
        <f>INDEX('2_Clean_Data'!$H$2:$H$1360,MATCH($A1199,'2_Clean_Data'!$A$2:$A$1360,0))</f>
        <v>54</v>
      </c>
      <c r="H1199" s="9" t="str">
        <f t="shared" si="73"/>
        <v>Moderate</v>
      </c>
      <c r="I1199" s="9" t="str">
        <f t="shared" si="74"/>
        <v>OK</v>
      </c>
      <c r="J1199" s="9" t="str">
        <f t="shared" si="75"/>
        <v>Solid</v>
      </c>
    </row>
    <row r="1200" spans="1:10" x14ac:dyDescent="0.3">
      <c r="A1200" s="10">
        <f>'2_Clean_Data'!A1197</f>
        <v>1196</v>
      </c>
      <c r="B1200" s="10">
        <f>INDEX('2_Clean_Data'!$M$2:$M$1360,MATCH($A1200,'2_Clean_Data'!$A$2:$A$1360,0))</f>
        <v>7</v>
      </c>
      <c r="C1200" s="9" t="str">
        <f t="shared" si="72"/>
        <v>Good</v>
      </c>
      <c r="D1200" s="11">
        <f>INDEX('2_Clean_Data'!$L$2:$L$1360,MATCH($A1200,'2_Clean_Data'!$A$2:$A$1360,0))</f>
        <v>12.4</v>
      </c>
      <c r="E1200" s="9" t="str">
        <f>IF(D1200&lt;'3_Summary_Tables'!$C$16,"Low",IF(D1200&lt;'3_Summary_Tables'!$C$17,"Medium","High"))</f>
        <v>High</v>
      </c>
      <c r="F1200" s="12">
        <f>INDEX('2_Clean_Data'!$C$2:$C$1360,MATCH($A1200,'2_Clean_Data'!$A$2:$A$1360,0))</f>
        <v>0.28999999999999998</v>
      </c>
      <c r="G1200" s="10">
        <f>INDEX('2_Clean_Data'!$H$2:$H$1360,MATCH($A1200,'2_Clean_Data'!$A$2:$A$1360,0))</f>
        <v>53</v>
      </c>
      <c r="H1200" s="9" t="str">
        <f t="shared" si="73"/>
        <v>Moderate</v>
      </c>
      <c r="I1200" s="9" t="str">
        <f t="shared" si="74"/>
        <v>OK</v>
      </c>
      <c r="J1200" s="9" t="str">
        <f t="shared" si="75"/>
        <v>Premium</v>
      </c>
    </row>
    <row r="1201" spans="1:10" x14ac:dyDescent="0.3">
      <c r="A1201" s="10">
        <f>'2_Clean_Data'!A1198</f>
        <v>1197</v>
      </c>
      <c r="B1201" s="10">
        <f>INDEX('2_Clean_Data'!$M$2:$M$1360,MATCH($A1201,'2_Clean_Data'!$A$2:$A$1360,0))</f>
        <v>6</v>
      </c>
      <c r="C1201" s="9" t="str">
        <f t="shared" si="72"/>
        <v>Above Average</v>
      </c>
      <c r="D1201" s="11">
        <f>INDEX('2_Clean_Data'!$L$2:$L$1360,MATCH($A1201,'2_Clean_Data'!$A$2:$A$1360,0))</f>
        <v>11.9</v>
      </c>
      <c r="E1201" s="9" t="str">
        <f>IF(D1201&lt;'3_Summary_Tables'!$C$16,"Low",IF(D1201&lt;'3_Summary_Tables'!$C$17,"Medium","High"))</f>
        <v>High</v>
      </c>
      <c r="F1201" s="12">
        <f>INDEX('2_Clean_Data'!$C$2:$C$1360,MATCH($A1201,'2_Clean_Data'!$A$2:$A$1360,0))</f>
        <v>0.96</v>
      </c>
      <c r="G1201" s="10">
        <f>INDEX('2_Clean_Data'!$H$2:$H$1360,MATCH($A1201,'2_Clean_Data'!$A$2:$A$1360,0))</f>
        <v>16</v>
      </c>
      <c r="H1201" s="9" t="str">
        <f t="shared" si="73"/>
        <v>Low</v>
      </c>
      <c r="I1201" s="9" t="str">
        <f t="shared" si="74"/>
        <v>Above limit</v>
      </c>
      <c r="J1201" s="9" t="str">
        <f t="shared" si="75"/>
        <v>Standard</v>
      </c>
    </row>
    <row r="1202" spans="1:10" x14ac:dyDescent="0.3">
      <c r="A1202" s="10">
        <f>'2_Clean_Data'!A1199</f>
        <v>1198</v>
      </c>
      <c r="B1202" s="10">
        <f>INDEX('2_Clean_Data'!$M$2:$M$1360,MATCH($A1202,'2_Clean_Data'!$A$2:$A$1360,0))</f>
        <v>6</v>
      </c>
      <c r="C1202" s="9" t="str">
        <f t="shared" si="72"/>
        <v>Above Average</v>
      </c>
      <c r="D1202" s="11">
        <f>INDEX('2_Clean_Data'!$L$2:$L$1360,MATCH($A1202,'2_Clean_Data'!$A$2:$A$1360,0))</f>
        <v>10.6</v>
      </c>
      <c r="E1202" s="9" t="str">
        <f>IF(D1202&lt;'3_Summary_Tables'!$C$16,"Low",IF(D1202&lt;'3_Summary_Tables'!$C$17,"Medium","High"))</f>
        <v>Medium</v>
      </c>
      <c r="F1202" s="12">
        <f>INDEX('2_Clean_Data'!$C$2:$C$1360,MATCH($A1202,'2_Clean_Data'!$A$2:$A$1360,0))</f>
        <v>0.47</v>
      </c>
      <c r="G1202" s="10">
        <f>INDEX('2_Clean_Data'!$H$2:$H$1360,MATCH($A1202,'2_Clean_Data'!$A$2:$A$1360,0))</f>
        <v>19</v>
      </c>
      <c r="H1202" s="9" t="str">
        <f t="shared" si="73"/>
        <v>Low</v>
      </c>
      <c r="I1202" s="9" t="str">
        <f t="shared" si="74"/>
        <v>OK</v>
      </c>
      <c r="J1202" s="9" t="str">
        <f t="shared" si="75"/>
        <v>Solid</v>
      </c>
    </row>
    <row r="1203" spans="1:10" x14ac:dyDescent="0.3">
      <c r="A1203" s="10">
        <f>'2_Clean_Data'!A1200</f>
        <v>1199</v>
      </c>
      <c r="B1203" s="10">
        <f>INDEX('2_Clean_Data'!$M$2:$M$1360,MATCH($A1203,'2_Clean_Data'!$A$2:$A$1360,0))</f>
        <v>5</v>
      </c>
      <c r="C1203" s="9" t="str">
        <f t="shared" si="72"/>
        <v>Average</v>
      </c>
      <c r="D1203" s="11">
        <f>INDEX('2_Clean_Data'!$L$2:$L$1360,MATCH($A1203,'2_Clean_Data'!$A$2:$A$1360,0))</f>
        <v>10.1</v>
      </c>
      <c r="E1203" s="9" t="str">
        <f>IF(D1203&lt;'3_Summary_Tables'!$C$16,"Low",IF(D1203&lt;'3_Summary_Tables'!$C$17,"Medium","High"))</f>
        <v>Medium</v>
      </c>
      <c r="F1203" s="12">
        <f>INDEX('2_Clean_Data'!$C$2:$C$1360,MATCH($A1203,'2_Clean_Data'!$A$2:$A$1360,0))</f>
        <v>0.56999999999999995</v>
      </c>
      <c r="G1203" s="10">
        <f>INDEX('2_Clean_Data'!$H$2:$H$1360,MATCH($A1203,'2_Clean_Data'!$A$2:$A$1360,0))</f>
        <v>89</v>
      </c>
      <c r="H1203" s="9" t="str">
        <f t="shared" si="73"/>
        <v>Moderate</v>
      </c>
      <c r="I1203" s="9" t="str">
        <f t="shared" si="74"/>
        <v>OK</v>
      </c>
      <c r="J1203" s="9" t="str">
        <f t="shared" si="75"/>
        <v>Standard</v>
      </c>
    </row>
    <row r="1204" spans="1:10" x14ac:dyDescent="0.3">
      <c r="A1204" s="10">
        <f>'2_Clean_Data'!A1201</f>
        <v>1200</v>
      </c>
      <c r="B1204" s="10">
        <f>INDEX('2_Clean_Data'!$M$2:$M$1360,MATCH($A1204,'2_Clean_Data'!$A$2:$A$1360,0))</f>
        <v>5</v>
      </c>
      <c r="C1204" s="9" t="str">
        <f t="shared" si="72"/>
        <v>Average</v>
      </c>
      <c r="D1204" s="11">
        <f>INDEX('2_Clean_Data'!$L$2:$L$1360,MATCH($A1204,'2_Clean_Data'!$A$2:$A$1360,0))</f>
        <v>9.6</v>
      </c>
      <c r="E1204" s="9" t="str">
        <f>IF(D1204&lt;'3_Summary_Tables'!$C$16,"Low",IF(D1204&lt;'3_Summary_Tables'!$C$17,"Medium","High"))</f>
        <v>Low</v>
      </c>
      <c r="F1204" s="12">
        <f>INDEX('2_Clean_Data'!$C$2:$C$1360,MATCH($A1204,'2_Clean_Data'!$A$2:$A$1360,0))</f>
        <v>0.32</v>
      </c>
      <c r="G1204" s="10">
        <f>INDEX('2_Clean_Data'!$H$2:$H$1360,MATCH($A1204,'2_Clean_Data'!$A$2:$A$1360,0))</f>
        <v>15</v>
      </c>
      <c r="H1204" s="9" t="str">
        <f t="shared" si="73"/>
        <v>Low</v>
      </c>
      <c r="I1204" s="9" t="str">
        <f t="shared" si="74"/>
        <v>OK</v>
      </c>
      <c r="J1204" s="9" t="str">
        <f t="shared" si="75"/>
        <v>Standard</v>
      </c>
    </row>
    <row r="1205" spans="1:10" x14ac:dyDescent="0.3">
      <c r="A1205" s="10">
        <f>'2_Clean_Data'!A1202</f>
        <v>1201</v>
      </c>
      <c r="B1205" s="10">
        <f>INDEX('2_Clean_Data'!$M$2:$M$1360,MATCH($A1205,'2_Clean_Data'!$A$2:$A$1360,0))</f>
        <v>5</v>
      </c>
      <c r="C1205" s="9" t="str">
        <f t="shared" si="72"/>
        <v>Average</v>
      </c>
      <c r="D1205" s="11">
        <f>INDEX('2_Clean_Data'!$L$2:$L$1360,MATCH($A1205,'2_Clean_Data'!$A$2:$A$1360,0))</f>
        <v>9.4</v>
      </c>
      <c r="E1205" s="9" t="str">
        <f>IF(D1205&lt;'3_Summary_Tables'!$C$16,"Low",IF(D1205&lt;'3_Summary_Tables'!$C$17,"Medium","High"))</f>
        <v>Low</v>
      </c>
      <c r="F1205" s="12">
        <f>INDEX('2_Clean_Data'!$C$2:$C$1360,MATCH($A1205,'2_Clean_Data'!$A$2:$A$1360,0))</f>
        <v>0.57999999999999996</v>
      </c>
      <c r="G1205" s="10">
        <f>INDEX('2_Clean_Data'!$H$2:$H$1360,MATCH($A1205,'2_Clean_Data'!$A$2:$A$1360,0))</f>
        <v>18</v>
      </c>
      <c r="H1205" s="9" t="str">
        <f t="shared" si="73"/>
        <v>Low</v>
      </c>
      <c r="I1205" s="9" t="str">
        <f t="shared" si="74"/>
        <v>OK</v>
      </c>
      <c r="J1205" s="9" t="str">
        <f t="shared" si="75"/>
        <v>Standard</v>
      </c>
    </row>
    <row r="1206" spans="1:10" x14ac:dyDescent="0.3">
      <c r="A1206" s="10">
        <f>'2_Clean_Data'!A1203</f>
        <v>1202</v>
      </c>
      <c r="B1206" s="10">
        <f>INDEX('2_Clean_Data'!$M$2:$M$1360,MATCH($A1206,'2_Clean_Data'!$A$2:$A$1360,0))</f>
        <v>7</v>
      </c>
      <c r="C1206" s="9" t="str">
        <f t="shared" si="72"/>
        <v>Good</v>
      </c>
      <c r="D1206" s="11">
        <f>INDEX('2_Clean_Data'!$L$2:$L$1360,MATCH($A1206,'2_Clean_Data'!$A$2:$A$1360,0))</f>
        <v>12.1</v>
      </c>
      <c r="E1206" s="9" t="str">
        <f>IF(D1206&lt;'3_Summary_Tables'!$C$16,"Low",IF(D1206&lt;'3_Summary_Tables'!$C$17,"Medium","High"))</f>
        <v>High</v>
      </c>
      <c r="F1206" s="12">
        <f>INDEX('2_Clean_Data'!$C$2:$C$1360,MATCH($A1206,'2_Clean_Data'!$A$2:$A$1360,0))</f>
        <v>0.34</v>
      </c>
      <c r="G1206" s="10">
        <f>INDEX('2_Clean_Data'!$H$2:$H$1360,MATCH($A1206,'2_Clean_Data'!$A$2:$A$1360,0))</f>
        <v>37</v>
      </c>
      <c r="H1206" s="9" t="str">
        <f t="shared" si="73"/>
        <v>Low</v>
      </c>
      <c r="I1206" s="9" t="str">
        <f t="shared" si="74"/>
        <v>OK</v>
      </c>
      <c r="J1206" s="9" t="str">
        <f t="shared" si="75"/>
        <v>Premium</v>
      </c>
    </row>
    <row r="1207" spans="1:10" x14ac:dyDescent="0.3">
      <c r="A1207" s="10">
        <f>'2_Clean_Data'!A1204</f>
        <v>1203</v>
      </c>
      <c r="B1207" s="10">
        <f>INDEX('2_Clean_Data'!$M$2:$M$1360,MATCH($A1207,'2_Clean_Data'!$A$2:$A$1360,0))</f>
        <v>5</v>
      </c>
      <c r="C1207" s="9" t="str">
        <f t="shared" si="72"/>
        <v>Average</v>
      </c>
      <c r="D1207" s="11">
        <f>INDEX('2_Clean_Data'!$L$2:$L$1360,MATCH($A1207,'2_Clean_Data'!$A$2:$A$1360,0))</f>
        <v>9.8000000000000007</v>
      </c>
      <c r="E1207" s="9" t="str">
        <f>IF(D1207&lt;'3_Summary_Tables'!$C$16,"Low",IF(D1207&lt;'3_Summary_Tables'!$C$17,"Medium","High"))</f>
        <v>Low</v>
      </c>
      <c r="F1207" s="12">
        <f>INDEX('2_Clean_Data'!$C$2:$C$1360,MATCH($A1207,'2_Clean_Data'!$A$2:$A$1360,0))</f>
        <v>0.53</v>
      </c>
      <c r="G1207" s="10">
        <f>INDEX('2_Clean_Data'!$H$2:$H$1360,MATCH($A1207,'2_Clean_Data'!$A$2:$A$1360,0))</f>
        <v>19</v>
      </c>
      <c r="H1207" s="9" t="str">
        <f t="shared" si="73"/>
        <v>Low</v>
      </c>
      <c r="I1207" s="9" t="str">
        <f t="shared" si="74"/>
        <v>OK</v>
      </c>
      <c r="J1207" s="9" t="str">
        <f t="shared" si="75"/>
        <v>Standard</v>
      </c>
    </row>
    <row r="1208" spans="1:10" x14ac:dyDescent="0.3">
      <c r="A1208" s="10">
        <f>'2_Clean_Data'!A1205</f>
        <v>1204</v>
      </c>
      <c r="B1208" s="10">
        <f>INDEX('2_Clean_Data'!$M$2:$M$1360,MATCH($A1208,'2_Clean_Data'!$A$2:$A$1360,0))</f>
        <v>5</v>
      </c>
      <c r="C1208" s="9" t="str">
        <f t="shared" si="72"/>
        <v>Average</v>
      </c>
      <c r="D1208" s="11">
        <f>INDEX('2_Clean_Data'!$L$2:$L$1360,MATCH($A1208,'2_Clean_Data'!$A$2:$A$1360,0))</f>
        <v>9.9</v>
      </c>
      <c r="E1208" s="9" t="str">
        <f>IF(D1208&lt;'3_Summary_Tables'!$C$16,"Low",IF(D1208&lt;'3_Summary_Tables'!$C$17,"Medium","High"))</f>
        <v>Low</v>
      </c>
      <c r="F1208" s="12">
        <f>INDEX('2_Clean_Data'!$C$2:$C$1360,MATCH($A1208,'2_Clean_Data'!$A$2:$A$1360,0))</f>
        <v>0.64</v>
      </c>
      <c r="G1208" s="10">
        <f>INDEX('2_Clean_Data'!$H$2:$H$1360,MATCH($A1208,'2_Clean_Data'!$A$2:$A$1360,0))</f>
        <v>133</v>
      </c>
      <c r="H1208" s="9" t="str">
        <f t="shared" si="73"/>
        <v>High</v>
      </c>
      <c r="I1208" s="9" t="str">
        <f t="shared" si="74"/>
        <v>OK</v>
      </c>
      <c r="J1208" s="9" t="str">
        <f t="shared" si="75"/>
        <v>Standard</v>
      </c>
    </row>
    <row r="1209" spans="1:10" x14ac:dyDescent="0.3">
      <c r="A1209" s="10">
        <f>'2_Clean_Data'!A1206</f>
        <v>1205</v>
      </c>
      <c r="B1209" s="10">
        <f>INDEX('2_Clean_Data'!$M$2:$M$1360,MATCH($A1209,'2_Clean_Data'!$A$2:$A$1360,0))</f>
        <v>5</v>
      </c>
      <c r="C1209" s="9" t="str">
        <f t="shared" si="72"/>
        <v>Average</v>
      </c>
      <c r="D1209" s="11">
        <f>INDEX('2_Clean_Data'!$L$2:$L$1360,MATCH($A1209,'2_Clean_Data'!$A$2:$A$1360,0))</f>
        <v>9.4</v>
      </c>
      <c r="E1209" s="9" t="str">
        <f>IF(D1209&lt;'3_Summary_Tables'!$C$16,"Low",IF(D1209&lt;'3_Summary_Tables'!$C$17,"Medium","High"))</f>
        <v>Low</v>
      </c>
      <c r="F1209" s="12">
        <f>INDEX('2_Clean_Data'!$C$2:$C$1360,MATCH($A1209,'2_Clean_Data'!$A$2:$A$1360,0))</f>
        <v>0.4</v>
      </c>
      <c r="G1209" s="10">
        <f>INDEX('2_Clean_Data'!$H$2:$H$1360,MATCH($A1209,'2_Clean_Data'!$A$2:$A$1360,0))</f>
        <v>58</v>
      </c>
      <c r="H1209" s="9" t="str">
        <f t="shared" si="73"/>
        <v>Moderate</v>
      </c>
      <c r="I1209" s="9" t="str">
        <f t="shared" si="74"/>
        <v>OK</v>
      </c>
      <c r="J1209" s="9" t="str">
        <f t="shared" si="75"/>
        <v>Standard</v>
      </c>
    </row>
    <row r="1210" spans="1:10" x14ac:dyDescent="0.3">
      <c r="A1210" s="10">
        <f>'2_Clean_Data'!A1207</f>
        <v>1206</v>
      </c>
      <c r="B1210" s="10">
        <f>INDEX('2_Clean_Data'!$M$2:$M$1360,MATCH($A1210,'2_Clean_Data'!$A$2:$A$1360,0))</f>
        <v>6</v>
      </c>
      <c r="C1210" s="9" t="str">
        <f t="shared" si="72"/>
        <v>Above Average</v>
      </c>
      <c r="D1210" s="11">
        <f>INDEX('2_Clean_Data'!$L$2:$L$1360,MATCH($A1210,'2_Clean_Data'!$A$2:$A$1360,0))</f>
        <v>11.4</v>
      </c>
      <c r="E1210" s="9" t="str">
        <f>IF(D1210&lt;'3_Summary_Tables'!$C$16,"Low",IF(D1210&lt;'3_Summary_Tables'!$C$17,"Medium","High"))</f>
        <v>Medium</v>
      </c>
      <c r="F1210" s="12">
        <f>INDEX('2_Clean_Data'!$C$2:$C$1360,MATCH($A1210,'2_Clean_Data'!$A$2:$A$1360,0))</f>
        <v>0.54</v>
      </c>
      <c r="G1210" s="10">
        <f>INDEX('2_Clean_Data'!$H$2:$H$1360,MATCH($A1210,'2_Clean_Data'!$A$2:$A$1360,0))</f>
        <v>55</v>
      </c>
      <c r="H1210" s="9" t="str">
        <f t="shared" si="73"/>
        <v>Moderate</v>
      </c>
      <c r="I1210" s="9" t="str">
        <f t="shared" si="74"/>
        <v>OK</v>
      </c>
      <c r="J1210" s="9" t="str">
        <f t="shared" si="75"/>
        <v>Solid</v>
      </c>
    </row>
    <row r="1211" spans="1:10" x14ac:dyDescent="0.3">
      <c r="A1211" s="10">
        <f>'2_Clean_Data'!A1208</f>
        <v>1207</v>
      </c>
      <c r="B1211" s="10">
        <f>INDEX('2_Clean_Data'!$M$2:$M$1360,MATCH($A1211,'2_Clean_Data'!$A$2:$A$1360,0))</f>
        <v>4</v>
      </c>
      <c r="C1211" s="9" t="str">
        <f t="shared" si="72"/>
        <v>Poor</v>
      </c>
      <c r="D1211" s="11">
        <f>INDEX('2_Clean_Data'!$L$2:$L$1360,MATCH($A1211,'2_Clean_Data'!$A$2:$A$1360,0))</f>
        <v>11</v>
      </c>
      <c r="E1211" s="9" t="str">
        <f>IF(D1211&lt;'3_Summary_Tables'!$C$16,"Low",IF(D1211&lt;'3_Summary_Tables'!$C$17,"Medium","High"))</f>
        <v>Medium</v>
      </c>
      <c r="F1211" s="12">
        <f>INDEX('2_Clean_Data'!$C$2:$C$1360,MATCH($A1211,'2_Clean_Data'!$A$2:$A$1360,0))</f>
        <v>0.53</v>
      </c>
      <c r="G1211" s="10">
        <f>INDEX('2_Clean_Data'!$H$2:$H$1360,MATCH($A1211,'2_Clean_Data'!$A$2:$A$1360,0))</f>
        <v>31</v>
      </c>
      <c r="H1211" s="9" t="str">
        <f t="shared" si="73"/>
        <v>Low</v>
      </c>
      <c r="I1211" s="9" t="str">
        <f t="shared" si="74"/>
        <v>OK</v>
      </c>
      <c r="J1211" s="9" t="str">
        <f t="shared" si="75"/>
        <v>Poor</v>
      </c>
    </row>
    <row r="1212" spans="1:10" x14ac:dyDescent="0.3">
      <c r="A1212" s="10">
        <f>'2_Clean_Data'!A1209</f>
        <v>1208</v>
      </c>
      <c r="B1212" s="10">
        <f>INDEX('2_Clean_Data'!$M$2:$M$1360,MATCH($A1212,'2_Clean_Data'!$A$2:$A$1360,0))</f>
        <v>6</v>
      </c>
      <c r="C1212" s="9" t="str">
        <f t="shared" si="72"/>
        <v>Above Average</v>
      </c>
      <c r="D1212" s="11">
        <f>INDEX('2_Clean_Data'!$L$2:$L$1360,MATCH($A1212,'2_Clean_Data'!$A$2:$A$1360,0))</f>
        <v>9.6</v>
      </c>
      <c r="E1212" s="9" t="str">
        <f>IF(D1212&lt;'3_Summary_Tables'!$C$16,"Low",IF(D1212&lt;'3_Summary_Tables'!$C$17,"Medium","High"))</f>
        <v>Low</v>
      </c>
      <c r="F1212" s="12">
        <f>INDEX('2_Clean_Data'!$C$2:$C$1360,MATCH($A1212,'2_Clean_Data'!$A$2:$A$1360,0))</f>
        <v>0.26</v>
      </c>
      <c r="G1212" s="10">
        <f>INDEX('2_Clean_Data'!$H$2:$H$1360,MATCH($A1212,'2_Clean_Data'!$A$2:$A$1360,0))</f>
        <v>23</v>
      </c>
      <c r="H1212" s="9" t="str">
        <f t="shared" si="73"/>
        <v>Low</v>
      </c>
      <c r="I1212" s="9" t="str">
        <f t="shared" si="74"/>
        <v>OK</v>
      </c>
      <c r="J1212" s="9" t="str">
        <f t="shared" si="75"/>
        <v>Solid</v>
      </c>
    </row>
    <row r="1213" spans="1:10" x14ac:dyDescent="0.3">
      <c r="A1213" s="10">
        <f>'2_Clean_Data'!A1210</f>
        <v>1209</v>
      </c>
      <c r="B1213" s="10">
        <f>INDEX('2_Clean_Data'!$M$2:$M$1360,MATCH($A1213,'2_Clean_Data'!$A$2:$A$1360,0))</f>
        <v>6</v>
      </c>
      <c r="C1213" s="9" t="str">
        <f t="shared" si="72"/>
        <v>Above Average</v>
      </c>
      <c r="D1213" s="11">
        <f>INDEX('2_Clean_Data'!$L$2:$L$1360,MATCH($A1213,'2_Clean_Data'!$A$2:$A$1360,0))</f>
        <v>12.1</v>
      </c>
      <c r="E1213" s="9" t="str">
        <f>IF(D1213&lt;'3_Summary_Tables'!$C$16,"Low",IF(D1213&lt;'3_Summary_Tables'!$C$17,"Medium","High"))</f>
        <v>High</v>
      </c>
      <c r="F1213" s="12">
        <f>INDEX('2_Clean_Data'!$C$2:$C$1360,MATCH($A1213,'2_Clean_Data'!$A$2:$A$1360,0))</f>
        <v>0.23</v>
      </c>
      <c r="G1213" s="10">
        <f>INDEX('2_Clean_Data'!$H$2:$H$1360,MATCH($A1213,'2_Clean_Data'!$A$2:$A$1360,0))</f>
        <v>60</v>
      </c>
      <c r="H1213" s="9" t="str">
        <f t="shared" si="73"/>
        <v>Moderate</v>
      </c>
      <c r="I1213" s="9" t="str">
        <f t="shared" si="74"/>
        <v>OK</v>
      </c>
      <c r="J1213" s="9" t="str">
        <f t="shared" si="75"/>
        <v>Solid</v>
      </c>
    </row>
    <row r="1214" spans="1:10" x14ac:dyDescent="0.3">
      <c r="A1214" s="10">
        <f>'2_Clean_Data'!A1211</f>
        <v>1210</v>
      </c>
      <c r="B1214" s="10">
        <f>INDEX('2_Clean_Data'!$M$2:$M$1360,MATCH($A1214,'2_Clean_Data'!$A$2:$A$1360,0))</f>
        <v>5</v>
      </c>
      <c r="C1214" s="9" t="str">
        <f t="shared" si="72"/>
        <v>Average</v>
      </c>
      <c r="D1214" s="11">
        <f>INDEX('2_Clean_Data'!$L$2:$L$1360,MATCH($A1214,'2_Clean_Data'!$A$2:$A$1360,0))</f>
        <v>11.2</v>
      </c>
      <c r="E1214" s="9" t="str">
        <f>IF(D1214&lt;'3_Summary_Tables'!$C$16,"Low",IF(D1214&lt;'3_Summary_Tables'!$C$17,"Medium","High"))</f>
        <v>Medium</v>
      </c>
      <c r="F1214" s="12">
        <f>INDEX('2_Clean_Data'!$C$2:$C$1360,MATCH($A1214,'2_Clean_Data'!$A$2:$A$1360,0))</f>
        <v>0.41</v>
      </c>
      <c r="G1214" s="10">
        <f>INDEX('2_Clean_Data'!$H$2:$H$1360,MATCH($A1214,'2_Clean_Data'!$A$2:$A$1360,0))</f>
        <v>23</v>
      </c>
      <c r="H1214" s="9" t="str">
        <f t="shared" si="73"/>
        <v>Low</v>
      </c>
      <c r="I1214" s="9" t="str">
        <f t="shared" si="74"/>
        <v>OK</v>
      </c>
      <c r="J1214" s="9" t="str">
        <f t="shared" si="75"/>
        <v>Standard</v>
      </c>
    </row>
    <row r="1215" spans="1:10" x14ac:dyDescent="0.3">
      <c r="A1215" s="10">
        <f>'2_Clean_Data'!A1212</f>
        <v>1211</v>
      </c>
      <c r="B1215" s="10">
        <f>INDEX('2_Clean_Data'!$M$2:$M$1360,MATCH($A1215,'2_Clean_Data'!$A$2:$A$1360,0))</f>
        <v>5</v>
      </c>
      <c r="C1215" s="9" t="str">
        <f t="shared" si="72"/>
        <v>Average</v>
      </c>
      <c r="D1215" s="11">
        <f>INDEX('2_Clean_Data'!$L$2:$L$1360,MATCH($A1215,'2_Clean_Data'!$A$2:$A$1360,0))</f>
        <v>11</v>
      </c>
      <c r="E1215" s="9" t="str">
        <f>IF(D1215&lt;'3_Summary_Tables'!$C$16,"Low",IF(D1215&lt;'3_Summary_Tables'!$C$17,"Medium","High"))</f>
        <v>Medium</v>
      </c>
      <c r="F1215" s="12">
        <f>INDEX('2_Clean_Data'!$C$2:$C$1360,MATCH($A1215,'2_Clean_Data'!$A$2:$A$1360,0))</f>
        <v>0.64</v>
      </c>
      <c r="G1215" s="10">
        <f>INDEX('2_Clean_Data'!$H$2:$H$1360,MATCH($A1215,'2_Clean_Data'!$A$2:$A$1360,0))</f>
        <v>55</v>
      </c>
      <c r="H1215" s="9" t="str">
        <f t="shared" si="73"/>
        <v>Moderate</v>
      </c>
      <c r="I1215" s="9" t="str">
        <f t="shared" si="74"/>
        <v>OK</v>
      </c>
      <c r="J1215" s="9" t="str">
        <f t="shared" si="75"/>
        <v>Standard</v>
      </c>
    </row>
    <row r="1216" spans="1:10" x14ac:dyDescent="0.3">
      <c r="A1216" s="10">
        <f>'2_Clean_Data'!A1213</f>
        <v>1212</v>
      </c>
      <c r="B1216" s="10">
        <f>INDEX('2_Clean_Data'!$M$2:$M$1360,MATCH($A1216,'2_Clean_Data'!$A$2:$A$1360,0))</f>
        <v>5</v>
      </c>
      <c r="C1216" s="9" t="str">
        <f t="shared" si="72"/>
        <v>Average</v>
      </c>
      <c r="D1216" s="11">
        <f>INDEX('2_Clean_Data'!$L$2:$L$1360,MATCH($A1216,'2_Clean_Data'!$A$2:$A$1360,0))</f>
        <v>11.3</v>
      </c>
      <c r="E1216" s="9" t="str">
        <f>IF(D1216&lt;'3_Summary_Tables'!$C$16,"Low",IF(D1216&lt;'3_Summary_Tables'!$C$17,"Medium","High"))</f>
        <v>Medium</v>
      </c>
      <c r="F1216" s="12">
        <f>INDEX('2_Clean_Data'!$C$2:$C$1360,MATCH($A1216,'2_Clean_Data'!$A$2:$A$1360,0))</f>
        <v>0.18</v>
      </c>
      <c r="G1216" s="10">
        <f>INDEX('2_Clean_Data'!$H$2:$H$1360,MATCH($A1216,'2_Clean_Data'!$A$2:$A$1360,0))</f>
        <v>67</v>
      </c>
      <c r="H1216" s="9" t="str">
        <f t="shared" si="73"/>
        <v>Moderate</v>
      </c>
      <c r="I1216" s="9" t="str">
        <f t="shared" si="74"/>
        <v>OK</v>
      </c>
      <c r="J1216" s="9" t="str">
        <f t="shared" si="75"/>
        <v>Standard</v>
      </c>
    </row>
    <row r="1217" spans="1:10" x14ac:dyDescent="0.3">
      <c r="A1217" s="10">
        <f>'2_Clean_Data'!A1214</f>
        <v>1213</v>
      </c>
      <c r="B1217" s="10">
        <f>INDEX('2_Clean_Data'!$M$2:$M$1360,MATCH($A1217,'2_Clean_Data'!$A$2:$A$1360,0))</f>
        <v>5</v>
      </c>
      <c r="C1217" s="9" t="str">
        <f t="shared" si="72"/>
        <v>Average</v>
      </c>
      <c r="D1217" s="11">
        <f>INDEX('2_Clean_Data'!$L$2:$L$1360,MATCH($A1217,'2_Clean_Data'!$A$2:$A$1360,0))</f>
        <v>10.4</v>
      </c>
      <c r="E1217" s="9" t="str">
        <f>IF(D1217&lt;'3_Summary_Tables'!$C$16,"Low",IF(D1217&lt;'3_Summary_Tables'!$C$17,"Medium","High"))</f>
        <v>Medium</v>
      </c>
      <c r="F1217" s="12">
        <f>INDEX('2_Clean_Data'!$C$2:$C$1360,MATCH($A1217,'2_Clean_Data'!$A$2:$A$1360,0))</f>
        <v>0.41</v>
      </c>
      <c r="G1217" s="10">
        <f>INDEX('2_Clean_Data'!$H$2:$H$1360,MATCH($A1217,'2_Clean_Data'!$A$2:$A$1360,0))</f>
        <v>47</v>
      </c>
      <c r="H1217" s="9" t="str">
        <f t="shared" si="73"/>
        <v>Low</v>
      </c>
      <c r="I1217" s="9" t="str">
        <f t="shared" si="74"/>
        <v>OK</v>
      </c>
      <c r="J1217" s="9" t="str">
        <f t="shared" si="75"/>
        <v>Standard</v>
      </c>
    </row>
    <row r="1218" spans="1:10" x14ac:dyDescent="0.3">
      <c r="A1218" s="10">
        <f>'2_Clean_Data'!A1215</f>
        <v>1214</v>
      </c>
      <c r="B1218" s="10">
        <f>INDEX('2_Clean_Data'!$M$2:$M$1360,MATCH($A1218,'2_Clean_Data'!$A$2:$A$1360,0))</f>
        <v>6</v>
      </c>
      <c r="C1218" s="9" t="str">
        <f t="shared" si="72"/>
        <v>Above Average</v>
      </c>
      <c r="D1218" s="11">
        <f>INDEX('2_Clean_Data'!$L$2:$L$1360,MATCH($A1218,'2_Clean_Data'!$A$2:$A$1360,0))</f>
        <v>9.9</v>
      </c>
      <c r="E1218" s="9" t="str">
        <f>IF(D1218&lt;'3_Summary_Tables'!$C$16,"Low",IF(D1218&lt;'3_Summary_Tables'!$C$17,"Medium","High"))</f>
        <v>Low</v>
      </c>
      <c r="F1218" s="12">
        <f>INDEX('2_Clean_Data'!$C$2:$C$1360,MATCH($A1218,'2_Clean_Data'!$A$2:$A$1360,0))</f>
        <v>0.43</v>
      </c>
      <c r="G1218" s="10">
        <f>INDEX('2_Clean_Data'!$H$2:$H$1360,MATCH($A1218,'2_Clean_Data'!$A$2:$A$1360,0))</f>
        <v>74</v>
      </c>
      <c r="H1218" s="9" t="str">
        <f t="shared" si="73"/>
        <v>Moderate</v>
      </c>
      <c r="I1218" s="9" t="str">
        <f t="shared" si="74"/>
        <v>OK</v>
      </c>
      <c r="J1218" s="9" t="str">
        <f t="shared" si="75"/>
        <v>Solid</v>
      </c>
    </row>
    <row r="1219" spans="1:10" x14ac:dyDescent="0.3">
      <c r="A1219" s="10">
        <f>'2_Clean_Data'!A1216</f>
        <v>1215</v>
      </c>
      <c r="B1219" s="10">
        <f>INDEX('2_Clean_Data'!$M$2:$M$1360,MATCH($A1219,'2_Clean_Data'!$A$2:$A$1360,0))</f>
        <v>6</v>
      </c>
      <c r="C1219" s="9" t="str">
        <f t="shared" si="72"/>
        <v>Above Average</v>
      </c>
      <c r="D1219" s="11">
        <f>INDEX('2_Clean_Data'!$L$2:$L$1360,MATCH($A1219,'2_Clean_Data'!$A$2:$A$1360,0))</f>
        <v>11.7</v>
      </c>
      <c r="E1219" s="9" t="str">
        <f>IF(D1219&lt;'3_Summary_Tables'!$C$16,"Low",IF(D1219&lt;'3_Summary_Tables'!$C$17,"Medium","High"))</f>
        <v>High</v>
      </c>
      <c r="F1219" s="12">
        <f>INDEX('2_Clean_Data'!$C$2:$C$1360,MATCH($A1219,'2_Clean_Data'!$A$2:$A$1360,0))</f>
        <v>0.44</v>
      </c>
      <c r="G1219" s="10">
        <f>INDEX('2_Clean_Data'!$H$2:$H$1360,MATCH($A1219,'2_Clean_Data'!$A$2:$A$1360,0))</f>
        <v>11</v>
      </c>
      <c r="H1219" s="9" t="str">
        <f t="shared" si="73"/>
        <v>Low</v>
      </c>
      <c r="I1219" s="9" t="str">
        <f t="shared" si="74"/>
        <v>OK</v>
      </c>
      <c r="J1219" s="9" t="str">
        <f t="shared" si="75"/>
        <v>Solid</v>
      </c>
    </row>
    <row r="1220" spans="1:10" x14ac:dyDescent="0.3">
      <c r="A1220" s="10">
        <f>'2_Clean_Data'!A1217</f>
        <v>1216</v>
      </c>
      <c r="B1220" s="10">
        <f>INDEX('2_Clean_Data'!$M$2:$M$1360,MATCH($A1220,'2_Clean_Data'!$A$2:$A$1360,0))</f>
        <v>7</v>
      </c>
      <c r="C1220" s="9" t="str">
        <f t="shared" si="72"/>
        <v>Good</v>
      </c>
      <c r="D1220" s="11">
        <f>INDEX('2_Clean_Data'!$L$2:$L$1360,MATCH($A1220,'2_Clean_Data'!$A$2:$A$1360,0))</f>
        <v>10.1</v>
      </c>
      <c r="E1220" s="9" t="str">
        <f>IF(D1220&lt;'3_Summary_Tables'!$C$16,"Low",IF(D1220&lt;'3_Summary_Tables'!$C$17,"Medium","High"))</f>
        <v>Medium</v>
      </c>
      <c r="F1220" s="12">
        <f>INDEX('2_Clean_Data'!$C$2:$C$1360,MATCH($A1220,'2_Clean_Data'!$A$2:$A$1360,0))</f>
        <v>0.4</v>
      </c>
      <c r="G1220" s="10">
        <f>INDEX('2_Clean_Data'!$H$2:$H$1360,MATCH($A1220,'2_Clean_Data'!$A$2:$A$1360,0))</f>
        <v>25</v>
      </c>
      <c r="H1220" s="9" t="str">
        <f t="shared" si="73"/>
        <v>Low</v>
      </c>
      <c r="I1220" s="9" t="str">
        <f t="shared" si="74"/>
        <v>OK</v>
      </c>
      <c r="J1220" s="9" t="str">
        <f t="shared" si="75"/>
        <v>Solid</v>
      </c>
    </row>
    <row r="1221" spans="1:10" x14ac:dyDescent="0.3">
      <c r="A1221" s="10">
        <f>'2_Clean_Data'!A1218</f>
        <v>1217</v>
      </c>
      <c r="B1221" s="10">
        <f>INDEX('2_Clean_Data'!$M$2:$M$1360,MATCH($A1221,'2_Clean_Data'!$A$2:$A$1360,0))</f>
        <v>6</v>
      </c>
      <c r="C1221" s="9" t="str">
        <f t="shared" ref="C1221:C1284" si="76">VLOOKUP(B1221,$L$12:$N$17,2,FALSE())</f>
        <v>Above Average</v>
      </c>
      <c r="D1221" s="11">
        <f>INDEX('2_Clean_Data'!$L$2:$L$1360,MATCH($A1221,'2_Clean_Data'!$A$2:$A$1360,0))</f>
        <v>9</v>
      </c>
      <c r="E1221" s="9" t="str">
        <f>IF(D1221&lt;'3_Summary_Tables'!$C$16,"Low",IF(D1221&lt;'3_Summary_Tables'!$C$17,"Medium","High"))</f>
        <v>Low</v>
      </c>
      <c r="F1221" s="12">
        <f>INDEX('2_Clean_Data'!$C$2:$C$1360,MATCH($A1221,'2_Clean_Data'!$A$2:$A$1360,0))</f>
        <v>0.54</v>
      </c>
      <c r="G1221" s="10">
        <f>INDEX('2_Clean_Data'!$H$2:$H$1360,MATCH($A1221,'2_Clean_Data'!$A$2:$A$1360,0))</f>
        <v>95</v>
      </c>
      <c r="H1221" s="9" t="str">
        <f t="shared" ref="H1221:H1284" si="77">IF(G1221&gt;$M$8,"High",IF(G1221&gt;$M$7,"Moderate","Low"))</f>
        <v>Moderate</v>
      </c>
      <c r="I1221" s="9" t="str">
        <f t="shared" ref="I1221:I1284" si="78">IF(F1221&gt;$M$6,"Above limit","OK")</f>
        <v>OK</v>
      </c>
      <c r="J1221" s="9" t="str">
        <f t="shared" ref="J1221:J1284" si="79">IF(AND(B1221&gt;=7,E1221="High"),"Premium",IF(AND(B1221&gt;=6,I1221="OK"),"Solid",IF(B1221&lt;=4,"Poor","Standard")))</f>
        <v>Solid</v>
      </c>
    </row>
    <row r="1222" spans="1:10" x14ac:dyDescent="0.3">
      <c r="A1222" s="10">
        <f>'2_Clean_Data'!A1219</f>
        <v>1218</v>
      </c>
      <c r="B1222" s="10">
        <f>INDEX('2_Clean_Data'!$M$2:$M$1360,MATCH($A1222,'2_Clean_Data'!$A$2:$A$1360,0))</f>
        <v>5</v>
      </c>
      <c r="C1222" s="9" t="str">
        <f t="shared" si="76"/>
        <v>Average</v>
      </c>
      <c r="D1222" s="11">
        <f>INDEX('2_Clean_Data'!$L$2:$L$1360,MATCH($A1222,'2_Clean_Data'!$A$2:$A$1360,0))</f>
        <v>8.5</v>
      </c>
      <c r="E1222" s="9" t="str">
        <f>IF(D1222&lt;'3_Summary_Tables'!$C$16,"Low",IF(D1222&lt;'3_Summary_Tables'!$C$17,"Medium","High"))</f>
        <v>Low</v>
      </c>
      <c r="F1222" s="12">
        <f>INDEX('2_Clean_Data'!$C$2:$C$1360,MATCH($A1222,'2_Clean_Data'!$A$2:$A$1360,0))</f>
        <v>0.38</v>
      </c>
      <c r="G1222" s="10">
        <f>INDEX('2_Clean_Data'!$H$2:$H$1360,MATCH($A1222,'2_Clean_Data'!$A$2:$A$1360,0))</f>
        <v>90</v>
      </c>
      <c r="H1222" s="9" t="str">
        <f t="shared" si="77"/>
        <v>Moderate</v>
      </c>
      <c r="I1222" s="9" t="str">
        <f t="shared" si="78"/>
        <v>OK</v>
      </c>
      <c r="J1222" s="9" t="str">
        <f t="shared" si="79"/>
        <v>Standard</v>
      </c>
    </row>
    <row r="1223" spans="1:10" x14ac:dyDescent="0.3">
      <c r="A1223" s="10">
        <f>'2_Clean_Data'!A1220</f>
        <v>1219</v>
      </c>
      <c r="B1223" s="10">
        <f>INDEX('2_Clean_Data'!$M$2:$M$1360,MATCH($A1223,'2_Clean_Data'!$A$2:$A$1360,0))</f>
        <v>5</v>
      </c>
      <c r="C1223" s="9" t="str">
        <f t="shared" si="76"/>
        <v>Average</v>
      </c>
      <c r="D1223" s="11">
        <f>INDEX('2_Clean_Data'!$L$2:$L$1360,MATCH($A1223,'2_Clean_Data'!$A$2:$A$1360,0))</f>
        <v>11.1</v>
      </c>
      <c r="E1223" s="9" t="str">
        <f>IF(D1223&lt;'3_Summary_Tables'!$C$16,"Low",IF(D1223&lt;'3_Summary_Tables'!$C$17,"Medium","High"))</f>
        <v>Medium</v>
      </c>
      <c r="F1223" s="12">
        <f>INDEX('2_Clean_Data'!$C$2:$C$1360,MATCH($A1223,'2_Clean_Data'!$A$2:$A$1360,0))</f>
        <v>0.91500000000000004</v>
      </c>
      <c r="G1223" s="10">
        <f>INDEX('2_Clean_Data'!$H$2:$H$1360,MATCH($A1223,'2_Clean_Data'!$A$2:$A$1360,0))</f>
        <v>39</v>
      </c>
      <c r="H1223" s="9" t="str">
        <f t="shared" si="77"/>
        <v>Low</v>
      </c>
      <c r="I1223" s="9" t="str">
        <f t="shared" si="78"/>
        <v>Above limit</v>
      </c>
      <c r="J1223" s="9" t="str">
        <f t="shared" si="79"/>
        <v>Standard</v>
      </c>
    </row>
    <row r="1224" spans="1:10" x14ac:dyDescent="0.3">
      <c r="A1224" s="10">
        <f>'2_Clean_Data'!A1221</f>
        <v>1220</v>
      </c>
      <c r="B1224" s="10">
        <f>INDEX('2_Clean_Data'!$M$2:$M$1360,MATCH($A1224,'2_Clean_Data'!$A$2:$A$1360,0))</f>
        <v>5</v>
      </c>
      <c r="C1224" s="9" t="str">
        <f t="shared" si="76"/>
        <v>Average</v>
      </c>
      <c r="D1224" s="11">
        <f>INDEX('2_Clean_Data'!$L$2:$L$1360,MATCH($A1224,'2_Clean_Data'!$A$2:$A$1360,0))</f>
        <v>10.3</v>
      </c>
      <c r="E1224" s="9" t="str">
        <f>IF(D1224&lt;'3_Summary_Tables'!$C$16,"Low",IF(D1224&lt;'3_Summary_Tables'!$C$17,"Medium","High"))</f>
        <v>Medium</v>
      </c>
      <c r="F1224" s="12">
        <f>INDEX('2_Clean_Data'!$C$2:$C$1360,MATCH($A1224,'2_Clean_Data'!$A$2:$A$1360,0))</f>
        <v>0.59</v>
      </c>
      <c r="G1224" s="10">
        <f>INDEX('2_Clean_Data'!$H$2:$H$1360,MATCH($A1224,'2_Clean_Data'!$A$2:$A$1360,0))</f>
        <v>8</v>
      </c>
      <c r="H1224" s="9" t="str">
        <f t="shared" si="77"/>
        <v>Low</v>
      </c>
      <c r="I1224" s="9" t="str">
        <f t="shared" si="78"/>
        <v>OK</v>
      </c>
      <c r="J1224" s="9" t="str">
        <f t="shared" si="79"/>
        <v>Standard</v>
      </c>
    </row>
    <row r="1225" spans="1:10" x14ac:dyDescent="0.3">
      <c r="A1225" s="10">
        <f>'2_Clean_Data'!A1222</f>
        <v>1221</v>
      </c>
      <c r="B1225" s="10">
        <f>INDEX('2_Clean_Data'!$M$2:$M$1360,MATCH($A1225,'2_Clean_Data'!$A$2:$A$1360,0))</f>
        <v>6</v>
      </c>
      <c r="C1225" s="9" t="str">
        <f t="shared" si="76"/>
        <v>Above Average</v>
      </c>
      <c r="D1225" s="11">
        <f>INDEX('2_Clean_Data'!$L$2:$L$1360,MATCH($A1225,'2_Clean_Data'!$A$2:$A$1360,0))</f>
        <v>11.0666666666667</v>
      </c>
      <c r="E1225" s="9" t="str">
        <f>IF(D1225&lt;'3_Summary_Tables'!$C$16,"Low",IF(D1225&lt;'3_Summary_Tables'!$C$17,"Medium","High"))</f>
        <v>Medium</v>
      </c>
      <c r="F1225" s="12">
        <f>INDEX('2_Clean_Data'!$C$2:$C$1360,MATCH($A1225,'2_Clean_Data'!$A$2:$A$1360,0))</f>
        <v>0.67</v>
      </c>
      <c r="G1225" s="10">
        <f>INDEX('2_Clean_Data'!$H$2:$H$1360,MATCH($A1225,'2_Clean_Data'!$A$2:$A$1360,0))</f>
        <v>92</v>
      </c>
      <c r="H1225" s="9" t="str">
        <f t="shared" si="77"/>
        <v>Moderate</v>
      </c>
      <c r="I1225" s="9" t="str">
        <f t="shared" si="78"/>
        <v>OK</v>
      </c>
      <c r="J1225" s="9" t="str">
        <f t="shared" si="79"/>
        <v>Solid</v>
      </c>
    </row>
    <row r="1226" spans="1:10" x14ac:dyDescent="0.3">
      <c r="A1226" s="10">
        <f>'2_Clean_Data'!A1223</f>
        <v>1222</v>
      </c>
      <c r="B1226" s="10">
        <f>INDEX('2_Clean_Data'!$M$2:$M$1360,MATCH($A1226,'2_Clean_Data'!$A$2:$A$1360,0))</f>
        <v>7</v>
      </c>
      <c r="C1226" s="9" t="str">
        <f t="shared" si="76"/>
        <v>Good</v>
      </c>
      <c r="D1226" s="11">
        <f>INDEX('2_Clean_Data'!$L$2:$L$1360,MATCH($A1226,'2_Clean_Data'!$A$2:$A$1360,0))</f>
        <v>11.3</v>
      </c>
      <c r="E1226" s="9" t="str">
        <f>IF(D1226&lt;'3_Summary_Tables'!$C$16,"Low",IF(D1226&lt;'3_Summary_Tables'!$C$17,"Medium","High"))</f>
        <v>Medium</v>
      </c>
      <c r="F1226" s="12">
        <f>INDEX('2_Clean_Data'!$C$2:$C$1360,MATCH($A1226,'2_Clean_Data'!$A$2:$A$1360,0))</f>
        <v>0.37</v>
      </c>
      <c r="G1226" s="10">
        <f>INDEX('2_Clean_Data'!$H$2:$H$1360,MATCH($A1226,'2_Clean_Data'!$A$2:$A$1360,0))</f>
        <v>28</v>
      </c>
      <c r="H1226" s="9" t="str">
        <f t="shared" si="77"/>
        <v>Low</v>
      </c>
      <c r="I1226" s="9" t="str">
        <f t="shared" si="78"/>
        <v>OK</v>
      </c>
      <c r="J1226" s="9" t="str">
        <f t="shared" si="79"/>
        <v>Solid</v>
      </c>
    </row>
    <row r="1227" spans="1:10" x14ac:dyDescent="0.3">
      <c r="A1227" s="10">
        <f>'2_Clean_Data'!A1224</f>
        <v>1223</v>
      </c>
      <c r="B1227" s="10">
        <f>INDEX('2_Clean_Data'!$M$2:$M$1360,MATCH($A1227,'2_Clean_Data'!$A$2:$A$1360,0))</f>
        <v>6</v>
      </c>
      <c r="C1227" s="9" t="str">
        <f t="shared" si="76"/>
        <v>Above Average</v>
      </c>
      <c r="D1227" s="11">
        <f>INDEX('2_Clean_Data'!$L$2:$L$1360,MATCH($A1227,'2_Clean_Data'!$A$2:$A$1360,0))</f>
        <v>9.56666666666667</v>
      </c>
      <c r="E1227" s="9" t="str">
        <f>IF(D1227&lt;'3_Summary_Tables'!$C$16,"Low",IF(D1227&lt;'3_Summary_Tables'!$C$17,"Medium","High"))</f>
        <v>Low</v>
      </c>
      <c r="F1227" s="12">
        <f>INDEX('2_Clean_Data'!$C$2:$C$1360,MATCH($A1227,'2_Clean_Data'!$A$2:$A$1360,0))</f>
        <v>0.78500000000000003</v>
      </c>
      <c r="G1227" s="10">
        <f>INDEX('2_Clean_Data'!$H$2:$H$1360,MATCH($A1227,'2_Clean_Data'!$A$2:$A$1360,0))</f>
        <v>98</v>
      </c>
      <c r="H1227" s="9" t="str">
        <f t="shared" si="77"/>
        <v>Moderate</v>
      </c>
      <c r="I1227" s="9" t="str">
        <f t="shared" si="78"/>
        <v>Above limit</v>
      </c>
      <c r="J1227" s="9" t="str">
        <f t="shared" si="79"/>
        <v>Standard</v>
      </c>
    </row>
    <row r="1228" spans="1:10" x14ac:dyDescent="0.3">
      <c r="A1228" s="10">
        <f>'2_Clean_Data'!A1225</f>
        <v>1224</v>
      </c>
      <c r="B1228" s="10">
        <f>INDEX('2_Clean_Data'!$M$2:$M$1360,MATCH($A1228,'2_Clean_Data'!$A$2:$A$1360,0))</f>
        <v>5</v>
      </c>
      <c r="C1228" s="9" t="str">
        <f t="shared" si="76"/>
        <v>Average</v>
      </c>
      <c r="D1228" s="11">
        <f>INDEX('2_Clean_Data'!$L$2:$L$1360,MATCH($A1228,'2_Clean_Data'!$A$2:$A$1360,0))</f>
        <v>9.8000000000000007</v>
      </c>
      <c r="E1228" s="9" t="str">
        <f>IF(D1228&lt;'3_Summary_Tables'!$C$16,"Low",IF(D1228&lt;'3_Summary_Tables'!$C$17,"Medium","High"))</f>
        <v>Low</v>
      </c>
      <c r="F1228" s="12">
        <f>INDEX('2_Clean_Data'!$C$2:$C$1360,MATCH($A1228,'2_Clean_Data'!$A$2:$A$1360,0))</f>
        <v>0.63</v>
      </c>
      <c r="G1228" s="10">
        <f>INDEX('2_Clean_Data'!$H$2:$H$1360,MATCH($A1228,'2_Clean_Data'!$A$2:$A$1360,0))</f>
        <v>30</v>
      </c>
      <c r="H1228" s="9" t="str">
        <f t="shared" si="77"/>
        <v>Low</v>
      </c>
      <c r="I1228" s="9" t="str">
        <f t="shared" si="78"/>
        <v>OK</v>
      </c>
      <c r="J1228" s="9" t="str">
        <f t="shared" si="79"/>
        <v>Standard</v>
      </c>
    </row>
    <row r="1229" spans="1:10" x14ac:dyDescent="0.3">
      <c r="A1229" s="10">
        <f>'2_Clean_Data'!A1226</f>
        <v>1225</v>
      </c>
      <c r="B1229" s="10">
        <f>INDEX('2_Clean_Data'!$M$2:$M$1360,MATCH($A1229,'2_Clean_Data'!$A$2:$A$1360,0))</f>
        <v>5</v>
      </c>
      <c r="C1229" s="9" t="str">
        <f t="shared" si="76"/>
        <v>Average</v>
      </c>
      <c r="D1229" s="11">
        <f>INDEX('2_Clean_Data'!$L$2:$L$1360,MATCH($A1229,'2_Clean_Data'!$A$2:$A$1360,0))</f>
        <v>11.7</v>
      </c>
      <c r="E1229" s="9" t="str">
        <f>IF(D1229&lt;'3_Summary_Tables'!$C$16,"Low",IF(D1229&lt;'3_Summary_Tables'!$C$17,"Medium","High"))</f>
        <v>High</v>
      </c>
      <c r="F1229" s="12">
        <f>INDEX('2_Clean_Data'!$C$2:$C$1360,MATCH($A1229,'2_Clean_Data'!$A$2:$A$1360,0))</f>
        <v>0.57999999999999996</v>
      </c>
      <c r="G1229" s="10">
        <f>INDEX('2_Clean_Data'!$H$2:$H$1360,MATCH($A1229,'2_Clean_Data'!$A$2:$A$1360,0))</f>
        <v>22</v>
      </c>
      <c r="H1229" s="9" t="str">
        <f t="shared" si="77"/>
        <v>Low</v>
      </c>
      <c r="I1229" s="9" t="str">
        <f t="shared" si="78"/>
        <v>OK</v>
      </c>
      <c r="J1229" s="9" t="str">
        <f t="shared" si="79"/>
        <v>Standard</v>
      </c>
    </row>
    <row r="1230" spans="1:10" x14ac:dyDescent="0.3">
      <c r="A1230" s="10">
        <f>'2_Clean_Data'!A1227</f>
        <v>1226</v>
      </c>
      <c r="B1230" s="10">
        <f>INDEX('2_Clean_Data'!$M$2:$M$1360,MATCH($A1230,'2_Clean_Data'!$A$2:$A$1360,0))</f>
        <v>6</v>
      </c>
      <c r="C1230" s="9" t="str">
        <f t="shared" si="76"/>
        <v>Above Average</v>
      </c>
      <c r="D1230" s="11">
        <f>INDEX('2_Clean_Data'!$L$2:$L$1360,MATCH($A1230,'2_Clean_Data'!$A$2:$A$1360,0))</f>
        <v>11.1</v>
      </c>
      <c r="E1230" s="9" t="str">
        <f>IF(D1230&lt;'3_Summary_Tables'!$C$16,"Low",IF(D1230&lt;'3_Summary_Tables'!$C$17,"Medium","High"))</f>
        <v>Medium</v>
      </c>
      <c r="F1230" s="12">
        <f>INDEX('2_Clean_Data'!$C$2:$C$1360,MATCH($A1230,'2_Clean_Data'!$A$2:$A$1360,0))</f>
        <v>0.67</v>
      </c>
      <c r="G1230" s="10">
        <f>INDEX('2_Clean_Data'!$H$2:$H$1360,MATCH($A1230,'2_Clean_Data'!$A$2:$A$1360,0))</f>
        <v>92</v>
      </c>
      <c r="H1230" s="9" t="str">
        <f t="shared" si="77"/>
        <v>Moderate</v>
      </c>
      <c r="I1230" s="9" t="str">
        <f t="shared" si="78"/>
        <v>OK</v>
      </c>
      <c r="J1230" s="9" t="str">
        <f t="shared" si="79"/>
        <v>Solid</v>
      </c>
    </row>
    <row r="1231" spans="1:10" x14ac:dyDescent="0.3">
      <c r="A1231" s="10">
        <f>'2_Clean_Data'!A1228</f>
        <v>1227</v>
      </c>
      <c r="B1231" s="10">
        <f>INDEX('2_Clean_Data'!$M$2:$M$1360,MATCH($A1231,'2_Clean_Data'!$A$2:$A$1360,0))</f>
        <v>6</v>
      </c>
      <c r="C1231" s="9" t="str">
        <f t="shared" si="76"/>
        <v>Above Average</v>
      </c>
      <c r="D1231" s="11">
        <f>INDEX('2_Clean_Data'!$L$2:$L$1360,MATCH($A1231,'2_Clean_Data'!$A$2:$A$1360,0))</f>
        <v>9.6</v>
      </c>
      <c r="E1231" s="9" t="str">
        <f>IF(D1231&lt;'3_Summary_Tables'!$C$16,"Low",IF(D1231&lt;'3_Summary_Tables'!$C$17,"Medium","High"))</f>
        <v>Low</v>
      </c>
      <c r="F1231" s="12">
        <f>INDEX('2_Clean_Data'!$C$2:$C$1360,MATCH($A1231,'2_Clean_Data'!$A$2:$A$1360,0))</f>
        <v>0.78500000000000003</v>
      </c>
      <c r="G1231" s="10">
        <f>INDEX('2_Clean_Data'!$H$2:$H$1360,MATCH($A1231,'2_Clean_Data'!$A$2:$A$1360,0))</f>
        <v>98</v>
      </c>
      <c r="H1231" s="9" t="str">
        <f t="shared" si="77"/>
        <v>Moderate</v>
      </c>
      <c r="I1231" s="9" t="str">
        <f t="shared" si="78"/>
        <v>Above limit</v>
      </c>
      <c r="J1231" s="9" t="str">
        <f t="shared" si="79"/>
        <v>Standard</v>
      </c>
    </row>
    <row r="1232" spans="1:10" x14ac:dyDescent="0.3">
      <c r="A1232" s="10">
        <f>'2_Clean_Data'!A1229</f>
        <v>1228</v>
      </c>
      <c r="B1232" s="10">
        <f>INDEX('2_Clean_Data'!$M$2:$M$1360,MATCH($A1232,'2_Clean_Data'!$A$2:$A$1360,0))</f>
        <v>5</v>
      </c>
      <c r="C1232" s="9" t="str">
        <f t="shared" si="76"/>
        <v>Average</v>
      </c>
      <c r="D1232" s="11">
        <f>INDEX('2_Clean_Data'!$L$2:$L$1360,MATCH($A1232,'2_Clean_Data'!$A$2:$A$1360,0))</f>
        <v>9.6999999999999993</v>
      </c>
      <c r="E1232" s="9" t="str">
        <f>IF(D1232&lt;'3_Summary_Tables'!$C$16,"Low",IF(D1232&lt;'3_Summary_Tables'!$C$17,"Medium","High"))</f>
        <v>Low</v>
      </c>
      <c r="F1232" s="12">
        <f>INDEX('2_Clean_Data'!$C$2:$C$1360,MATCH($A1232,'2_Clean_Data'!$A$2:$A$1360,0))</f>
        <v>0.67</v>
      </c>
      <c r="G1232" s="10">
        <f>INDEX('2_Clean_Data'!$H$2:$H$1360,MATCH($A1232,'2_Clean_Data'!$A$2:$A$1360,0))</f>
        <v>39</v>
      </c>
      <c r="H1232" s="9" t="str">
        <f t="shared" si="77"/>
        <v>Low</v>
      </c>
      <c r="I1232" s="9" t="str">
        <f t="shared" si="78"/>
        <v>OK</v>
      </c>
      <c r="J1232" s="9" t="str">
        <f t="shared" si="79"/>
        <v>Standard</v>
      </c>
    </row>
    <row r="1233" spans="1:10" x14ac:dyDescent="0.3">
      <c r="A1233" s="10">
        <f>'2_Clean_Data'!A1230</f>
        <v>1229</v>
      </c>
      <c r="B1233" s="10">
        <f>INDEX('2_Clean_Data'!$M$2:$M$1360,MATCH($A1233,'2_Clean_Data'!$A$2:$A$1360,0))</f>
        <v>5</v>
      </c>
      <c r="C1233" s="9" t="str">
        <f t="shared" si="76"/>
        <v>Average</v>
      </c>
      <c r="D1233" s="11">
        <f>INDEX('2_Clean_Data'!$L$2:$L$1360,MATCH($A1233,'2_Clean_Data'!$A$2:$A$1360,0))</f>
        <v>9.6999999999999993</v>
      </c>
      <c r="E1233" s="9" t="str">
        <f>IF(D1233&lt;'3_Summary_Tables'!$C$16,"Low",IF(D1233&lt;'3_Summary_Tables'!$C$17,"Medium","High"))</f>
        <v>Low</v>
      </c>
      <c r="F1233" s="12">
        <f>INDEX('2_Clean_Data'!$C$2:$C$1360,MATCH($A1233,'2_Clean_Data'!$A$2:$A$1360,0))</f>
        <v>0.57999999999999996</v>
      </c>
      <c r="G1233" s="10">
        <f>INDEX('2_Clean_Data'!$H$2:$H$1360,MATCH($A1233,'2_Clean_Data'!$A$2:$A$1360,0))</f>
        <v>54</v>
      </c>
      <c r="H1233" s="9" t="str">
        <f t="shared" si="77"/>
        <v>Moderate</v>
      </c>
      <c r="I1233" s="9" t="str">
        <f t="shared" si="78"/>
        <v>OK</v>
      </c>
      <c r="J1233" s="9" t="str">
        <f t="shared" si="79"/>
        <v>Standard</v>
      </c>
    </row>
    <row r="1234" spans="1:10" x14ac:dyDescent="0.3">
      <c r="A1234" s="10">
        <f>'2_Clean_Data'!A1231</f>
        <v>1230</v>
      </c>
      <c r="B1234" s="10">
        <f>INDEX('2_Clean_Data'!$M$2:$M$1360,MATCH($A1234,'2_Clean_Data'!$A$2:$A$1360,0))</f>
        <v>8</v>
      </c>
      <c r="C1234" s="9" t="str">
        <f t="shared" si="76"/>
        <v>Excellent</v>
      </c>
      <c r="D1234" s="11">
        <f>INDEX('2_Clean_Data'!$L$2:$L$1360,MATCH($A1234,'2_Clean_Data'!$A$2:$A$1360,0))</f>
        <v>11.3</v>
      </c>
      <c r="E1234" s="9" t="str">
        <f>IF(D1234&lt;'3_Summary_Tables'!$C$16,"Low",IF(D1234&lt;'3_Summary_Tables'!$C$17,"Medium","High"))</f>
        <v>Medium</v>
      </c>
      <c r="F1234" s="12">
        <f>INDEX('2_Clean_Data'!$C$2:$C$1360,MATCH($A1234,'2_Clean_Data'!$A$2:$A$1360,0))</f>
        <v>0.38</v>
      </c>
      <c r="G1234" s="10">
        <f>INDEX('2_Clean_Data'!$H$2:$H$1360,MATCH($A1234,'2_Clean_Data'!$A$2:$A$1360,0))</f>
        <v>29</v>
      </c>
      <c r="H1234" s="9" t="str">
        <f t="shared" si="77"/>
        <v>Low</v>
      </c>
      <c r="I1234" s="9" t="str">
        <f t="shared" si="78"/>
        <v>OK</v>
      </c>
      <c r="J1234" s="9" t="str">
        <f t="shared" si="79"/>
        <v>Solid</v>
      </c>
    </row>
    <row r="1235" spans="1:10" x14ac:dyDescent="0.3">
      <c r="A1235" s="10">
        <f>'2_Clean_Data'!A1232</f>
        <v>1231</v>
      </c>
      <c r="B1235" s="10">
        <f>INDEX('2_Clean_Data'!$M$2:$M$1360,MATCH($A1235,'2_Clean_Data'!$A$2:$A$1360,0))</f>
        <v>7</v>
      </c>
      <c r="C1235" s="9" t="str">
        <f t="shared" si="76"/>
        <v>Good</v>
      </c>
      <c r="D1235" s="11">
        <f>INDEX('2_Clean_Data'!$L$2:$L$1360,MATCH($A1235,'2_Clean_Data'!$A$2:$A$1360,0))</f>
        <v>11</v>
      </c>
      <c r="E1235" s="9" t="str">
        <f>IF(D1235&lt;'3_Summary_Tables'!$C$16,"Low",IF(D1235&lt;'3_Summary_Tables'!$C$17,"Medium","High"))</f>
        <v>Medium</v>
      </c>
      <c r="F1235" s="12">
        <f>INDEX('2_Clean_Data'!$C$2:$C$1360,MATCH($A1235,'2_Clean_Data'!$A$2:$A$1360,0))</f>
        <v>0.32</v>
      </c>
      <c r="G1235" s="10">
        <f>INDEX('2_Clean_Data'!$H$2:$H$1360,MATCH($A1235,'2_Clean_Data'!$A$2:$A$1360,0))</f>
        <v>17</v>
      </c>
      <c r="H1235" s="9" t="str">
        <f t="shared" si="77"/>
        <v>Low</v>
      </c>
      <c r="I1235" s="9" t="str">
        <f t="shared" si="78"/>
        <v>OK</v>
      </c>
      <c r="J1235" s="9" t="str">
        <f t="shared" si="79"/>
        <v>Solid</v>
      </c>
    </row>
    <row r="1236" spans="1:10" x14ac:dyDescent="0.3">
      <c r="A1236" s="10">
        <f>'2_Clean_Data'!A1233</f>
        <v>1232</v>
      </c>
      <c r="B1236" s="10">
        <f>INDEX('2_Clean_Data'!$M$2:$M$1360,MATCH($A1236,'2_Clean_Data'!$A$2:$A$1360,0))</f>
        <v>7</v>
      </c>
      <c r="C1236" s="9" t="str">
        <f t="shared" si="76"/>
        <v>Good</v>
      </c>
      <c r="D1236" s="11">
        <f>INDEX('2_Clean_Data'!$L$2:$L$1360,MATCH($A1236,'2_Clean_Data'!$A$2:$A$1360,0))</f>
        <v>11.6</v>
      </c>
      <c r="E1236" s="9" t="str">
        <f>IF(D1236&lt;'3_Summary_Tables'!$C$16,"Low",IF(D1236&lt;'3_Summary_Tables'!$C$17,"Medium","High"))</f>
        <v>High</v>
      </c>
      <c r="F1236" s="12">
        <f>INDEX('2_Clean_Data'!$C$2:$C$1360,MATCH($A1236,'2_Clean_Data'!$A$2:$A$1360,0))</f>
        <v>0.57999999999999996</v>
      </c>
      <c r="G1236" s="10">
        <f>INDEX('2_Clean_Data'!$H$2:$H$1360,MATCH($A1236,'2_Clean_Data'!$A$2:$A$1360,0))</f>
        <v>53</v>
      </c>
      <c r="H1236" s="9" t="str">
        <f t="shared" si="77"/>
        <v>Moderate</v>
      </c>
      <c r="I1236" s="9" t="str">
        <f t="shared" si="78"/>
        <v>OK</v>
      </c>
      <c r="J1236" s="9" t="str">
        <f t="shared" si="79"/>
        <v>Premium</v>
      </c>
    </row>
    <row r="1237" spans="1:10" x14ac:dyDescent="0.3">
      <c r="A1237" s="10">
        <f>'2_Clean_Data'!A1234</f>
        <v>1233</v>
      </c>
      <c r="B1237" s="10">
        <f>INDEX('2_Clean_Data'!$M$2:$M$1360,MATCH($A1237,'2_Clean_Data'!$A$2:$A$1360,0))</f>
        <v>5</v>
      </c>
      <c r="C1237" s="9" t="str">
        <f t="shared" si="76"/>
        <v>Average</v>
      </c>
      <c r="D1237" s="11">
        <f>INDEX('2_Clean_Data'!$L$2:$L$1360,MATCH($A1237,'2_Clean_Data'!$A$2:$A$1360,0))</f>
        <v>9</v>
      </c>
      <c r="E1237" s="9" t="str">
        <f>IF(D1237&lt;'3_Summary_Tables'!$C$16,"Low",IF(D1237&lt;'3_Summary_Tables'!$C$17,"Medium","High"))</f>
        <v>Low</v>
      </c>
      <c r="F1237" s="12">
        <f>INDEX('2_Clean_Data'!$C$2:$C$1360,MATCH($A1237,'2_Clean_Data'!$A$2:$A$1360,0))</f>
        <v>0.49</v>
      </c>
      <c r="G1237" s="10">
        <f>INDEX('2_Clean_Data'!$H$2:$H$1360,MATCH($A1237,'2_Clean_Data'!$A$2:$A$1360,0))</f>
        <v>85</v>
      </c>
      <c r="H1237" s="9" t="str">
        <f t="shared" si="77"/>
        <v>Moderate</v>
      </c>
      <c r="I1237" s="9" t="str">
        <f t="shared" si="78"/>
        <v>OK</v>
      </c>
      <c r="J1237" s="9" t="str">
        <f t="shared" si="79"/>
        <v>Standard</v>
      </c>
    </row>
    <row r="1238" spans="1:10" x14ac:dyDescent="0.3">
      <c r="A1238" s="10">
        <f>'2_Clean_Data'!A1235</f>
        <v>1234</v>
      </c>
      <c r="B1238" s="10">
        <f>INDEX('2_Clean_Data'!$M$2:$M$1360,MATCH($A1238,'2_Clean_Data'!$A$2:$A$1360,0))</f>
        <v>6</v>
      </c>
      <c r="C1238" s="9" t="str">
        <f t="shared" si="76"/>
        <v>Above Average</v>
      </c>
      <c r="D1238" s="11">
        <f>INDEX('2_Clean_Data'!$L$2:$L$1360,MATCH($A1238,'2_Clean_Data'!$A$2:$A$1360,0))</f>
        <v>10.9</v>
      </c>
      <c r="E1238" s="9" t="str">
        <f>IF(D1238&lt;'3_Summary_Tables'!$C$16,"Low",IF(D1238&lt;'3_Summary_Tables'!$C$17,"Medium","High"))</f>
        <v>Medium</v>
      </c>
      <c r="F1238" s="12">
        <f>INDEX('2_Clean_Data'!$C$2:$C$1360,MATCH($A1238,'2_Clean_Data'!$A$2:$A$1360,0))</f>
        <v>0.45</v>
      </c>
      <c r="G1238" s="10">
        <f>INDEX('2_Clean_Data'!$H$2:$H$1360,MATCH($A1238,'2_Clean_Data'!$A$2:$A$1360,0))</f>
        <v>23</v>
      </c>
      <c r="H1238" s="9" t="str">
        <f t="shared" si="77"/>
        <v>Low</v>
      </c>
      <c r="I1238" s="9" t="str">
        <f t="shared" si="78"/>
        <v>OK</v>
      </c>
      <c r="J1238" s="9" t="str">
        <f t="shared" si="79"/>
        <v>Solid</v>
      </c>
    </row>
    <row r="1239" spans="1:10" x14ac:dyDescent="0.3">
      <c r="A1239" s="10">
        <f>'2_Clean_Data'!A1236</f>
        <v>1235</v>
      </c>
      <c r="B1239" s="10">
        <f>INDEX('2_Clean_Data'!$M$2:$M$1360,MATCH($A1239,'2_Clean_Data'!$A$2:$A$1360,0))</f>
        <v>6</v>
      </c>
      <c r="C1239" s="9" t="str">
        <f t="shared" si="76"/>
        <v>Above Average</v>
      </c>
      <c r="D1239" s="11">
        <f>INDEX('2_Clean_Data'!$L$2:$L$1360,MATCH($A1239,'2_Clean_Data'!$A$2:$A$1360,0))</f>
        <v>10.9</v>
      </c>
      <c r="E1239" s="9" t="str">
        <f>IF(D1239&lt;'3_Summary_Tables'!$C$16,"Low",IF(D1239&lt;'3_Summary_Tables'!$C$17,"Medium","High"))</f>
        <v>Medium</v>
      </c>
      <c r="F1239" s="12">
        <f>INDEX('2_Clean_Data'!$C$2:$C$1360,MATCH($A1239,'2_Clean_Data'!$A$2:$A$1360,0))</f>
        <v>0.9</v>
      </c>
      <c r="G1239" s="10">
        <f>INDEX('2_Clean_Data'!$H$2:$H$1360,MATCH($A1239,'2_Clean_Data'!$A$2:$A$1360,0))</f>
        <v>17</v>
      </c>
      <c r="H1239" s="9" t="str">
        <f t="shared" si="77"/>
        <v>Low</v>
      </c>
      <c r="I1239" s="9" t="str">
        <f t="shared" si="78"/>
        <v>Above limit</v>
      </c>
      <c r="J1239" s="9" t="str">
        <f t="shared" si="79"/>
        <v>Standard</v>
      </c>
    </row>
    <row r="1240" spans="1:10" x14ac:dyDescent="0.3">
      <c r="A1240" s="10">
        <f>'2_Clean_Data'!A1237</f>
        <v>1236</v>
      </c>
      <c r="B1240" s="10">
        <f>INDEX('2_Clean_Data'!$M$2:$M$1360,MATCH($A1240,'2_Clean_Data'!$A$2:$A$1360,0))</f>
        <v>6</v>
      </c>
      <c r="C1240" s="9" t="str">
        <f t="shared" si="76"/>
        <v>Above Average</v>
      </c>
      <c r="D1240" s="11">
        <f>INDEX('2_Clean_Data'!$L$2:$L$1360,MATCH($A1240,'2_Clean_Data'!$A$2:$A$1360,0))</f>
        <v>10.55</v>
      </c>
      <c r="E1240" s="9" t="str">
        <f>IF(D1240&lt;'3_Summary_Tables'!$C$16,"Low",IF(D1240&lt;'3_Summary_Tables'!$C$17,"Medium","High"))</f>
        <v>Medium</v>
      </c>
      <c r="F1240" s="12">
        <f>INDEX('2_Clean_Data'!$C$2:$C$1360,MATCH($A1240,'2_Clean_Data'!$A$2:$A$1360,0))</f>
        <v>0.54</v>
      </c>
      <c r="G1240" s="10">
        <f>INDEX('2_Clean_Data'!$H$2:$H$1360,MATCH($A1240,'2_Clean_Data'!$A$2:$A$1360,0))</f>
        <v>89</v>
      </c>
      <c r="H1240" s="9" t="str">
        <f t="shared" si="77"/>
        <v>Moderate</v>
      </c>
      <c r="I1240" s="9" t="str">
        <f t="shared" si="78"/>
        <v>OK</v>
      </c>
      <c r="J1240" s="9" t="str">
        <f t="shared" si="79"/>
        <v>Solid</v>
      </c>
    </row>
    <row r="1241" spans="1:10" x14ac:dyDescent="0.3">
      <c r="A1241" s="10">
        <f>'2_Clean_Data'!A1238</f>
        <v>1237</v>
      </c>
      <c r="B1241" s="10">
        <f>INDEX('2_Clean_Data'!$M$2:$M$1360,MATCH($A1241,'2_Clean_Data'!$A$2:$A$1360,0))</f>
        <v>5</v>
      </c>
      <c r="C1241" s="9" t="str">
        <f t="shared" si="76"/>
        <v>Average</v>
      </c>
      <c r="D1241" s="11">
        <f>INDEX('2_Clean_Data'!$L$2:$L$1360,MATCH($A1241,'2_Clean_Data'!$A$2:$A$1360,0))</f>
        <v>10.5</v>
      </c>
      <c r="E1241" s="9" t="str">
        <f>IF(D1241&lt;'3_Summary_Tables'!$C$16,"Low",IF(D1241&lt;'3_Summary_Tables'!$C$17,"Medium","High"))</f>
        <v>Medium</v>
      </c>
      <c r="F1241" s="12">
        <f>INDEX('2_Clean_Data'!$C$2:$C$1360,MATCH($A1241,'2_Clean_Data'!$A$2:$A$1360,0))</f>
        <v>0.28999999999999998</v>
      </c>
      <c r="G1241" s="10">
        <f>INDEX('2_Clean_Data'!$H$2:$H$1360,MATCH($A1241,'2_Clean_Data'!$A$2:$A$1360,0))</f>
        <v>20</v>
      </c>
      <c r="H1241" s="9" t="str">
        <f t="shared" si="77"/>
        <v>Low</v>
      </c>
      <c r="I1241" s="9" t="str">
        <f t="shared" si="78"/>
        <v>OK</v>
      </c>
      <c r="J1241" s="9" t="str">
        <f t="shared" si="79"/>
        <v>Standard</v>
      </c>
    </row>
    <row r="1242" spans="1:10" x14ac:dyDescent="0.3">
      <c r="A1242" s="10">
        <f>'2_Clean_Data'!A1239</f>
        <v>1238</v>
      </c>
      <c r="B1242" s="10">
        <f>INDEX('2_Clean_Data'!$M$2:$M$1360,MATCH($A1242,'2_Clean_Data'!$A$2:$A$1360,0))</f>
        <v>7</v>
      </c>
      <c r="C1242" s="9" t="str">
        <f t="shared" si="76"/>
        <v>Good</v>
      </c>
      <c r="D1242" s="11">
        <f>INDEX('2_Clean_Data'!$L$2:$L$1360,MATCH($A1242,'2_Clean_Data'!$A$2:$A$1360,0))</f>
        <v>11.9</v>
      </c>
      <c r="E1242" s="9" t="str">
        <f>IF(D1242&lt;'3_Summary_Tables'!$C$16,"Low",IF(D1242&lt;'3_Summary_Tables'!$C$17,"Medium","High"))</f>
        <v>High</v>
      </c>
      <c r="F1242" s="12">
        <f>INDEX('2_Clean_Data'!$C$2:$C$1360,MATCH($A1242,'2_Clean_Data'!$A$2:$A$1360,0))</f>
        <v>0.2</v>
      </c>
      <c r="G1242" s="10">
        <f>INDEX('2_Clean_Data'!$H$2:$H$1360,MATCH($A1242,'2_Clean_Data'!$A$2:$A$1360,0))</f>
        <v>15</v>
      </c>
      <c r="H1242" s="9" t="str">
        <f t="shared" si="77"/>
        <v>Low</v>
      </c>
      <c r="I1242" s="9" t="str">
        <f t="shared" si="78"/>
        <v>OK</v>
      </c>
      <c r="J1242" s="9" t="str">
        <f t="shared" si="79"/>
        <v>Premium</v>
      </c>
    </row>
    <row r="1243" spans="1:10" x14ac:dyDescent="0.3">
      <c r="A1243" s="10">
        <f>'2_Clean_Data'!A1240</f>
        <v>1239</v>
      </c>
      <c r="B1243" s="10">
        <f>INDEX('2_Clean_Data'!$M$2:$M$1360,MATCH($A1243,'2_Clean_Data'!$A$2:$A$1360,0))</f>
        <v>6</v>
      </c>
      <c r="C1243" s="9" t="str">
        <f t="shared" si="76"/>
        <v>Above Average</v>
      </c>
      <c r="D1243" s="11">
        <f>INDEX('2_Clean_Data'!$L$2:$L$1360,MATCH($A1243,'2_Clean_Data'!$A$2:$A$1360,0))</f>
        <v>10.4</v>
      </c>
      <c r="E1243" s="9" t="str">
        <f>IF(D1243&lt;'3_Summary_Tables'!$C$16,"Low",IF(D1243&lt;'3_Summary_Tables'!$C$17,"Medium","High"))</f>
        <v>Medium</v>
      </c>
      <c r="F1243" s="12">
        <f>INDEX('2_Clean_Data'!$C$2:$C$1360,MATCH($A1243,'2_Clean_Data'!$A$2:$A$1360,0))</f>
        <v>0.42</v>
      </c>
      <c r="G1243" s="10">
        <f>INDEX('2_Clean_Data'!$H$2:$H$1360,MATCH($A1243,'2_Clean_Data'!$A$2:$A$1360,0))</f>
        <v>64</v>
      </c>
      <c r="H1243" s="9" t="str">
        <f t="shared" si="77"/>
        <v>Moderate</v>
      </c>
      <c r="I1243" s="9" t="str">
        <f t="shared" si="78"/>
        <v>OK</v>
      </c>
      <c r="J1243" s="9" t="str">
        <f t="shared" si="79"/>
        <v>Solid</v>
      </c>
    </row>
    <row r="1244" spans="1:10" x14ac:dyDescent="0.3">
      <c r="A1244" s="10">
        <f>'2_Clean_Data'!A1241</f>
        <v>1240</v>
      </c>
      <c r="B1244" s="10">
        <f>INDEX('2_Clean_Data'!$M$2:$M$1360,MATCH($A1244,'2_Clean_Data'!$A$2:$A$1360,0))</f>
        <v>4</v>
      </c>
      <c r="C1244" s="9" t="str">
        <f t="shared" si="76"/>
        <v>Poor</v>
      </c>
      <c r="D1244" s="11">
        <f>INDEX('2_Clean_Data'!$L$2:$L$1360,MATCH($A1244,'2_Clean_Data'!$A$2:$A$1360,0))</f>
        <v>10</v>
      </c>
      <c r="E1244" s="9" t="str">
        <f>IF(D1244&lt;'3_Summary_Tables'!$C$16,"Low",IF(D1244&lt;'3_Summary_Tables'!$C$17,"Medium","High"))</f>
        <v>Medium</v>
      </c>
      <c r="F1244" s="12">
        <f>INDEX('2_Clean_Data'!$C$2:$C$1360,MATCH($A1244,'2_Clean_Data'!$A$2:$A$1360,0))</f>
        <v>0.78500000000000003</v>
      </c>
      <c r="G1244" s="10">
        <f>INDEX('2_Clean_Data'!$H$2:$H$1360,MATCH($A1244,'2_Clean_Data'!$A$2:$A$1360,0))</f>
        <v>13</v>
      </c>
      <c r="H1244" s="9" t="str">
        <f t="shared" si="77"/>
        <v>Low</v>
      </c>
      <c r="I1244" s="9" t="str">
        <f t="shared" si="78"/>
        <v>Above limit</v>
      </c>
      <c r="J1244" s="9" t="str">
        <f t="shared" si="79"/>
        <v>Poor</v>
      </c>
    </row>
    <row r="1245" spans="1:10" x14ac:dyDescent="0.3">
      <c r="A1245" s="10">
        <f>'2_Clean_Data'!A1242</f>
        <v>1241</v>
      </c>
      <c r="B1245" s="10">
        <f>INDEX('2_Clean_Data'!$M$2:$M$1360,MATCH($A1245,'2_Clean_Data'!$A$2:$A$1360,0))</f>
        <v>6</v>
      </c>
      <c r="C1245" s="9" t="str">
        <f t="shared" si="76"/>
        <v>Above Average</v>
      </c>
      <c r="D1245" s="11">
        <f>INDEX('2_Clean_Data'!$L$2:$L$1360,MATCH($A1245,'2_Clean_Data'!$A$2:$A$1360,0))</f>
        <v>10.4</v>
      </c>
      <c r="E1245" s="9" t="str">
        <f>IF(D1245&lt;'3_Summary_Tables'!$C$16,"Low",IF(D1245&lt;'3_Summary_Tables'!$C$17,"Medium","High"))</f>
        <v>Medium</v>
      </c>
      <c r="F1245" s="12">
        <f>INDEX('2_Clean_Data'!$C$2:$C$1360,MATCH($A1245,'2_Clean_Data'!$A$2:$A$1360,0))</f>
        <v>0.64</v>
      </c>
      <c r="G1245" s="10">
        <f>INDEX('2_Clean_Data'!$H$2:$H$1360,MATCH($A1245,'2_Clean_Data'!$A$2:$A$1360,0))</f>
        <v>31</v>
      </c>
      <c r="H1245" s="9" t="str">
        <f t="shared" si="77"/>
        <v>Low</v>
      </c>
      <c r="I1245" s="9" t="str">
        <f t="shared" si="78"/>
        <v>OK</v>
      </c>
      <c r="J1245" s="9" t="str">
        <f t="shared" si="79"/>
        <v>Solid</v>
      </c>
    </row>
    <row r="1246" spans="1:10" x14ac:dyDescent="0.3">
      <c r="A1246" s="10">
        <f>'2_Clean_Data'!A1243</f>
        <v>1242</v>
      </c>
      <c r="B1246" s="10">
        <f>INDEX('2_Clean_Data'!$M$2:$M$1360,MATCH($A1246,'2_Clean_Data'!$A$2:$A$1360,0))</f>
        <v>6</v>
      </c>
      <c r="C1246" s="9" t="str">
        <f t="shared" si="76"/>
        <v>Above Average</v>
      </c>
      <c r="D1246" s="11">
        <f>INDEX('2_Clean_Data'!$L$2:$L$1360,MATCH($A1246,'2_Clean_Data'!$A$2:$A$1360,0))</f>
        <v>10.8</v>
      </c>
      <c r="E1246" s="9" t="str">
        <f>IF(D1246&lt;'3_Summary_Tables'!$C$16,"Low",IF(D1246&lt;'3_Summary_Tables'!$C$17,"Medium","High"))</f>
        <v>Medium</v>
      </c>
      <c r="F1246" s="12">
        <f>INDEX('2_Clean_Data'!$C$2:$C$1360,MATCH($A1246,'2_Clean_Data'!$A$2:$A$1360,0))</f>
        <v>0.63</v>
      </c>
      <c r="G1246" s="10">
        <f>INDEX('2_Clean_Data'!$H$2:$H$1360,MATCH($A1246,'2_Clean_Data'!$A$2:$A$1360,0))</f>
        <v>39</v>
      </c>
      <c r="H1246" s="9" t="str">
        <f t="shared" si="77"/>
        <v>Low</v>
      </c>
      <c r="I1246" s="9" t="str">
        <f t="shared" si="78"/>
        <v>OK</v>
      </c>
      <c r="J1246" s="9" t="str">
        <f t="shared" si="79"/>
        <v>Solid</v>
      </c>
    </row>
    <row r="1247" spans="1:10" x14ac:dyDescent="0.3">
      <c r="A1247" s="10">
        <f>'2_Clean_Data'!A1244</f>
        <v>1243</v>
      </c>
      <c r="B1247" s="10">
        <f>INDEX('2_Clean_Data'!$M$2:$M$1360,MATCH($A1247,'2_Clean_Data'!$A$2:$A$1360,0))</f>
        <v>5</v>
      </c>
      <c r="C1247" s="9" t="str">
        <f t="shared" si="76"/>
        <v>Average</v>
      </c>
      <c r="D1247" s="11">
        <f>INDEX('2_Clean_Data'!$L$2:$L$1360,MATCH($A1247,'2_Clean_Data'!$A$2:$A$1360,0))</f>
        <v>9.6999999999999993</v>
      </c>
      <c r="E1247" s="9" t="str">
        <f>IF(D1247&lt;'3_Summary_Tables'!$C$16,"Low",IF(D1247&lt;'3_Summary_Tables'!$C$17,"Medium","High"))</f>
        <v>Low</v>
      </c>
      <c r="F1247" s="12">
        <f>INDEX('2_Clean_Data'!$C$2:$C$1360,MATCH($A1247,'2_Clean_Data'!$A$2:$A$1360,0))</f>
        <v>0.59</v>
      </c>
      <c r="G1247" s="10">
        <f>INDEX('2_Clean_Data'!$H$2:$H$1360,MATCH($A1247,'2_Clean_Data'!$A$2:$A$1360,0))</f>
        <v>53</v>
      </c>
      <c r="H1247" s="9" t="str">
        <f t="shared" si="77"/>
        <v>Moderate</v>
      </c>
      <c r="I1247" s="9" t="str">
        <f t="shared" si="78"/>
        <v>OK</v>
      </c>
      <c r="J1247" s="9" t="str">
        <f t="shared" si="79"/>
        <v>Standard</v>
      </c>
    </row>
    <row r="1248" spans="1:10" x14ac:dyDescent="0.3">
      <c r="A1248" s="10">
        <f>'2_Clean_Data'!A1245</f>
        <v>1244</v>
      </c>
      <c r="B1248" s="10">
        <f>INDEX('2_Clean_Data'!$M$2:$M$1360,MATCH($A1248,'2_Clean_Data'!$A$2:$A$1360,0))</f>
        <v>7</v>
      </c>
      <c r="C1248" s="9" t="str">
        <f t="shared" si="76"/>
        <v>Good</v>
      </c>
      <c r="D1248" s="11">
        <f>INDEX('2_Clean_Data'!$L$2:$L$1360,MATCH($A1248,'2_Clean_Data'!$A$2:$A$1360,0))</f>
        <v>10</v>
      </c>
      <c r="E1248" s="9" t="str">
        <f>IF(D1248&lt;'3_Summary_Tables'!$C$16,"Low",IF(D1248&lt;'3_Summary_Tables'!$C$17,"Medium","High"))</f>
        <v>Medium</v>
      </c>
      <c r="F1248" s="12">
        <f>INDEX('2_Clean_Data'!$C$2:$C$1360,MATCH($A1248,'2_Clean_Data'!$A$2:$A$1360,0))</f>
        <v>0.48</v>
      </c>
      <c r="G1248" s="10">
        <f>INDEX('2_Clean_Data'!$H$2:$H$1360,MATCH($A1248,'2_Clean_Data'!$A$2:$A$1360,0))</f>
        <v>54</v>
      </c>
      <c r="H1248" s="9" t="str">
        <f t="shared" si="77"/>
        <v>Moderate</v>
      </c>
      <c r="I1248" s="9" t="str">
        <f t="shared" si="78"/>
        <v>OK</v>
      </c>
      <c r="J1248" s="9" t="str">
        <f t="shared" si="79"/>
        <v>Solid</v>
      </c>
    </row>
    <row r="1249" spans="1:10" x14ac:dyDescent="0.3">
      <c r="A1249" s="10">
        <f>'2_Clean_Data'!A1246</f>
        <v>1245</v>
      </c>
      <c r="B1249" s="10">
        <f>INDEX('2_Clean_Data'!$M$2:$M$1360,MATCH($A1249,'2_Clean_Data'!$A$2:$A$1360,0))</f>
        <v>4</v>
      </c>
      <c r="C1249" s="9" t="str">
        <f t="shared" si="76"/>
        <v>Poor</v>
      </c>
      <c r="D1249" s="11">
        <f>INDEX('2_Clean_Data'!$L$2:$L$1360,MATCH($A1249,'2_Clean_Data'!$A$2:$A$1360,0))</f>
        <v>11</v>
      </c>
      <c r="E1249" s="9" t="str">
        <f>IF(D1249&lt;'3_Summary_Tables'!$C$16,"Low",IF(D1249&lt;'3_Summary_Tables'!$C$17,"Medium","High"))</f>
        <v>Medium</v>
      </c>
      <c r="F1249" s="12">
        <f>INDEX('2_Clean_Data'!$C$2:$C$1360,MATCH($A1249,'2_Clean_Data'!$A$2:$A$1360,0))</f>
        <v>1.04</v>
      </c>
      <c r="G1249" s="10">
        <f>INDEX('2_Clean_Data'!$H$2:$H$1360,MATCH($A1249,'2_Clean_Data'!$A$2:$A$1360,0))</f>
        <v>32</v>
      </c>
      <c r="H1249" s="9" t="str">
        <f t="shared" si="77"/>
        <v>Low</v>
      </c>
      <c r="I1249" s="9" t="str">
        <f t="shared" si="78"/>
        <v>Above limit</v>
      </c>
      <c r="J1249" s="9" t="str">
        <f t="shared" si="79"/>
        <v>Poor</v>
      </c>
    </row>
    <row r="1250" spans="1:10" x14ac:dyDescent="0.3">
      <c r="A1250" s="10">
        <f>'2_Clean_Data'!A1247</f>
        <v>1246</v>
      </c>
      <c r="B1250" s="10">
        <f>INDEX('2_Clean_Data'!$M$2:$M$1360,MATCH($A1250,'2_Clean_Data'!$A$2:$A$1360,0))</f>
        <v>3</v>
      </c>
      <c r="C1250" s="9" t="str">
        <f t="shared" si="76"/>
        <v>Poor</v>
      </c>
      <c r="D1250" s="11">
        <f>INDEX('2_Clean_Data'!$L$2:$L$1360,MATCH($A1250,'2_Clean_Data'!$A$2:$A$1360,0))</f>
        <v>9.6999999999999993</v>
      </c>
      <c r="E1250" s="9" t="str">
        <f>IF(D1250&lt;'3_Summary_Tables'!$C$16,"Low",IF(D1250&lt;'3_Summary_Tables'!$C$17,"Medium","High"))</f>
        <v>Low</v>
      </c>
      <c r="F1250" s="12">
        <f>INDEX('2_Clean_Data'!$C$2:$C$1360,MATCH($A1250,'2_Clean_Data'!$A$2:$A$1360,0))</f>
        <v>0.98</v>
      </c>
      <c r="G1250" s="10">
        <f>INDEX('2_Clean_Data'!$H$2:$H$1360,MATCH($A1250,'2_Clean_Data'!$A$2:$A$1360,0))</f>
        <v>49</v>
      </c>
      <c r="H1250" s="9" t="str">
        <f t="shared" si="77"/>
        <v>Low</v>
      </c>
      <c r="I1250" s="9" t="str">
        <f t="shared" si="78"/>
        <v>Above limit</v>
      </c>
      <c r="J1250" s="9" t="str">
        <f t="shared" si="79"/>
        <v>Poor</v>
      </c>
    </row>
    <row r="1251" spans="1:10" x14ac:dyDescent="0.3">
      <c r="A1251" s="10">
        <f>'2_Clean_Data'!A1248</f>
        <v>1247</v>
      </c>
      <c r="B1251" s="10">
        <f>INDEX('2_Clean_Data'!$M$2:$M$1360,MATCH($A1251,'2_Clean_Data'!$A$2:$A$1360,0))</f>
        <v>5</v>
      </c>
      <c r="C1251" s="9" t="str">
        <f t="shared" si="76"/>
        <v>Average</v>
      </c>
      <c r="D1251" s="11">
        <f>INDEX('2_Clean_Data'!$L$2:$L$1360,MATCH($A1251,'2_Clean_Data'!$A$2:$A$1360,0))</f>
        <v>9.6999999999999993</v>
      </c>
      <c r="E1251" s="9" t="str">
        <f>IF(D1251&lt;'3_Summary_Tables'!$C$16,"Low",IF(D1251&lt;'3_Summary_Tables'!$C$17,"Medium","High"))</f>
        <v>Low</v>
      </c>
      <c r="F1251" s="12">
        <f>INDEX('2_Clean_Data'!$C$2:$C$1360,MATCH($A1251,'2_Clean_Data'!$A$2:$A$1360,0))</f>
        <v>0.69</v>
      </c>
      <c r="G1251" s="10">
        <f>INDEX('2_Clean_Data'!$H$2:$H$1360,MATCH($A1251,'2_Clean_Data'!$A$2:$A$1360,0))</f>
        <v>24</v>
      </c>
      <c r="H1251" s="9" t="str">
        <f t="shared" si="77"/>
        <v>Low</v>
      </c>
      <c r="I1251" s="9" t="str">
        <f t="shared" si="78"/>
        <v>OK</v>
      </c>
      <c r="J1251" s="9" t="str">
        <f t="shared" si="79"/>
        <v>Standard</v>
      </c>
    </row>
    <row r="1252" spans="1:10" x14ac:dyDescent="0.3">
      <c r="A1252" s="10">
        <f>'2_Clean_Data'!A1249</f>
        <v>1248</v>
      </c>
      <c r="B1252" s="10">
        <f>INDEX('2_Clean_Data'!$M$2:$M$1360,MATCH($A1252,'2_Clean_Data'!$A$2:$A$1360,0))</f>
        <v>5</v>
      </c>
      <c r="C1252" s="9" t="str">
        <f t="shared" si="76"/>
        <v>Average</v>
      </c>
      <c r="D1252" s="11">
        <f>INDEX('2_Clean_Data'!$L$2:$L$1360,MATCH($A1252,'2_Clean_Data'!$A$2:$A$1360,0))</f>
        <v>12.6</v>
      </c>
      <c r="E1252" s="9" t="str">
        <f>IF(D1252&lt;'3_Summary_Tables'!$C$16,"Low",IF(D1252&lt;'3_Summary_Tables'!$C$17,"Medium","High"))</f>
        <v>High</v>
      </c>
      <c r="F1252" s="12">
        <f>INDEX('2_Clean_Data'!$C$2:$C$1360,MATCH($A1252,'2_Clean_Data'!$A$2:$A$1360,0))</f>
        <v>0.7</v>
      </c>
      <c r="G1252" s="10">
        <f>INDEX('2_Clean_Data'!$H$2:$H$1360,MATCH($A1252,'2_Clean_Data'!$A$2:$A$1360,0))</f>
        <v>16</v>
      </c>
      <c r="H1252" s="9" t="str">
        <f t="shared" si="77"/>
        <v>Low</v>
      </c>
      <c r="I1252" s="9" t="str">
        <f t="shared" si="78"/>
        <v>OK</v>
      </c>
      <c r="J1252" s="9" t="str">
        <f t="shared" si="79"/>
        <v>Standard</v>
      </c>
    </row>
    <row r="1253" spans="1:10" x14ac:dyDescent="0.3">
      <c r="A1253" s="10">
        <f>'2_Clean_Data'!A1250</f>
        <v>1249</v>
      </c>
      <c r="B1253" s="10">
        <f>INDEX('2_Clean_Data'!$M$2:$M$1360,MATCH($A1253,'2_Clean_Data'!$A$2:$A$1360,0))</f>
        <v>6</v>
      </c>
      <c r="C1253" s="9" t="str">
        <f t="shared" si="76"/>
        <v>Above Average</v>
      </c>
      <c r="D1253" s="11">
        <f>INDEX('2_Clean_Data'!$L$2:$L$1360,MATCH($A1253,'2_Clean_Data'!$A$2:$A$1360,0))</f>
        <v>11.1</v>
      </c>
      <c r="E1253" s="9" t="str">
        <f>IF(D1253&lt;'3_Summary_Tables'!$C$16,"Low",IF(D1253&lt;'3_Summary_Tables'!$C$17,"Medium","High"))</f>
        <v>Medium</v>
      </c>
      <c r="F1253" s="12">
        <f>INDEX('2_Clean_Data'!$C$2:$C$1360,MATCH($A1253,'2_Clean_Data'!$A$2:$A$1360,0))</f>
        <v>0.35</v>
      </c>
      <c r="G1253" s="10">
        <f>INDEX('2_Clean_Data'!$H$2:$H$1360,MATCH($A1253,'2_Clean_Data'!$A$2:$A$1360,0))</f>
        <v>44</v>
      </c>
      <c r="H1253" s="9" t="str">
        <f t="shared" si="77"/>
        <v>Low</v>
      </c>
      <c r="I1253" s="9" t="str">
        <f t="shared" si="78"/>
        <v>OK</v>
      </c>
      <c r="J1253" s="9" t="str">
        <f t="shared" si="79"/>
        <v>Solid</v>
      </c>
    </row>
    <row r="1254" spans="1:10" x14ac:dyDescent="0.3">
      <c r="A1254" s="10">
        <f>'2_Clean_Data'!A1251</f>
        <v>1250</v>
      </c>
      <c r="B1254" s="10">
        <f>INDEX('2_Clean_Data'!$M$2:$M$1360,MATCH($A1254,'2_Clean_Data'!$A$2:$A$1360,0))</f>
        <v>5</v>
      </c>
      <c r="C1254" s="9" t="str">
        <f t="shared" si="76"/>
        <v>Average</v>
      </c>
      <c r="D1254" s="11">
        <f>INDEX('2_Clean_Data'!$L$2:$L$1360,MATCH($A1254,'2_Clean_Data'!$A$2:$A$1360,0))</f>
        <v>11</v>
      </c>
      <c r="E1254" s="9" t="str">
        <f>IF(D1254&lt;'3_Summary_Tables'!$C$16,"Low",IF(D1254&lt;'3_Summary_Tables'!$C$17,"Medium","High"))</f>
        <v>Medium</v>
      </c>
      <c r="F1254" s="12">
        <f>INDEX('2_Clean_Data'!$C$2:$C$1360,MATCH($A1254,'2_Clean_Data'!$A$2:$A$1360,0))</f>
        <v>0.6</v>
      </c>
      <c r="G1254" s="10">
        <f>INDEX('2_Clean_Data'!$H$2:$H$1360,MATCH($A1254,'2_Clean_Data'!$A$2:$A$1360,0))</f>
        <v>45</v>
      </c>
      <c r="H1254" s="9" t="str">
        <f t="shared" si="77"/>
        <v>Low</v>
      </c>
      <c r="I1254" s="9" t="str">
        <f t="shared" si="78"/>
        <v>OK</v>
      </c>
      <c r="J1254" s="9" t="str">
        <f t="shared" si="79"/>
        <v>Standard</v>
      </c>
    </row>
    <row r="1255" spans="1:10" x14ac:dyDescent="0.3">
      <c r="A1255" s="10">
        <f>'2_Clean_Data'!A1252</f>
        <v>1251</v>
      </c>
      <c r="B1255" s="10">
        <f>INDEX('2_Clean_Data'!$M$2:$M$1360,MATCH($A1255,'2_Clean_Data'!$A$2:$A$1360,0))</f>
        <v>5</v>
      </c>
      <c r="C1255" s="9" t="str">
        <f t="shared" si="76"/>
        <v>Average</v>
      </c>
      <c r="D1255" s="11">
        <f>INDEX('2_Clean_Data'!$L$2:$L$1360,MATCH($A1255,'2_Clean_Data'!$A$2:$A$1360,0))</f>
        <v>8.8000000000000007</v>
      </c>
      <c r="E1255" s="9" t="str">
        <f>IF(D1255&lt;'3_Summary_Tables'!$C$16,"Low",IF(D1255&lt;'3_Summary_Tables'!$C$17,"Medium","High"))</f>
        <v>Low</v>
      </c>
      <c r="F1255" s="12">
        <f>INDEX('2_Clean_Data'!$C$2:$C$1360,MATCH($A1255,'2_Clean_Data'!$A$2:$A$1360,0))</f>
        <v>0.5</v>
      </c>
      <c r="G1255" s="10">
        <f>INDEX('2_Clean_Data'!$H$2:$H$1360,MATCH($A1255,'2_Clean_Data'!$A$2:$A$1360,0))</f>
        <v>82</v>
      </c>
      <c r="H1255" s="9" t="str">
        <f t="shared" si="77"/>
        <v>Moderate</v>
      </c>
      <c r="I1255" s="9" t="str">
        <f t="shared" si="78"/>
        <v>OK</v>
      </c>
      <c r="J1255" s="9" t="str">
        <f t="shared" si="79"/>
        <v>Standard</v>
      </c>
    </row>
    <row r="1256" spans="1:10" x14ac:dyDescent="0.3">
      <c r="A1256" s="10">
        <f>'2_Clean_Data'!A1253</f>
        <v>1252</v>
      </c>
      <c r="B1256" s="10">
        <f>INDEX('2_Clean_Data'!$M$2:$M$1360,MATCH($A1256,'2_Clean_Data'!$A$2:$A$1360,0))</f>
        <v>7</v>
      </c>
      <c r="C1256" s="9" t="str">
        <f t="shared" si="76"/>
        <v>Good</v>
      </c>
      <c r="D1256" s="11">
        <f>INDEX('2_Clean_Data'!$L$2:$L$1360,MATCH($A1256,'2_Clean_Data'!$A$2:$A$1360,0))</f>
        <v>13.5666666666667</v>
      </c>
      <c r="E1256" s="9" t="str">
        <f>IF(D1256&lt;'3_Summary_Tables'!$C$16,"Low",IF(D1256&lt;'3_Summary_Tables'!$C$17,"Medium","High"))</f>
        <v>High</v>
      </c>
      <c r="F1256" s="12">
        <f>INDEX('2_Clean_Data'!$C$2:$C$1360,MATCH($A1256,'2_Clean_Data'!$A$2:$A$1360,0))</f>
        <v>0.47</v>
      </c>
      <c r="G1256" s="10">
        <f>INDEX('2_Clean_Data'!$H$2:$H$1360,MATCH($A1256,'2_Clean_Data'!$A$2:$A$1360,0))</f>
        <v>89</v>
      </c>
      <c r="H1256" s="9" t="str">
        <f t="shared" si="77"/>
        <v>Moderate</v>
      </c>
      <c r="I1256" s="9" t="str">
        <f t="shared" si="78"/>
        <v>OK</v>
      </c>
      <c r="J1256" s="9" t="str">
        <f t="shared" si="79"/>
        <v>Premium</v>
      </c>
    </row>
    <row r="1257" spans="1:10" x14ac:dyDescent="0.3">
      <c r="A1257" s="10">
        <f>'2_Clean_Data'!A1254</f>
        <v>1253</v>
      </c>
      <c r="B1257" s="10">
        <f>INDEX('2_Clean_Data'!$M$2:$M$1360,MATCH($A1257,'2_Clean_Data'!$A$2:$A$1360,0))</f>
        <v>7</v>
      </c>
      <c r="C1257" s="9" t="str">
        <f t="shared" si="76"/>
        <v>Good</v>
      </c>
      <c r="D1257" s="11">
        <f>INDEX('2_Clean_Data'!$L$2:$L$1360,MATCH($A1257,'2_Clean_Data'!$A$2:$A$1360,0))</f>
        <v>13.6</v>
      </c>
      <c r="E1257" s="9" t="str">
        <f>IF(D1257&lt;'3_Summary_Tables'!$C$16,"Low",IF(D1257&lt;'3_Summary_Tables'!$C$17,"Medium","High"))</f>
        <v>High</v>
      </c>
      <c r="F1257" s="12">
        <f>INDEX('2_Clean_Data'!$C$2:$C$1360,MATCH($A1257,'2_Clean_Data'!$A$2:$A$1360,0))</f>
        <v>0.47</v>
      </c>
      <c r="G1257" s="10">
        <f>INDEX('2_Clean_Data'!$H$2:$H$1360,MATCH($A1257,'2_Clean_Data'!$A$2:$A$1360,0))</f>
        <v>89</v>
      </c>
      <c r="H1257" s="9" t="str">
        <f t="shared" si="77"/>
        <v>Moderate</v>
      </c>
      <c r="I1257" s="9" t="str">
        <f t="shared" si="78"/>
        <v>OK</v>
      </c>
      <c r="J1257" s="9" t="str">
        <f t="shared" si="79"/>
        <v>Premium</v>
      </c>
    </row>
    <row r="1258" spans="1:10" x14ac:dyDescent="0.3">
      <c r="A1258" s="10">
        <f>'2_Clean_Data'!A1255</f>
        <v>1254</v>
      </c>
      <c r="B1258" s="10">
        <f>INDEX('2_Clean_Data'!$M$2:$M$1360,MATCH($A1258,'2_Clean_Data'!$A$2:$A$1360,0))</f>
        <v>3</v>
      </c>
      <c r="C1258" s="9" t="str">
        <f t="shared" si="76"/>
        <v>Poor</v>
      </c>
      <c r="D1258" s="11">
        <f>INDEX('2_Clean_Data'!$L$2:$L$1360,MATCH($A1258,'2_Clean_Data'!$A$2:$A$1360,0))</f>
        <v>10.199999999999999</v>
      </c>
      <c r="E1258" s="9" t="str">
        <f>IF(D1258&lt;'3_Summary_Tables'!$C$16,"Low",IF(D1258&lt;'3_Summary_Tables'!$C$17,"Medium","High"))</f>
        <v>Medium</v>
      </c>
      <c r="F1258" s="12">
        <f>INDEX('2_Clean_Data'!$C$2:$C$1360,MATCH($A1258,'2_Clean_Data'!$A$2:$A$1360,0))</f>
        <v>0.875</v>
      </c>
      <c r="G1258" s="10">
        <f>INDEX('2_Clean_Data'!$H$2:$H$1360,MATCH($A1258,'2_Clean_Data'!$A$2:$A$1360,0))</f>
        <v>14</v>
      </c>
      <c r="H1258" s="9" t="str">
        <f t="shared" si="77"/>
        <v>Low</v>
      </c>
      <c r="I1258" s="9" t="str">
        <f t="shared" si="78"/>
        <v>Above limit</v>
      </c>
      <c r="J1258" s="9" t="str">
        <f t="shared" si="79"/>
        <v>Poor</v>
      </c>
    </row>
    <row r="1259" spans="1:10" x14ac:dyDescent="0.3">
      <c r="A1259" s="10">
        <f>'2_Clean_Data'!A1256</f>
        <v>1255</v>
      </c>
      <c r="B1259" s="10">
        <f>INDEX('2_Clean_Data'!$M$2:$M$1360,MATCH($A1259,'2_Clean_Data'!$A$2:$A$1360,0))</f>
        <v>5</v>
      </c>
      <c r="C1259" s="9" t="str">
        <f t="shared" si="76"/>
        <v>Average</v>
      </c>
      <c r="D1259" s="11">
        <f>INDEX('2_Clean_Data'!$L$2:$L$1360,MATCH($A1259,'2_Clean_Data'!$A$2:$A$1360,0))</f>
        <v>10.6</v>
      </c>
      <c r="E1259" s="9" t="str">
        <f>IF(D1259&lt;'3_Summary_Tables'!$C$16,"Low",IF(D1259&lt;'3_Summary_Tables'!$C$17,"Medium","High"))</f>
        <v>Medium</v>
      </c>
      <c r="F1259" s="12">
        <f>INDEX('2_Clean_Data'!$C$2:$C$1360,MATCH($A1259,'2_Clean_Data'!$A$2:$A$1360,0))</f>
        <v>0.28000000000000003</v>
      </c>
      <c r="G1259" s="10">
        <f>INDEX('2_Clean_Data'!$H$2:$H$1360,MATCH($A1259,'2_Clean_Data'!$A$2:$A$1360,0))</f>
        <v>22</v>
      </c>
      <c r="H1259" s="9" t="str">
        <f t="shared" si="77"/>
        <v>Low</v>
      </c>
      <c r="I1259" s="9" t="str">
        <f t="shared" si="78"/>
        <v>OK</v>
      </c>
      <c r="J1259" s="9" t="str">
        <f t="shared" si="79"/>
        <v>Standard</v>
      </c>
    </row>
    <row r="1260" spans="1:10" x14ac:dyDescent="0.3">
      <c r="A1260" s="10">
        <f>'2_Clean_Data'!A1257</f>
        <v>1256</v>
      </c>
      <c r="B1260" s="10">
        <f>INDEX('2_Clean_Data'!$M$2:$M$1360,MATCH($A1260,'2_Clean_Data'!$A$2:$A$1360,0))</f>
        <v>4</v>
      </c>
      <c r="C1260" s="9" t="str">
        <f t="shared" si="76"/>
        <v>Poor</v>
      </c>
      <c r="D1260" s="11">
        <f>INDEX('2_Clean_Data'!$L$2:$L$1360,MATCH($A1260,'2_Clean_Data'!$A$2:$A$1360,0))</f>
        <v>10.1</v>
      </c>
      <c r="E1260" s="9" t="str">
        <f>IF(D1260&lt;'3_Summary_Tables'!$C$16,"Low",IF(D1260&lt;'3_Summary_Tables'!$C$17,"Medium","High"))</f>
        <v>Medium</v>
      </c>
      <c r="F1260" s="12">
        <f>INDEX('2_Clean_Data'!$C$2:$C$1360,MATCH($A1260,'2_Clean_Data'!$A$2:$A$1360,0))</f>
        <v>0.62</v>
      </c>
      <c r="G1260" s="10">
        <f>INDEX('2_Clean_Data'!$H$2:$H$1360,MATCH($A1260,'2_Clean_Data'!$A$2:$A$1360,0))</f>
        <v>13</v>
      </c>
      <c r="H1260" s="9" t="str">
        <f t="shared" si="77"/>
        <v>Low</v>
      </c>
      <c r="I1260" s="9" t="str">
        <f t="shared" si="78"/>
        <v>OK</v>
      </c>
      <c r="J1260" s="9" t="str">
        <f t="shared" si="79"/>
        <v>Poor</v>
      </c>
    </row>
    <row r="1261" spans="1:10" x14ac:dyDescent="0.3">
      <c r="A1261" s="10">
        <f>'2_Clean_Data'!A1258</f>
        <v>1257</v>
      </c>
      <c r="B1261" s="10">
        <f>INDEX('2_Clean_Data'!$M$2:$M$1360,MATCH($A1261,'2_Clean_Data'!$A$2:$A$1360,0))</f>
        <v>4</v>
      </c>
      <c r="C1261" s="9" t="str">
        <f t="shared" si="76"/>
        <v>Poor</v>
      </c>
      <c r="D1261" s="11">
        <f>INDEX('2_Clean_Data'!$L$2:$L$1360,MATCH($A1261,'2_Clean_Data'!$A$2:$A$1360,0))</f>
        <v>10.3</v>
      </c>
      <c r="E1261" s="9" t="str">
        <f>IF(D1261&lt;'3_Summary_Tables'!$C$16,"Low",IF(D1261&lt;'3_Summary_Tables'!$C$17,"Medium","High"))</f>
        <v>Medium</v>
      </c>
      <c r="F1261" s="12">
        <f>INDEX('2_Clean_Data'!$C$2:$C$1360,MATCH($A1261,'2_Clean_Data'!$A$2:$A$1360,0))</f>
        <v>0.57999999999999996</v>
      </c>
      <c r="G1261" s="10">
        <f>INDEX('2_Clean_Data'!$H$2:$H$1360,MATCH($A1261,'2_Clean_Data'!$A$2:$A$1360,0))</f>
        <v>9</v>
      </c>
      <c r="H1261" s="9" t="str">
        <f t="shared" si="77"/>
        <v>Low</v>
      </c>
      <c r="I1261" s="9" t="str">
        <f t="shared" si="78"/>
        <v>OK</v>
      </c>
      <c r="J1261" s="9" t="str">
        <f t="shared" si="79"/>
        <v>Poor</v>
      </c>
    </row>
    <row r="1262" spans="1:10" x14ac:dyDescent="0.3">
      <c r="A1262" s="10">
        <f>'2_Clean_Data'!A1259</f>
        <v>1258</v>
      </c>
      <c r="B1262" s="10">
        <f>INDEX('2_Clean_Data'!$M$2:$M$1360,MATCH($A1262,'2_Clean_Data'!$A$2:$A$1360,0))</f>
        <v>5</v>
      </c>
      <c r="C1262" s="9" t="str">
        <f t="shared" si="76"/>
        <v>Average</v>
      </c>
      <c r="D1262" s="11">
        <f>INDEX('2_Clean_Data'!$L$2:$L$1360,MATCH($A1262,'2_Clean_Data'!$A$2:$A$1360,0))</f>
        <v>10.7</v>
      </c>
      <c r="E1262" s="9" t="str">
        <f>IF(D1262&lt;'3_Summary_Tables'!$C$16,"Low",IF(D1262&lt;'3_Summary_Tables'!$C$17,"Medium","High"))</f>
        <v>Medium</v>
      </c>
      <c r="F1262" s="12">
        <f>INDEX('2_Clean_Data'!$C$2:$C$1360,MATCH($A1262,'2_Clean_Data'!$A$2:$A$1360,0))</f>
        <v>0.33</v>
      </c>
      <c r="G1262" s="10">
        <f>INDEX('2_Clean_Data'!$H$2:$H$1360,MATCH($A1262,'2_Clean_Data'!$A$2:$A$1360,0))</f>
        <v>12</v>
      </c>
      <c r="H1262" s="9" t="str">
        <f t="shared" si="77"/>
        <v>Low</v>
      </c>
      <c r="I1262" s="9" t="str">
        <f t="shared" si="78"/>
        <v>OK</v>
      </c>
      <c r="J1262" s="9" t="str">
        <f t="shared" si="79"/>
        <v>Standard</v>
      </c>
    </row>
    <row r="1263" spans="1:10" x14ac:dyDescent="0.3">
      <c r="A1263" s="10">
        <f>'2_Clean_Data'!A1260</f>
        <v>1259</v>
      </c>
      <c r="B1263" s="10">
        <f>INDEX('2_Clean_Data'!$M$2:$M$1360,MATCH($A1263,'2_Clean_Data'!$A$2:$A$1360,0))</f>
        <v>4</v>
      </c>
      <c r="C1263" s="9" t="str">
        <f t="shared" si="76"/>
        <v>Poor</v>
      </c>
      <c r="D1263" s="11">
        <f>INDEX('2_Clean_Data'!$L$2:$L$1360,MATCH($A1263,'2_Clean_Data'!$A$2:$A$1360,0))</f>
        <v>10.9</v>
      </c>
      <c r="E1263" s="9" t="str">
        <f>IF(D1263&lt;'3_Summary_Tables'!$C$16,"Low",IF(D1263&lt;'3_Summary_Tables'!$C$17,"Medium","High"))</f>
        <v>Medium</v>
      </c>
      <c r="F1263" s="12">
        <f>INDEX('2_Clean_Data'!$C$2:$C$1360,MATCH($A1263,'2_Clean_Data'!$A$2:$A$1360,0))</f>
        <v>0.91</v>
      </c>
      <c r="G1263" s="10">
        <f>INDEX('2_Clean_Data'!$H$2:$H$1360,MATCH($A1263,'2_Clean_Data'!$A$2:$A$1360,0))</f>
        <v>11</v>
      </c>
      <c r="H1263" s="9" t="str">
        <f t="shared" si="77"/>
        <v>Low</v>
      </c>
      <c r="I1263" s="9" t="str">
        <f t="shared" si="78"/>
        <v>Above limit</v>
      </c>
      <c r="J1263" s="9" t="str">
        <f t="shared" si="79"/>
        <v>Poor</v>
      </c>
    </row>
    <row r="1264" spans="1:10" x14ac:dyDescent="0.3">
      <c r="A1264" s="10">
        <f>'2_Clean_Data'!A1261</f>
        <v>1260</v>
      </c>
      <c r="B1264" s="10">
        <f>INDEX('2_Clean_Data'!$M$2:$M$1360,MATCH($A1264,'2_Clean_Data'!$A$2:$A$1360,0))</f>
        <v>5</v>
      </c>
      <c r="C1264" s="9" t="str">
        <f t="shared" si="76"/>
        <v>Average</v>
      </c>
      <c r="D1264" s="11">
        <f>INDEX('2_Clean_Data'!$L$2:$L$1360,MATCH($A1264,'2_Clean_Data'!$A$2:$A$1360,0))</f>
        <v>9.6999999999999993</v>
      </c>
      <c r="E1264" s="9" t="str">
        <f>IF(D1264&lt;'3_Summary_Tables'!$C$16,"Low",IF(D1264&lt;'3_Summary_Tables'!$C$17,"Medium","High"))</f>
        <v>Low</v>
      </c>
      <c r="F1264" s="12">
        <f>INDEX('2_Clean_Data'!$C$2:$C$1360,MATCH($A1264,'2_Clean_Data'!$A$2:$A$1360,0))</f>
        <v>0.65500000000000003</v>
      </c>
      <c r="G1264" s="10">
        <f>INDEX('2_Clean_Data'!$H$2:$H$1360,MATCH($A1264,'2_Clean_Data'!$A$2:$A$1360,0))</f>
        <v>25</v>
      </c>
      <c r="H1264" s="9" t="str">
        <f t="shared" si="77"/>
        <v>Low</v>
      </c>
      <c r="I1264" s="9" t="str">
        <f t="shared" si="78"/>
        <v>OK</v>
      </c>
      <c r="J1264" s="9" t="str">
        <f t="shared" si="79"/>
        <v>Standard</v>
      </c>
    </row>
    <row r="1265" spans="1:10" x14ac:dyDescent="0.3">
      <c r="A1265" s="10">
        <f>'2_Clean_Data'!A1262</f>
        <v>1261</v>
      </c>
      <c r="B1265" s="10">
        <f>INDEX('2_Clean_Data'!$M$2:$M$1360,MATCH($A1265,'2_Clean_Data'!$A$2:$A$1360,0))</f>
        <v>5</v>
      </c>
      <c r="C1265" s="9" t="str">
        <f t="shared" si="76"/>
        <v>Average</v>
      </c>
      <c r="D1265" s="11">
        <f>INDEX('2_Clean_Data'!$L$2:$L$1360,MATCH($A1265,'2_Clean_Data'!$A$2:$A$1360,0))</f>
        <v>10.3</v>
      </c>
      <c r="E1265" s="9" t="str">
        <f>IF(D1265&lt;'3_Summary_Tables'!$C$16,"Low",IF(D1265&lt;'3_Summary_Tables'!$C$17,"Medium","High"))</f>
        <v>Medium</v>
      </c>
      <c r="F1265" s="12">
        <f>INDEX('2_Clean_Data'!$C$2:$C$1360,MATCH($A1265,'2_Clean_Data'!$A$2:$A$1360,0))</f>
        <v>0.68</v>
      </c>
      <c r="G1265" s="10">
        <f>INDEX('2_Clean_Data'!$H$2:$H$1360,MATCH($A1265,'2_Clean_Data'!$A$2:$A$1360,0))</f>
        <v>23</v>
      </c>
      <c r="H1265" s="9" t="str">
        <f t="shared" si="77"/>
        <v>Low</v>
      </c>
      <c r="I1265" s="9" t="str">
        <f t="shared" si="78"/>
        <v>OK</v>
      </c>
      <c r="J1265" s="9" t="str">
        <f t="shared" si="79"/>
        <v>Standard</v>
      </c>
    </row>
    <row r="1266" spans="1:10" x14ac:dyDescent="0.3">
      <c r="A1266" s="10">
        <f>'2_Clean_Data'!A1263</f>
        <v>1262</v>
      </c>
      <c r="B1266" s="10">
        <f>INDEX('2_Clean_Data'!$M$2:$M$1360,MATCH($A1266,'2_Clean_Data'!$A$2:$A$1360,0))</f>
        <v>5</v>
      </c>
      <c r="C1266" s="9" t="str">
        <f t="shared" si="76"/>
        <v>Average</v>
      </c>
      <c r="D1266" s="11">
        <f>INDEX('2_Clean_Data'!$L$2:$L$1360,MATCH($A1266,'2_Clean_Data'!$A$2:$A$1360,0))</f>
        <v>10.6</v>
      </c>
      <c r="E1266" s="9" t="str">
        <f>IF(D1266&lt;'3_Summary_Tables'!$C$16,"Low",IF(D1266&lt;'3_Summary_Tables'!$C$17,"Medium","High"))</f>
        <v>Medium</v>
      </c>
      <c r="F1266" s="12">
        <f>INDEX('2_Clean_Data'!$C$2:$C$1360,MATCH($A1266,'2_Clean_Data'!$A$2:$A$1360,0))</f>
        <v>0.64</v>
      </c>
      <c r="G1266" s="10">
        <f>INDEX('2_Clean_Data'!$H$2:$H$1360,MATCH($A1266,'2_Clean_Data'!$A$2:$A$1360,0))</f>
        <v>17</v>
      </c>
      <c r="H1266" s="9" t="str">
        <f t="shared" si="77"/>
        <v>Low</v>
      </c>
      <c r="I1266" s="9" t="str">
        <f t="shared" si="78"/>
        <v>OK</v>
      </c>
      <c r="J1266" s="9" t="str">
        <f t="shared" si="79"/>
        <v>Standard</v>
      </c>
    </row>
    <row r="1267" spans="1:10" x14ac:dyDescent="0.3">
      <c r="A1267" s="10">
        <f>'2_Clean_Data'!A1264</f>
        <v>1263</v>
      </c>
      <c r="B1267" s="10">
        <f>INDEX('2_Clean_Data'!$M$2:$M$1360,MATCH($A1267,'2_Clean_Data'!$A$2:$A$1360,0))</f>
        <v>5</v>
      </c>
      <c r="C1267" s="9" t="str">
        <f t="shared" si="76"/>
        <v>Average</v>
      </c>
      <c r="D1267" s="11">
        <f>INDEX('2_Clean_Data'!$L$2:$L$1360,MATCH($A1267,'2_Clean_Data'!$A$2:$A$1360,0))</f>
        <v>11.4</v>
      </c>
      <c r="E1267" s="9" t="str">
        <f>IF(D1267&lt;'3_Summary_Tables'!$C$16,"Low",IF(D1267&lt;'3_Summary_Tables'!$C$17,"Medium","High"))</f>
        <v>Medium</v>
      </c>
      <c r="F1267" s="12">
        <f>INDEX('2_Clean_Data'!$C$2:$C$1360,MATCH($A1267,'2_Clean_Data'!$A$2:$A$1360,0))</f>
        <v>0.54</v>
      </c>
      <c r="G1267" s="10">
        <f>INDEX('2_Clean_Data'!$H$2:$H$1360,MATCH($A1267,'2_Clean_Data'!$A$2:$A$1360,0))</f>
        <v>13</v>
      </c>
      <c r="H1267" s="9" t="str">
        <f t="shared" si="77"/>
        <v>Low</v>
      </c>
      <c r="I1267" s="9" t="str">
        <f t="shared" si="78"/>
        <v>OK</v>
      </c>
      <c r="J1267" s="9" t="str">
        <f t="shared" si="79"/>
        <v>Standard</v>
      </c>
    </row>
    <row r="1268" spans="1:10" x14ac:dyDescent="0.3">
      <c r="A1268" s="10">
        <f>'2_Clean_Data'!A1265</f>
        <v>1264</v>
      </c>
      <c r="B1268" s="10">
        <f>INDEX('2_Clean_Data'!$M$2:$M$1360,MATCH($A1268,'2_Clean_Data'!$A$2:$A$1360,0))</f>
        <v>6</v>
      </c>
      <c r="C1268" s="9" t="str">
        <f t="shared" si="76"/>
        <v>Above Average</v>
      </c>
      <c r="D1268" s="11">
        <f>INDEX('2_Clean_Data'!$L$2:$L$1360,MATCH($A1268,'2_Clean_Data'!$A$2:$A$1360,0))</f>
        <v>10.8</v>
      </c>
      <c r="E1268" s="9" t="str">
        <f>IF(D1268&lt;'3_Summary_Tables'!$C$16,"Low",IF(D1268&lt;'3_Summary_Tables'!$C$17,"Medium","High"))</f>
        <v>Medium</v>
      </c>
      <c r="F1268" s="12">
        <f>INDEX('2_Clean_Data'!$C$2:$C$1360,MATCH($A1268,'2_Clean_Data'!$A$2:$A$1360,0))</f>
        <v>0.56999999999999995</v>
      </c>
      <c r="G1268" s="10">
        <f>INDEX('2_Clean_Data'!$H$2:$H$1360,MATCH($A1268,'2_Clean_Data'!$A$2:$A$1360,0))</f>
        <v>11</v>
      </c>
      <c r="H1268" s="9" t="str">
        <f t="shared" si="77"/>
        <v>Low</v>
      </c>
      <c r="I1268" s="9" t="str">
        <f t="shared" si="78"/>
        <v>OK</v>
      </c>
      <c r="J1268" s="9" t="str">
        <f t="shared" si="79"/>
        <v>Solid</v>
      </c>
    </row>
    <row r="1269" spans="1:10" x14ac:dyDescent="0.3">
      <c r="A1269" s="10">
        <f>'2_Clean_Data'!A1266</f>
        <v>1265</v>
      </c>
      <c r="B1269" s="10">
        <f>INDEX('2_Clean_Data'!$M$2:$M$1360,MATCH($A1269,'2_Clean_Data'!$A$2:$A$1360,0))</f>
        <v>6</v>
      </c>
      <c r="C1269" s="9" t="str">
        <f t="shared" si="76"/>
        <v>Above Average</v>
      </c>
      <c r="D1269" s="11">
        <f>INDEX('2_Clean_Data'!$L$2:$L$1360,MATCH($A1269,'2_Clean_Data'!$A$2:$A$1360,0))</f>
        <v>12.4</v>
      </c>
      <c r="E1269" s="9" t="str">
        <f>IF(D1269&lt;'3_Summary_Tables'!$C$16,"Low",IF(D1269&lt;'3_Summary_Tables'!$C$17,"Medium","High"))</f>
        <v>High</v>
      </c>
      <c r="F1269" s="12">
        <f>INDEX('2_Clean_Data'!$C$2:$C$1360,MATCH($A1269,'2_Clean_Data'!$A$2:$A$1360,0))</f>
        <v>0.22</v>
      </c>
      <c r="G1269" s="10">
        <f>INDEX('2_Clean_Data'!$H$2:$H$1360,MATCH($A1269,'2_Clean_Data'!$A$2:$A$1360,0))</f>
        <v>18</v>
      </c>
      <c r="H1269" s="9" t="str">
        <f t="shared" si="77"/>
        <v>Low</v>
      </c>
      <c r="I1269" s="9" t="str">
        <f t="shared" si="78"/>
        <v>OK</v>
      </c>
      <c r="J1269" s="9" t="str">
        <f t="shared" si="79"/>
        <v>Solid</v>
      </c>
    </row>
    <row r="1270" spans="1:10" x14ac:dyDescent="0.3">
      <c r="A1270" s="10">
        <f>'2_Clean_Data'!A1267</f>
        <v>1266</v>
      </c>
      <c r="B1270" s="10">
        <f>INDEX('2_Clean_Data'!$M$2:$M$1360,MATCH($A1270,'2_Clean_Data'!$A$2:$A$1360,0))</f>
        <v>5</v>
      </c>
      <c r="C1270" s="9" t="str">
        <f t="shared" si="76"/>
        <v>Average</v>
      </c>
      <c r="D1270" s="11">
        <f>INDEX('2_Clean_Data'!$L$2:$L$1360,MATCH($A1270,'2_Clean_Data'!$A$2:$A$1360,0))</f>
        <v>11.95</v>
      </c>
      <c r="E1270" s="9" t="str">
        <f>IF(D1270&lt;'3_Summary_Tables'!$C$16,"Low",IF(D1270&lt;'3_Summary_Tables'!$C$17,"Medium","High"))</f>
        <v>High</v>
      </c>
      <c r="F1270" s="12">
        <f>INDEX('2_Clean_Data'!$C$2:$C$1360,MATCH($A1270,'2_Clean_Data'!$A$2:$A$1360,0))</f>
        <v>0.65</v>
      </c>
      <c r="G1270" s="10">
        <f>INDEX('2_Clean_Data'!$H$2:$H$1360,MATCH($A1270,'2_Clean_Data'!$A$2:$A$1360,0))</f>
        <v>18</v>
      </c>
      <c r="H1270" s="9" t="str">
        <f t="shared" si="77"/>
        <v>Low</v>
      </c>
      <c r="I1270" s="9" t="str">
        <f t="shared" si="78"/>
        <v>OK</v>
      </c>
      <c r="J1270" s="9" t="str">
        <f t="shared" si="79"/>
        <v>Standard</v>
      </c>
    </row>
    <row r="1271" spans="1:10" x14ac:dyDescent="0.3">
      <c r="A1271" s="10">
        <f>'2_Clean_Data'!A1268</f>
        <v>1267</v>
      </c>
      <c r="B1271" s="10">
        <f>INDEX('2_Clean_Data'!$M$2:$M$1360,MATCH($A1271,'2_Clean_Data'!$A$2:$A$1360,0))</f>
        <v>5</v>
      </c>
      <c r="C1271" s="9" t="str">
        <f t="shared" si="76"/>
        <v>Average</v>
      </c>
      <c r="D1271" s="11">
        <f>INDEX('2_Clean_Data'!$L$2:$L$1360,MATCH($A1271,'2_Clean_Data'!$A$2:$A$1360,0))</f>
        <v>9.6999999999999993</v>
      </c>
      <c r="E1271" s="9" t="str">
        <f>IF(D1271&lt;'3_Summary_Tables'!$C$16,"Low",IF(D1271&lt;'3_Summary_Tables'!$C$17,"Medium","High"))</f>
        <v>Low</v>
      </c>
      <c r="F1271" s="12">
        <f>INDEX('2_Clean_Data'!$C$2:$C$1360,MATCH($A1271,'2_Clean_Data'!$A$2:$A$1360,0))</f>
        <v>0.54</v>
      </c>
      <c r="G1271" s="10">
        <f>INDEX('2_Clean_Data'!$H$2:$H$1360,MATCH($A1271,'2_Clean_Data'!$A$2:$A$1360,0))</f>
        <v>147</v>
      </c>
      <c r="H1271" s="9" t="str">
        <f t="shared" si="77"/>
        <v>High</v>
      </c>
      <c r="I1271" s="9" t="str">
        <f t="shared" si="78"/>
        <v>OK</v>
      </c>
      <c r="J1271" s="9" t="str">
        <f t="shared" si="79"/>
        <v>Standard</v>
      </c>
    </row>
    <row r="1272" spans="1:10" x14ac:dyDescent="0.3">
      <c r="A1272" s="10">
        <f>'2_Clean_Data'!A1269</f>
        <v>1268</v>
      </c>
      <c r="B1272" s="10">
        <f>INDEX('2_Clean_Data'!$M$2:$M$1360,MATCH($A1272,'2_Clean_Data'!$A$2:$A$1360,0))</f>
        <v>7</v>
      </c>
      <c r="C1272" s="9" t="str">
        <f t="shared" si="76"/>
        <v>Good</v>
      </c>
      <c r="D1272" s="11">
        <f>INDEX('2_Clean_Data'!$L$2:$L$1360,MATCH($A1272,'2_Clean_Data'!$A$2:$A$1360,0))</f>
        <v>10</v>
      </c>
      <c r="E1272" s="9" t="str">
        <f>IF(D1272&lt;'3_Summary_Tables'!$C$16,"Low",IF(D1272&lt;'3_Summary_Tables'!$C$17,"Medium","High"))</f>
        <v>Medium</v>
      </c>
      <c r="F1272" s="12">
        <f>INDEX('2_Clean_Data'!$C$2:$C$1360,MATCH($A1272,'2_Clean_Data'!$A$2:$A$1360,0))</f>
        <v>0.31</v>
      </c>
      <c r="G1272" s="10">
        <f>INDEX('2_Clean_Data'!$H$2:$H$1360,MATCH($A1272,'2_Clean_Data'!$A$2:$A$1360,0))</f>
        <v>28</v>
      </c>
      <c r="H1272" s="9" t="str">
        <f t="shared" si="77"/>
        <v>Low</v>
      </c>
      <c r="I1272" s="9" t="str">
        <f t="shared" si="78"/>
        <v>OK</v>
      </c>
      <c r="J1272" s="9" t="str">
        <f t="shared" si="79"/>
        <v>Solid</v>
      </c>
    </row>
    <row r="1273" spans="1:10" x14ac:dyDescent="0.3">
      <c r="A1273" s="10">
        <f>'2_Clean_Data'!A1270</f>
        <v>1269</v>
      </c>
      <c r="B1273" s="10">
        <f>INDEX('2_Clean_Data'!$M$2:$M$1360,MATCH($A1273,'2_Clean_Data'!$A$2:$A$1360,0))</f>
        <v>6</v>
      </c>
      <c r="C1273" s="9" t="str">
        <f t="shared" si="76"/>
        <v>Above Average</v>
      </c>
      <c r="D1273" s="11">
        <f>INDEX('2_Clean_Data'!$L$2:$L$1360,MATCH($A1273,'2_Clean_Data'!$A$2:$A$1360,0))</f>
        <v>10.6</v>
      </c>
      <c r="E1273" s="9" t="str">
        <f>IF(D1273&lt;'3_Summary_Tables'!$C$16,"Low",IF(D1273&lt;'3_Summary_Tables'!$C$17,"Medium","High"))</f>
        <v>Medium</v>
      </c>
      <c r="F1273" s="12">
        <f>INDEX('2_Clean_Data'!$C$2:$C$1360,MATCH($A1273,'2_Clean_Data'!$A$2:$A$1360,0))</f>
        <v>0.43</v>
      </c>
      <c r="G1273" s="10">
        <f>INDEX('2_Clean_Data'!$H$2:$H$1360,MATCH($A1273,'2_Clean_Data'!$A$2:$A$1360,0))</f>
        <v>28</v>
      </c>
      <c r="H1273" s="9" t="str">
        <f t="shared" si="77"/>
        <v>Low</v>
      </c>
      <c r="I1273" s="9" t="str">
        <f t="shared" si="78"/>
        <v>OK</v>
      </c>
      <c r="J1273" s="9" t="str">
        <f t="shared" si="79"/>
        <v>Solid</v>
      </c>
    </row>
    <row r="1274" spans="1:10" x14ac:dyDescent="0.3">
      <c r="A1274" s="10">
        <f>'2_Clean_Data'!A1271</f>
        <v>1270</v>
      </c>
      <c r="B1274" s="10">
        <f>INDEX('2_Clean_Data'!$M$2:$M$1360,MATCH($A1274,'2_Clean_Data'!$A$2:$A$1360,0))</f>
        <v>6</v>
      </c>
      <c r="C1274" s="9" t="str">
        <f t="shared" si="76"/>
        <v>Above Average</v>
      </c>
      <c r="D1274" s="11">
        <f>INDEX('2_Clean_Data'!$L$2:$L$1360,MATCH($A1274,'2_Clean_Data'!$A$2:$A$1360,0))</f>
        <v>11.5</v>
      </c>
      <c r="E1274" s="9" t="str">
        <f>IF(D1274&lt;'3_Summary_Tables'!$C$16,"Low",IF(D1274&lt;'3_Summary_Tables'!$C$17,"Medium","High"))</f>
        <v>High</v>
      </c>
      <c r="F1274" s="12">
        <f>INDEX('2_Clean_Data'!$C$2:$C$1360,MATCH($A1274,'2_Clean_Data'!$A$2:$A$1360,0))</f>
        <v>0.74</v>
      </c>
      <c r="G1274" s="10">
        <f>INDEX('2_Clean_Data'!$H$2:$H$1360,MATCH($A1274,'2_Clean_Data'!$A$2:$A$1360,0))</f>
        <v>16</v>
      </c>
      <c r="H1274" s="9" t="str">
        <f t="shared" si="77"/>
        <v>Low</v>
      </c>
      <c r="I1274" s="9" t="str">
        <f t="shared" si="78"/>
        <v>Above limit</v>
      </c>
      <c r="J1274" s="9" t="str">
        <f t="shared" si="79"/>
        <v>Standard</v>
      </c>
    </row>
    <row r="1275" spans="1:10" x14ac:dyDescent="0.3">
      <c r="A1275" s="10">
        <f>'2_Clean_Data'!A1272</f>
        <v>1271</v>
      </c>
      <c r="B1275" s="10">
        <f>INDEX('2_Clean_Data'!$M$2:$M$1360,MATCH($A1275,'2_Clean_Data'!$A$2:$A$1360,0))</f>
        <v>6</v>
      </c>
      <c r="C1275" s="9" t="str">
        <f t="shared" si="76"/>
        <v>Above Average</v>
      </c>
      <c r="D1275" s="11">
        <f>INDEX('2_Clean_Data'!$L$2:$L$1360,MATCH($A1275,'2_Clean_Data'!$A$2:$A$1360,0))</f>
        <v>10.8</v>
      </c>
      <c r="E1275" s="9" t="str">
        <f>IF(D1275&lt;'3_Summary_Tables'!$C$16,"Low",IF(D1275&lt;'3_Summary_Tables'!$C$17,"Medium","High"))</f>
        <v>Medium</v>
      </c>
      <c r="F1275" s="12">
        <f>INDEX('2_Clean_Data'!$C$2:$C$1360,MATCH($A1275,'2_Clean_Data'!$A$2:$A$1360,0))</f>
        <v>0.89500000000000002</v>
      </c>
      <c r="G1275" s="10">
        <f>INDEX('2_Clean_Data'!$H$2:$H$1360,MATCH($A1275,'2_Clean_Data'!$A$2:$A$1360,0))</f>
        <v>13</v>
      </c>
      <c r="H1275" s="9" t="str">
        <f t="shared" si="77"/>
        <v>Low</v>
      </c>
      <c r="I1275" s="9" t="str">
        <f t="shared" si="78"/>
        <v>Above limit</v>
      </c>
      <c r="J1275" s="9" t="str">
        <f t="shared" si="79"/>
        <v>Standard</v>
      </c>
    </row>
    <row r="1276" spans="1:10" x14ac:dyDescent="0.3">
      <c r="A1276" s="10">
        <f>'2_Clean_Data'!A1273</f>
        <v>1272</v>
      </c>
      <c r="B1276" s="10">
        <f>INDEX('2_Clean_Data'!$M$2:$M$1360,MATCH($A1276,'2_Clean_Data'!$A$2:$A$1360,0))</f>
        <v>5</v>
      </c>
      <c r="C1276" s="9" t="str">
        <f t="shared" si="76"/>
        <v>Average</v>
      </c>
      <c r="D1276" s="11">
        <f>INDEX('2_Clean_Data'!$L$2:$L$1360,MATCH($A1276,'2_Clean_Data'!$A$2:$A$1360,0))</f>
        <v>9.6</v>
      </c>
      <c r="E1276" s="9" t="str">
        <f>IF(D1276&lt;'3_Summary_Tables'!$C$16,"Low",IF(D1276&lt;'3_Summary_Tables'!$C$17,"Medium","High"))</f>
        <v>Low</v>
      </c>
      <c r="F1276" s="12">
        <f>INDEX('2_Clean_Data'!$C$2:$C$1360,MATCH($A1276,'2_Clean_Data'!$A$2:$A$1360,0))</f>
        <v>0.72499999999999998</v>
      </c>
      <c r="G1276" s="10">
        <f>INDEX('2_Clean_Data'!$H$2:$H$1360,MATCH($A1276,'2_Clean_Data'!$A$2:$A$1360,0))</f>
        <v>15</v>
      </c>
      <c r="H1276" s="9" t="str">
        <f t="shared" si="77"/>
        <v>Low</v>
      </c>
      <c r="I1276" s="9" t="str">
        <f t="shared" si="78"/>
        <v>Above limit</v>
      </c>
      <c r="J1276" s="9" t="str">
        <f t="shared" si="79"/>
        <v>Standard</v>
      </c>
    </row>
    <row r="1277" spans="1:10" x14ac:dyDescent="0.3">
      <c r="A1277" s="10">
        <f>'2_Clean_Data'!A1274</f>
        <v>1273</v>
      </c>
      <c r="B1277" s="10">
        <f>INDEX('2_Clean_Data'!$M$2:$M$1360,MATCH($A1277,'2_Clean_Data'!$A$2:$A$1360,0))</f>
        <v>5</v>
      </c>
      <c r="C1277" s="9" t="str">
        <f t="shared" si="76"/>
        <v>Average</v>
      </c>
      <c r="D1277" s="11">
        <f>INDEX('2_Clean_Data'!$L$2:$L$1360,MATCH($A1277,'2_Clean_Data'!$A$2:$A$1360,0))</f>
        <v>9.4</v>
      </c>
      <c r="E1277" s="9" t="str">
        <f>IF(D1277&lt;'3_Summary_Tables'!$C$16,"Low",IF(D1277&lt;'3_Summary_Tables'!$C$17,"Medium","High"))</f>
        <v>Low</v>
      </c>
      <c r="F1277" s="12">
        <f>INDEX('2_Clean_Data'!$C$2:$C$1360,MATCH($A1277,'2_Clean_Data'!$A$2:$A$1360,0))</f>
        <v>0.82</v>
      </c>
      <c r="G1277" s="10">
        <f>INDEX('2_Clean_Data'!$H$2:$H$1360,MATCH($A1277,'2_Clean_Data'!$A$2:$A$1360,0))</f>
        <v>64</v>
      </c>
      <c r="H1277" s="9" t="str">
        <f t="shared" si="77"/>
        <v>Moderate</v>
      </c>
      <c r="I1277" s="9" t="str">
        <f t="shared" si="78"/>
        <v>Above limit</v>
      </c>
      <c r="J1277" s="9" t="str">
        <f t="shared" si="79"/>
        <v>Standard</v>
      </c>
    </row>
    <row r="1278" spans="1:10" x14ac:dyDescent="0.3">
      <c r="A1278" s="10">
        <f>'2_Clean_Data'!A1275</f>
        <v>1274</v>
      </c>
      <c r="B1278" s="10">
        <f>INDEX('2_Clean_Data'!$M$2:$M$1360,MATCH($A1278,'2_Clean_Data'!$A$2:$A$1360,0))</f>
        <v>5</v>
      </c>
      <c r="C1278" s="9" t="str">
        <f t="shared" si="76"/>
        <v>Average</v>
      </c>
      <c r="D1278" s="11">
        <f>INDEX('2_Clean_Data'!$L$2:$L$1360,MATCH($A1278,'2_Clean_Data'!$A$2:$A$1360,0))</f>
        <v>9.8000000000000007</v>
      </c>
      <c r="E1278" s="9" t="str">
        <f>IF(D1278&lt;'3_Summary_Tables'!$C$16,"Low",IF(D1278&lt;'3_Summary_Tables'!$C$17,"Medium","High"))</f>
        <v>Low</v>
      </c>
      <c r="F1278" s="12">
        <f>INDEX('2_Clean_Data'!$C$2:$C$1360,MATCH($A1278,'2_Clean_Data'!$A$2:$A$1360,0))</f>
        <v>0.58499999999999996</v>
      </c>
      <c r="G1278" s="10">
        <f>INDEX('2_Clean_Data'!$H$2:$H$1360,MATCH($A1278,'2_Clean_Data'!$A$2:$A$1360,0))</f>
        <v>60</v>
      </c>
      <c r="H1278" s="9" t="str">
        <f t="shared" si="77"/>
        <v>Moderate</v>
      </c>
      <c r="I1278" s="9" t="str">
        <f t="shared" si="78"/>
        <v>OK</v>
      </c>
      <c r="J1278" s="9" t="str">
        <f t="shared" si="79"/>
        <v>Standard</v>
      </c>
    </row>
    <row r="1279" spans="1:10" x14ac:dyDescent="0.3">
      <c r="A1279" s="10">
        <f>'2_Clean_Data'!A1276</f>
        <v>1275</v>
      </c>
      <c r="B1279" s="10">
        <f>INDEX('2_Clean_Data'!$M$2:$M$1360,MATCH($A1279,'2_Clean_Data'!$A$2:$A$1360,0))</f>
        <v>6</v>
      </c>
      <c r="C1279" s="9" t="str">
        <f t="shared" si="76"/>
        <v>Above Average</v>
      </c>
      <c r="D1279" s="11">
        <f>INDEX('2_Clean_Data'!$L$2:$L$1360,MATCH($A1279,'2_Clean_Data'!$A$2:$A$1360,0))</f>
        <v>11</v>
      </c>
      <c r="E1279" s="9" t="str">
        <f>IF(D1279&lt;'3_Summary_Tables'!$C$16,"Low",IF(D1279&lt;'3_Summary_Tables'!$C$17,"Medium","High"))</f>
        <v>Medium</v>
      </c>
      <c r="F1279" s="12">
        <f>INDEX('2_Clean_Data'!$C$2:$C$1360,MATCH($A1279,'2_Clean_Data'!$A$2:$A$1360,0))</f>
        <v>0.44</v>
      </c>
      <c r="G1279" s="10">
        <f>INDEX('2_Clean_Data'!$H$2:$H$1360,MATCH($A1279,'2_Clean_Data'!$A$2:$A$1360,0))</f>
        <v>14</v>
      </c>
      <c r="H1279" s="9" t="str">
        <f t="shared" si="77"/>
        <v>Low</v>
      </c>
      <c r="I1279" s="9" t="str">
        <f t="shared" si="78"/>
        <v>OK</v>
      </c>
      <c r="J1279" s="9" t="str">
        <f t="shared" si="79"/>
        <v>Solid</v>
      </c>
    </row>
    <row r="1280" spans="1:10" x14ac:dyDescent="0.3">
      <c r="A1280" s="10">
        <f>'2_Clean_Data'!A1277</f>
        <v>1276</v>
      </c>
      <c r="B1280" s="10">
        <f>INDEX('2_Clean_Data'!$M$2:$M$1360,MATCH($A1280,'2_Clean_Data'!$A$2:$A$1360,0))</f>
        <v>6</v>
      </c>
      <c r="C1280" s="9" t="str">
        <f t="shared" si="76"/>
        <v>Above Average</v>
      </c>
      <c r="D1280" s="11">
        <f>INDEX('2_Clean_Data'!$L$2:$L$1360,MATCH($A1280,'2_Clean_Data'!$A$2:$A$1360,0))</f>
        <v>11.4</v>
      </c>
      <c r="E1280" s="9" t="str">
        <f>IF(D1280&lt;'3_Summary_Tables'!$C$16,"Low",IF(D1280&lt;'3_Summary_Tables'!$C$17,"Medium","High"))</f>
        <v>Medium</v>
      </c>
      <c r="F1280" s="12">
        <f>INDEX('2_Clean_Data'!$C$2:$C$1360,MATCH($A1280,'2_Clean_Data'!$A$2:$A$1360,0))</f>
        <v>0.38</v>
      </c>
      <c r="G1280" s="10">
        <f>INDEX('2_Clean_Data'!$H$2:$H$1360,MATCH($A1280,'2_Clean_Data'!$A$2:$A$1360,0))</f>
        <v>12</v>
      </c>
      <c r="H1280" s="9" t="str">
        <f t="shared" si="77"/>
        <v>Low</v>
      </c>
      <c r="I1280" s="9" t="str">
        <f t="shared" si="78"/>
        <v>OK</v>
      </c>
      <c r="J1280" s="9" t="str">
        <f t="shared" si="79"/>
        <v>Solid</v>
      </c>
    </row>
    <row r="1281" spans="1:10" x14ac:dyDescent="0.3">
      <c r="A1281" s="10">
        <f>'2_Clean_Data'!A1278</f>
        <v>1277</v>
      </c>
      <c r="B1281" s="10">
        <f>INDEX('2_Clean_Data'!$M$2:$M$1360,MATCH($A1281,'2_Clean_Data'!$A$2:$A$1360,0))</f>
        <v>3</v>
      </c>
      <c r="C1281" s="9" t="str">
        <f t="shared" si="76"/>
        <v>Poor</v>
      </c>
      <c r="D1281" s="11">
        <f>INDEX('2_Clean_Data'!$L$2:$L$1360,MATCH($A1281,'2_Clean_Data'!$A$2:$A$1360,0))</f>
        <v>9.9499999999999993</v>
      </c>
      <c r="E1281" s="9" t="str">
        <f>IF(D1281&lt;'3_Summary_Tables'!$C$16,"Low",IF(D1281&lt;'3_Summary_Tables'!$C$17,"Medium","High"))</f>
        <v>Low</v>
      </c>
      <c r="F1281" s="12">
        <f>INDEX('2_Clean_Data'!$C$2:$C$1360,MATCH($A1281,'2_Clean_Data'!$A$2:$A$1360,0))</f>
        <v>0.76</v>
      </c>
      <c r="G1281" s="10">
        <f>INDEX('2_Clean_Data'!$H$2:$H$1360,MATCH($A1281,'2_Clean_Data'!$A$2:$A$1360,0))</f>
        <v>12</v>
      </c>
      <c r="H1281" s="9" t="str">
        <f t="shared" si="77"/>
        <v>Low</v>
      </c>
      <c r="I1281" s="9" t="str">
        <f t="shared" si="78"/>
        <v>Above limit</v>
      </c>
      <c r="J1281" s="9" t="str">
        <f t="shared" si="79"/>
        <v>Poor</v>
      </c>
    </row>
    <row r="1282" spans="1:10" x14ac:dyDescent="0.3">
      <c r="A1282" s="10">
        <f>'2_Clean_Data'!A1279</f>
        <v>1278</v>
      </c>
      <c r="B1282" s="10">
        <f>INDEX('2_Clean_Data'!$M$2:$M$1360,MATCH($A1282,'2_Clean_Data'!$A$2:$A$1360,0))</f>
        <v>6</v>
      </c>
      <c r="C1282" s="9" t="str">
        <f t="shared" si="76"/>
        <v>Above Average</v>
      </c>
      <c r="D1282" s="11">
        <f>INDEX('2_Clean_Data'!$L$2:$L$1360,MATCH($A1282,'2_Clean_Data'!$A$2:$A$1360,0))</f>
        <v>10.8</v>
      </c>
      <c r="E1282" s="9" t="str">
        <f>IF(D1282&lt;'3_Summary_Tables'!$C$16,"Low",IF(D1282&lt;'3_Summary_Tables'!$C$17,"Medium","High"))</f>
        <v>Medium</v>
      </c>
      <c r="F1282" s="12">
        <f>INDEX('2_Clean_Data'!$C$2:$C$1360,MATCH($A1282,'2_Clean_Data'!$A$2:$A$1360,0))</f>
        <v>0.81</v>
      </c>
      <c r="G1282" s="10">
        <f>INDEX('2_Clean_Data'!$H$2:$H$1360,MATCH($A1282,'2_Clean_Data'!$A$2:$A$1360,0))</f>
        <v>14</v>
      </c>
      <c r="H1282" s="9" t="str">
        <f t="shared" si="77"/>
        <v>Low</v>
      </c>
      <c r="I1282" s="9" t="str">
        <f t="shared" si="78"/>
        <v>Above limit</v>
      </c>
      <c r="J1282" s="9" t="str">
        <f t="shared" si="79"/>
        <v>Standard</v>
      </c>
    </row>
    <row r="1283" spans="1:10" x14ac:dyDescent="0.3">
      <c r="A1283" s="10">
        <f>'2_Clean_Data'!A1280</f>
        <v>1279</v>
      </c>
      <c r="B1283" s="10">
        <f>INDEX('2_Clean_Data'!$M$2:$M$1360,MATCH($A1283,'2_Clean_Data'!$A$2:$A$1360,0))</f>
        <v>6</v>
      </c>
      <c r="C1283" s="9" t="str">
        <f t="shared" si="76"/>
        <v>Above Average</v>
      </c>
      <c r="D1283" s="11">
        <f>INDEX('2_Clean_Data'!$L$2:$L$1360,MATCH($A1283,'2_Clean_Data'!$A$2:$A$1360,0))</f>
        <v>10.6</v>
      </c>
      <c r="E1283" s="9" t="str">
        <f>IF(D1283&lt;'3_Summary_Tables'!$C$16,"Low",IF(D1283&lt;'3_Summary_Tables'!$C$17,"Medium","High"))</f>
        <v>Medium</v>
      </c>
      <c r="F1283" s="12">
        <f>INDEX('2_Clean_Data'!$C$2:$C$1360,MATCH($A1283,'2_Clean_Data'!$A$2:$A$1360,0))</f>
        <v>0.27</v>
      </c>
      <c r="G1283" s="10">
        <f>INDEX('2_Clean_Data'!$H$2:$H$1360,MATCH($A1283,'2_Clean_Data'!$A$2:$A$1360,0))</f>
        <v>25</v>
      </c>
      <c r="H1283" s="9" t="str">
        <f t="shared" si="77"/>
        <v>Low</v>
      </c>
      <c r="I1283" s="9" t="str">
        <f t="shared" si="78"/>
        <v>OK</v>
      </c>
      <c r="J1283" s="9" t="str">
        <f t="shared" si="79"/>
        <v>Solid</v>
      </c>
    </row>
    <row r="1284" spans="1:10" x14ac:dyDescent="0.3">
      <c r="A1284" s="10">
        <f>'2_Clean_Data'!A1281</f>
        <v>1280</v>
      </c>
      <c r="B1284" s="10">
        <f>INDEX('2_Clean_Data'!$M$2:$M$1360,MATCH($A1284,'2_Clean_Data'!$A$2:$A$1360,0))</f>
        <v>5</v>
      </c>
      <c r="C1284" s="9" t="str">
        <f t="shared" si="76"/>
        <v>Average</v>
      </c>
      <c r="D1284" s="11">
        <f>INDEX('2_Clean_Data'!$L$2:$L$1360,MATCH($A1284,'2_Clean_Data'!$A$2:$A$1360,0))</f>
        <v>11.1</v>
      </c>
      <c r="E1284" s="9" t="str">
        <f>IF(D1284&lt;'3_Summary_Tables'!$C$16,"Low",IF(D1284&lt;'3_Summary_Tables'!$C$17,"Medium","High"))</f>
        <v>Medium</v>
      </c>
      <c r="F1284" s="12">
        <f>INDEX('2_Clean_Data'!$C$2:$C$1360,MATCH($A1284,'2_Clean_Data'!$A$2:$A$1360,0))</f>
        <v>0.18</v>
      </c>
      <c r="G1284" s="10">
        <f>INDEX('2_Clean_Data'!$H$2:$H$1360,MATCH($A1284,'2_Clean_Data'!$A$2:$A$1360,0))</f>
        <v>20</v>
      </c>
      <c r="H1284" s="9" t="str">
        <f t="shared" si="77"/>
        <v>Low</v>
      </c>
      <c r="I1284" s="9" t="str">
        <f t="shared" si="78"/>
        <v>OK</v>
      </c>
      <c r="J1284" s="9" t="str">
        <f t="shared" si="79"/>
        <v>Standard</v>
      </c>
    </row>
    <row r="1285" spans="1:10" x14ac:dyDescent="0.3">
      <c r="A1285" s="10">
        <f>'2_Clean_Data'!A1282</f>
        <v>1281</v>
      </c>
      <c r="B1285" s="10">
        <f>INDEX('2_Clean_Data'!$M$2:$M$1360,MATCH($A1285,'2_Clean_Data'!$A$2:$A$1360,0))</f>
        <v>6</v>
      </c>
      <c r="C1285" s="9" t="str">
        <f t="shared" ref="C1285:C1348" si="80">VLOOKUP(B1285,$L$12:$N$17,2,FALSE())</f>
        <v>Above Average</v>
      </c>
      <c r="D1285" s="11">
        <f>INDEX('2_Clean_Data'!$L$2:$L$1360,MATCH($A1285,'2_Clean_Data'!$A$2:$A$1360,0))</f>
        <v>9.6999999999999993</v>
      </c>
      <c r="E1285" s="9" t="str">
        <f>IF(D1285&lt;'3_Summary_Tables'!$C$16,"Low",IF(D1285&lt;'3_Summary_Tables'!$C$17,"Medium","High"))</f>
        <v>Low</v>
      </c>
      <c r="F1285" s="12">
        <f>INDEX('2_Clean_Data'!$C$2:$C$1360,MATCH($A1285,'2_Clean_Data'!$A$2:$A$1360,0))</f>
        <v>0.36</v>
      </c>
      <c r="G1285" s="10">
        <f>INDEX('2_Clean_Data'!$H$2:$H$1360,MATCH($A1285,'2_Clean_Data'!$A$2:$A$1360,0))</f>
        <v>48</v>
      </c>
      <c r="H1285" s="9" t="str">
        <f t="shared" ref="H1285:H1348" si="81">IF(G1285&gt;$M$8,"High",IF(G1285&gt;$M$7,"Moderate","Low"))</f>
        <v>Low</v>
      </c>
      <c r="I1285" s="9" t="str">
        <f t="shared" ref="I1285:I1348" si="82">IF(F1285&gt;$M$6,"Above limit","OK")</f>
        <v>OK</v>
      </c>
      <c r="J1285" s="9" t="str">
        <f t="shared" ref="J1285:J1348" si="83">IF(AND(B1285&gt;=7,E1285="High"),"Premium",IF(AND(B1285&gt;=6,I1285="OK"),"Solid",IF(B1285&lt;=4,"Poor","Standard")))</f>
        <v>Solid</v>
      </c>
    </row>
    <row r="1286" spans="1:10" x14ac:dyDescent="0.3">
      <c r="A1286" s="10">
        <f>'2_Clean_Data'!A1283</f>
        <v>1282</v>
      </c>
      <c r="B1286" s="10">
        <f>INDEX('2_Clean_Data'!$M$2:$M$1360,MATCH($A1286,'2_Clean_Data'!$A$2:$A$1360,0))</f>
        <v>5</v>
      </c>
      <c r="C1286" s="9" t="str">
        <f t="shared" si="80"/>
        <v>Average</v>
      </c>
      <c r="D1286" s="11">
        <f>INDEX('2_Clean_Data'!$L$2:$L$1360,MATCH($A1286,'2_Clean_Data'!$A$2:$A$1360,0))</f>
        <v>9.8000000000000007</v>
      </c>
      <c r="E1286" s="9" t="str">
        <f>IF(D1286&lt;'3_Summary_Tables'!$C$16,"Low",IF(D1286&lt;'3_Summary_Tables'!$C$17,"Medium","High"))</f>
        <v>Low</v>
      </c>
      <c r="F1286" s="12">
        <f>INDEX('2_Clean_Data'!$C$2:$C$1360,MATCH($A1286,'2_Clean_Data'!$A$2:$A$1360,0))</f>
        <v>0.69</v>
      </c>
      <c r="G1286" s="10">
        <f>INDEX('2_Clean_Data'!$H$2:$H$1360,MATCH($A1286,'2_Clean_Data'!$A$2:$A$1360,0))</f>
        <v>27</v>
      </c>
      <c r="H1286" s="9" t="str">
        <f t="shared" si="81"/>
        <v>Low</v>
      </c>
      <c r="I1286" s="9" t="str">
        <f t="shared" si="82"/>
        <v>OK</v>
      </c>
      <c r="J1286" s="9" t="str">
        <f t="shared" si="83"/>
        <v>Standard</v>
      </c>
    </row>
    <row r="1287" spans="1:10" x14ac:dyDescent="0.3">
      <c r="A1287" s="10">
        <f>'2_Clean_Data'!A1284</f>
        <v>1283</v>
      </c>
      <c r="B1287" s="10">
        <f>INDEX('2_Clean_Data'!$M$2:$M$1360,MATCH($A1287,'2_Clean_Data'!$A$2:$A$1360,0))</f>
        <v>6</v>
      </c>
      <c r="C1287" s="9" t="str">
        <f t="shared" si="80"/>
        <v>Above Average</v>
      </c>
      <c r="D1287" s="11">
        <f>INDEX('2_Clean_Data'!$L$2:$L$1360,MATCH($A1287,'2_Clean_Data'!$A$2:$A$1360,0))</f>
        <v>10.4</v>
      </c>
      <c r="E1287" s="9" t="str">
        <f>IF(D1287&lt;'3_Summary_Tables'!$C$16,"Low",IF(D1287&lt;'3_Summary_Tables'!$C$17,"Medium","High"))</f>
        <v>Medium</v>
      </c>
      <c r="F1287" s="12">
        <f>INDEX('2_Clean_Data'!$C$2:$C$1360,MATCH($A1287,'2_Clean_Data'!$A$2:$A$1360,0))</f>
        <v>0.79</v>
      </c>
      <c r="G1287" s="10">
        <f>INDEX('2_Clean_Data'!$H$2:$H$1360,MATCH($A1287,'2_Clean_Data'!$A$2:$A$1360,0))</f>
        <v>17</v>
      </c>
      <c r="H1287" s="9" t="str">
        <f t="shared" si="81"/>
        <v>Low</v>
      </c>
      <c r="I1287" s="9" t="str">
        <f t="shared" si="82"/>
        <v>Above limit</v>
      </c>
      <c r="J1287" s="9" t="str">
        <f t="shared" si="83"/>
        <v>Standard</v>
      </c>
    </row>
    <row r="1288" spans="1:10" x14ac:dyDescent="0.3">
      <c r="A1288" s="10">
        <f>'2_Clean_Data'!A1285</f>
        <v>1284</v>
      </c>
      <c r="B1288" s="10">
        <f>INDEX('2_Clean_Data'!$M$2:$M$1360,MATCH($A1288,'2_Clean_Data'!$A$2:$A$1360,0))</f>
        <v>6</v>
      </c>
      <c r="C1288" s="9" t="str">
        <f t="shared" si="80"/>
        <v>Above Average</v>
      </c>
      <c r="D1288" s="11">
        <f>INDEX('2_Clean_Data'!$L$2:$L$1360,MATCH($A1288,'2_Clean_Data'!$A$2:$A$1360,0))</f>
        <v>10.5</v>
      </c>
      <c r="E1288" s="9" t="str">
        <f>IF(D1288&lt;'3_Summary_Tables'!$C$16,"Low",IF(D1288&lt;'3_Summary_Tables'!$C$17,"Medium","High"))</f>
        <v>Medium</v>
      </c>
      <c r="F1288" s="12">
        <f>INDEX('2_Clean_Data'!$C$2:$C$1360,MATCH($A1288,'2_Clean_Data'!$A$2:$A$1360,0))</f>
        <v>0.56000000000000005</v>
      </c>
      <c r="G1288" s="10">
        <f>INDEX('2_Clean_Data'!$H$2:$H$1360,MATCH($A1288,'2_Clean_Data'!$A$2:$A$1360,0))</f>
        <v>65</v>
      </c>
      <c r="H1288" s="9" t="str">
        <f t="shared" si="81"/>
        <v>Moderate</v>
      </c>
      <c r="I1288" s="9" t="str">
        <f t="shared" si="82"/>
        <v>OK</v>
      </c>
      <c r="J1288" s="9" t="str">
        <f t="shared" si="83"/>
        <v>Solid</v>
      </c>
    </row>
    <row r="1289" spans="1:10" x14ac:dyDescent="0.3">
      <c r="A1289" s="10">
        <f>'2_Clean_Data'!A1286</f>
        <v>1285</v>
      </c>
      <c r="B1289" s="10">
        <f>INDEX('2_Clean_Data'!$M$2:$M$1360,MATCH($A1289,'2_Clean_Data'!$A$2:$A$1360,0))</f>
        <v>6</v>
      </c>
      <c r="C1289" s="9" t="str">
        <f t="shared" si="80"/>
        <v>Above Average</v>
      </c>
      <c r="D1289" s="11">
        <f>INDEX('2_Clean_Data'!$L$2:$L$1360,MATCH($A1289,'2_Clean_Data'!$A$2:$A$1360,0))</f>
        <v>9.2333333333333307</v>
      </c>
      <c r="E1289" s="9" t="str">
        <f>IF(D1289&lt;'3_Summary_Tables'!$C$16,"Low",IF(D1289&lt;'3_Summary_Tables'!$C$17,"Medium","High"))</f>
        <v>Low</v>
      </c>
      <c r="F1289" s="12">
        <f>INDEX('2_Clean_Data'!$C$2:$C$1360,MATCH($A1289,'2_Clean_Data'!$A$2:$A$1360,0))</f>
        <v>0.84</v>
      </c>
      <c r="G1289" s="10">
        <f>INDEX('2_Clean_Data'!$H$2:$H$1360,MATCH($A1289,'2_Clean_Data'!$A$2:$A$1360,0))</f>
        <v>65</v>
      </c>
      <c r="H1289" s="9" t="str">
        <f t="shared" si="81"/>
        <v>Moderate</v>
      </c>
      <c r="I1289" s="9" t="str">
        <f t="shared" si="82"/>
        <v>Above limit</v>
      </c>
      <c r="J1289" s="9" t="str">
        <f t="shared" si="83"/>
        <v>Standard</v>
      </c>
    </row>
    <row r="1290" spans="1:10" x14ac:dyDescent="0.3">
      <c r="A1290" s="10">
        <f>'2_Clean_Data'!A1287</f>
        <v>1286</v>
      </c>
      <c r="B1290" s="10">
        <f>INDEX('2_Clean_Data'!$M$2:$M$1360,MATCH($A1290,'2_Clean_Data'!$A$2:$A$1360,0))</f>
        <v>6</v>
      </c>
      <c r="C1290" s="9" t="str">
        <f t="shared" si="80"/>
        <v>Above Average</v>
      </c>
      <c r="D1290" s="11">
        <f>INDEX('2_Clean_Data'!$L$2:$L$1360,MATCH($A1290,'2_Clean_Data'!$A$2:$A$1360,0))</f>
        <v>9.25</v>
      </c>
      <c r="E1290" s="9" t="str">
        <f>IF(D1290&lt;'3_Summary_Tables'!$C$16,"Low",IF(D1290&lt;'3_Summary_Tables'!$C$17,"Medium","High"))</f>
        <v>Low</v>
      </c>
      <c r="F1290" s="12">
        <f>INDEX('2_Clean_Data'!$C$2:$C$1360,MATCH($A1290,'2_Clean_Data'!$A$2:$A$1360,0))</f>
        <v>0.84</v>
      </c>
      <c r="G1290" s="10">
        <f>INDEX('2_Clean_Data'!$H$2:$H$1360,MATCH($A1290,'2_Clean_Data'!$A$2:$A$1360,0))</f>
        <v>65</v>
      </c>
      <c r="H1290" s="9" t="str">
        <f t="shared" si="81"/>
        <v>Moderate</v>
      </c>
      <c r="I1290" s="9" t="str">
        <f t="shared" si="82"/>
        <v>Above limit</v>
      </c>
      <c r="J1290" s="9" t="str">
        <f t="shared" si="83"/>
        <v>Standard</v>
      </c>
    </row>
    <row r="1291" spans="1:10" x14ac:dyDescent="0.3">
      <c r="A1291" s="10">
        <f>'2_Clean_Data'!A1288</f>
        <v>1287</v>
      </c>
      <c r="B1291" s="10">
        <f>INDEX('2_Clean_Data'!$M$2:$M$1360,MATCH($A1291,'2_Clean_Data'!$A$2:$A$1360,0))</f>
        <v>5</v>
      </c>
      <c r="C1291" s="9" t="str">
        <f t="shared" si="80"/>
        <v>Average</v>
      </c>
      <c r="D1291" s="11">
        <f>INDEX('2_Clean_Data'!$L$2:$L$1360,MATCH($A1291,'2_Clean_Data'!$A$2:$A$1360,0))</f>
        <v>10.6</v>
      </c>
      <c r="E1291" s="9" t="str">
        <f>IF(D1291&lt;'3_Summary_Tables'!$C$16,"Low",IF(D1291&lt;'3_Summary_Tables'!$C$17,"Medium","High"))</f>
        <v>Medium</v>
      </c>
      <c r="F1291" s="12">
        <f>INDEX('2_Clean_Data'!$C$2:$C$1360,MATCH($A1291,'2_Clean_Data'!$A$2:$A$1360,0))</f>
        <v>0.32</v>
      </c>
      <c r="G1291" s="10">
        <f>INDEX('2_Clean_Data'!$H$2:$H$1360,MATCH($A1291,'2_Clean_Data'!$A$2:$A$1360,0))</f>
        <v>58</v>
      </c>
      <c r="H1291" s="9" t="str">
        <f t="shared" si="81"/>
        <v>Moderate</v>
      </c>
      <c r="I1291" s="9" t="str">
        <f t="shared" si="82"/>
        <v>OK</v>
      </c>
      <c r="J1291" s="9" t="str">
        <f t="shared" si="83"/>
        <v>Standard</v>
      </c>
    </row>
    <row r="1292" spans="1:10" x14ac:dyDescent="0.3">
      <c r="A1292" s="10">
        <f>'2_Clean_Data'!A1289</f>
        <v>1288</v>
      </c>
      <c r="B1292" s="10">
        <f>INDEX('2_Clean_Data'!$M$2:$M$1360,MATCH($A1292,'2_Clean_Data'!$A$2:$A$1360,0))</f>
        <v>6</v>
      </c>
      <c r="C1292" s="9" t="str">
        <f t="shared" si="80"/>
        <v>Above Average</v>
      </c>
      <c r="D1292" s="11">
        <f>INDEX('2_Clean_Data'!$L$2:$L$1360,MATCH($A1292,'2_Clean_Data'!$A$2:$A$1360,0))</f>
        <v>10.3</v>
      </c>
      <c r="E1292" s="9" t="str">
        <f>IF(D1292&lt;'3_Summary_Tables'!$C$16,"Low",IF(D1292&lt;'3_Summary_Tables'!$C$17,"Medium","High"))</f>
        <v>Medium</v>
      </c>
      <c r="F1292" s="12">
        <f>INDEX('2_Clean_Data'!$C$2:$C$1360,MATCH($A1292,'2_Clean_Data'!$A$2:$A$1360,0))</f>
        <v>0.53</v>
      </c>
      <c r="G1292" s="10">
        <f>INDEX('2_Clean_Data'!$H$2:$H$1360,MATCH($A1292,'2_Clean_Data'!$A$2:$A$1360,0))</f>
        <v>44</v>
      </c>
      <c r="H1292" s="9" t="str">
        <f t="shared" si="81"/>
        <v>Low</v>
      </c>
      <c r="I1292" s="9" t="str">
        <f t="shared" si="82"/>
        <v>OK</v>
      </c>
      <c r="J1292" s="9" t="str">
        <f t="shared" si="83"/>
        <v>Solid</v>
      </c>
    </row>
    <row r="1293" spans="1:10" x14ac:dyDescent="0.3">
      <c r="A1293" s="10">
        <f>'2_Clean_Data'!A1290</f>
        <v>1289</v>
      </c>
      <c r="B1293" s="10">
        <f>INDEX('2_Clean_Data'!$M$2:$M$1360,MATCH($A1293,'2_Clean_Data'!$A$2:$A$1360,0))</f>
        <v>5</v>
      </c>
      <c r="C1293" s="9" t="str">
        <f t="shared" si="80"/>
        <v>Average</v>
      </c>
      <c r="D1293" s="11">
        <f>INDEX('2_Clean_Data'!$L$2:$L$1360,MATCH($A1293,'2_Clean_Data'!$A$2:$A$1360,0))</f>
        <v>10.5</v>
      </c>
      <c r="E1293" s="9" t="str">
        <f>IF(D1293&lt;'3_Summary_Tables'!$C$16,"Low",IF(D1293&lt;'3_Summary_Tables'!$C$17,"Medium","High"))</f>
        <v>Medium</v>
      </c>
      <c r="F1293" s="12">
        <f>INDEX('2_Clean_Data'!$C$2:$C$1360,MATCH($A1293,'2_Clean_Data'!$A$2:$A$1360,0))</f>
        <v>0.47</v>
      </c>
      <c r="G1293" s="10">
        <f>INDEX('2_Clean_Data'!$H$2:$H$1360,MATCH($A1293,'2_Clean_Data'!$A$2:$A$1360,0))</f>
        <v>20</v>
      </c>
      <c r="H1293" s="9" t="str">
        <f t="shared" si="81"/>
        <v>Low</v>
      </c>
      <c r="I1293" s="9" t="str">
        <f t="shared" si="82"/>
        <v>OK</v>
      </c>
      <c r="J1293" s="9" t="str">
        <f t="shared" si="83"/>
        <v>Standard</v>
      </c>
    </row>
    <row r="1294" spans="1:10" x14ac:dyDescent="0.3">
      <c r="A1294" s="10">
        <f>'2_Clean_Data'!A1291</f>
        <v>1290</v>
      </c>
      <c r="B1294" s="10">
        <f>INDEX('2_Clean_Data'!$M$2:$M$1360,MATCH($A1294,'2_Clean_Data'!$A$2:$A$1360,0))</f>
        <v>5</v>
      </c>
      <c r="C1294" s="9" t="str">
        <f t="shared" si="80"/>
        <v>Average</v>
      </c>
      <c r="D1294" s="11">
        <f>INDEX('2_Clean_Data'!$L$2:$L$1360,MATCH($A1294,'2_Clean_Data'!$A$2:$A$1360,0))</f>
        <v>10.199999999999999</v>
      </c>
      <c r="E1294" s="9" t="str">
        <f>IF(D1294&lt;'3_Summary_Tables'!$C$16,"Low",IF(D1294&lt;'3_Summary_Tables'!$C$17,"Medium","High"))</f>
        <v>Medium</v>
      </c>
      <c r="F1294" s="12">
        <f>INDEX('2_Clean_Data'!$C$2:$C$1360,MATCH($A1294,'2_Clean_Data'!$A$2:$A$1360,0))</f>
        <v>0.7</v>
      </c>
      <c r="G1294" s="10">
        <f>INDEX('2_Clean_Data'!$H$2:$H$1360,MATCH($A1294,'2_Clean_Data'!$A$2:$A$1360,0))</f>
        <v>27</v>
      </c>
      <c r="H1294" s="9" t="str">
        <f t="shared" si="81"/>
        <v>Low</v>
      </c>
      <c r="I1294" s="9" t="str">
        <f t="shared" si="82"/>
        <v>OK</v>
      </c>
      <c r="J1294" s="9" t="str">
        <f t="shared" si="83"/>
        <v>Standard</v>
      </c>
    </row>
    <row r="1295" spans="1:10" x14ac:dyDescent="0.3">
      <c r="A1295" s="10">
        <f>'2_Clean_Data'!A1292</f>
        <v>1291</v>
      </c>
      <c r="B1295" s="10">
        <f>INDEX('2_Clean_Data'!$M$2:$M$1360,MATCH($A1295,'2_Clean_Data'!$A$2:$A$1360,0))</f>
        <v>4</v>
      </c>
      <c r="C1295" s="9" t="str">
        <f t="shared" si="80"/>
        <v>Poor</v>
      </c>
      <c r="D1295" s="11">
        <f>INDEX('2_Clean_Data'!$L$2:$L$1360,MATCH($A1295,'2_Clean_Data'!$A$2:$A$1360,0))</f>
        <v>9.0500000000000007</v>
      </c>
      <c r="E1295" s="9" t="str">
        <f>IF(D1295&lt;'3_Summary_Tables'!$C$16,"Low",IF(D1295&lt;'3_Summary_Tables'!$C$17,"Medium","High"))</f>
        <v>Low</v>
      </c>
      <c r="F1295" s="12">
        <f>INDEX('2_Clean_Data'!$C$2:$C$1360,MATCH($A1295,'2_Clean_Data'!$A$2:$A$1360,0))</f>
        <v>0.48</v>
      </c>
      <c r="G1295" s="10">
        <f>INDEX('2_Clean_Data'!$H$2:$H$1360,MATCH($A1295,'2_Clean_Data'!$A$2:$A$1360,0))</f>
        <v>23</v>
      </c>
      <c r="H1295" s="9" t="str">
        <f t="shared" si="81"/>
        <v>Low</v>
      </c>
      <c r="I1295" s="9" t="str">
        <f t="shared" si="82"/>
        <v>OK</v>
      </c>
      <c r="J1295" s="9" t="str">
        <f t="shared" si="83"/>
        <v>Poor</v>
      </c>
    </row>
    <row r="1296" spans="1:10" x14ac:dyDescent="0.3">
      <c r="A1296" s="10">
        <f>'2_Clean_Data'!A1293</f>
        <v>1292</v>
      </c>
      <c r="B1296" s="10">
        <f>INDEX('2_Clean_Data'!$M$2:$M$1360,MATCH($A1296,'2_Clean_Data'!$A$2:$A$1360,0))</f>
        <v>5</v>
      </c>
      <c r="C1296" s="9" t="str">
        <f t="shared" si="80"/>
        <v>Average</v>
      </c>
      <c r="D1296" s="11">
        <f>INDEX('2_Clean_Data'!$L$2:$L$1360,MATCH($A1296,'2_Clean_Data'!$A$2:$A$1360,0))</f>
        <v>10.4</v>
      </c>
      <c r="E1296" s="9" t="str">
        <f>IF(D1296&lt;'3_Summary_Tables'!$C$16,"Low",IF(D1296&lt;'3_Summary_Tables'!$C$17,"Medium","High"))</f>
        <v>Medium</v>
      </c>
      <c r="F1296" s="12">
        <f>INDEX('2_Clean_Data'!$C$2:$C$1360,MATCH($A1296,'2_Clean_Data'!$A$2:$A$1360,0))</f>
        <v>0.48</v>
      </c>
      <c r="G1296" s="10">
        <f>INDEX('2_Clean_Data'!$H$2:$H$1360,MATCH($A1296,'2_Clean_Data'!$A$2:$A$1360,0))</f>
        <v>61</v>
      </c>
      <c r="H1296" s="9" t="str">
        <f t="shared" si="81"/>
        <v>Moderate</v>
      </c>
      <c r="I1296" s="9" t="str">
        <f t="shared" si="82"/>
        <v>OK</v>
      </c>
      <c r="J1296" s="9" t="str">
        <f t="shared" si="83"/>
        <v>Standard</v>
      </c>
    </row>
    <row r="1297" spans="1:10" x14ac:dyDescent="0.3">
      <c r="A1297" s="10">
        <f>'2_Clean_Data'!A1294</f>
        <v>1293</v>
      </c>
      <c r="B1297" s="10">
        <f>INDEX('2_Clean_Data'!$M$2:$M$1360,MATCH($A1297,'2_Clean_Data'!$A$2:$A$1360,0))</f>
        <v>6</v>
      </c>
      <c r="C1297" s="9" t="str">
        <f t="shared" si="80"/>
        <v>Above Average</v>
      </c>
      <c r="D1297" s="11">
        <f>INDEX('2_Clean_Data'!$L$2:$L$1360,MATCH($A1297,'2_Clean_Data'!$A$2:$A$1360,0))</f>
        <v>10</v>
      </c>
      <c r="E1297" s="9" t="str">
        <f>IF(D1297&lt;'3_Summary_Tables'!$C$16,"Low",IF(D1297&lt;'3_Summary_Tables'!$C$17,"Medium","High"))</f>
        <v>Medium</v>
      </c>
      <c r="F1297" s="12">
        <f>INDEX('2_Clean_Data'!$C$2:$C$1360,MATCH($A1297,'2_Clean_Data'!$A$2:$A$1360,0))</f>
        <v>0.42</v>
      </c>
      <c r="G1297" s="10">
        <f>INDEX('2_Clean_Data'!$H$2:$H$1360,MATCH($A1297,'2_Clean_Data'!$A$2:$A$1360,0))</f>
        <v>47</v>
      </c>
      <c r="H1297" s="9" t="str">
        <f t="shared" si="81"/>
        <v>Low</v>
      </c>
      <c r="I1297" s="9" t="str">
        <f t="shared" si="82"/>
        <v>OK</v>
      </c>
      <c r="J1297" s="9" t="str">
        <f t="shared" si="83"/>
        <v>Solid</v>
      </c>
    </row>
    <row r="1298" spans="1:10" x14ac:dyDescent="0.3">
      <c r="A1298" s="10">
        <f>'2_Clean_Data'!A1295</f>
        <v>1294</v>
      </c>
      <c r="B1298" s="10">
        <f>INDEX('2_Clean_Data'!$M$2:$M$1360,MATCH($A1298,'2_Clean_Data'!$A$2:$A$1360,0))</f>
        <v>5</v>
      </c>
      <c r="C1298" s="9" t="str">
        <f t="shared" si="80"/>
        <v>Average</v>
      </c>
      <c r="D1298" s="11">
        <f>INDEX('2_Clean_Data'!$L$2:$L$1360,MATCH($A1298,'2_Clean_Data'!$A$2:$A$1360,0))</f>
        <v>9.6999999999999993</v>
      </c>
      <c r="E1298" s="9" t="str">
        <f>IF(D1298&lt;'3_Summary_Tables'!$C$16,"Low",IF(D1298&lt;'3_Summary_Tables'!$C$17,"Medium","High"))</f>
        <v>Low</v>
      </c>
      <c r="F1298" s="12">
        <f>INDEX('2_Clean_Data'!$C$2:$C$1360,MATCH($A1298,'2_Clean_Data'!$A$2:$A$1360,0))</f>
        <v>0.48</v>
      </c>
      <c r="G1298" s="10">
        <f>INDEX('2_Clean_Data'!$H$2:$H$1360,MATCH($A1298,'2_Clean_Data'!$A$2:$A$1360,0))</f>
        <v>34</v>
      </c>
      <c r="H1298" s="9" t="str">
        <f t="shared" si="81"/>
        <v>Low</v>
      </c>
      <c r="I1298" s="9" t="str">
        <f t="shared" si="82"/>
        <v>OK</v>
      </c>
      <c r="J1298" s="9" t="str">
        <f t="shared" si="83"/>
        <v>Standard</v>
      </c>
    </row>
    <row r="1299" spans="1:10" x14ac:dyDescent="0.3">
      <c r="A1299" s="10">
        <f>'2_Clean_Data'!A1296</f>
        <v>1295</v>
      </c>
      <c r="B1299" s="10">
        <f>INDEX('2_Clean_Data'!$M$2:$M$1360,MATCH($A1299,'2_Clean_Data'!$A$2:$A$1360,0))</f>
        <v>6</v>
      </c>
      <c r="C1299" s="9" t="str">
        <f t="shared" si="80"/>
        <v>Above Average</v>
      </c>
      <c r="D1299" s="11">
        <f>INDEX('2_Clean_Data'!$L$2:$L$1360,MATCH($A1299,'2_Clean_Data'!$A$2:$A$1360,0))</f>
        <v>9.6</v>
      </c>
      <c r="E1299" s="9" t="str">
        <f>IF(D1299&lt;'3_Summary_Tables'!$C$16,"Low",IF(D1299&lt;'3_Summary_Tables'!$C$17,"Medium","High"))</f>
        <v>Low</v>
      </c>
      <c r="F1299" s="12">
        <f>INDEX('2_Clean_Data'!$C$2:$C$1360,MATCH($A1299,'2_Clean_Data'!$A$2:$A$1360,0))</f>
        <v>0.47</v>
      </c>
      <c r="G1299" s="10">
        <f>INDEX('2_Clean_Data'!$H$2:$H$1360,MATCH($A1299,'2_Clean_Data'!$A$2:$A$1360,0))</f>
        <v>38</v>
      </c>
      <c r="H1299" s="9" t="str">
        <f t="shared" si="81"/>
        <v>Low</v>
      </c>
      <c r="I1299" s="9" t="str">
        <f t="shared" si="82"/>
        <v>OK</v>
      </c>
      <c r="J1299" s="9" t="str">
        <f t="shared" si="83"/>
        <v>Solid</v>
      </c>
    </row>
    <row r="1300" spans="1:10" x14ac:dyDescent="0.3">
      <c r="A1300" s="10">
        <f>'2_Clean_Data'!A1297</f>
        <v>1296</v>
      </c>
      <c r="B1300" s="10">
        <f>INDEX('2_Clean_Data'!$M$2:$M$1360,MATCH($A1300,'2_Clean_Data'!$A$2:$A$1360,0))</f>
        <v>6</v>
      </c>
      <c r="C1300" s="9" t="str">
        <f t="shared" si="80"/>
        <v>Above Average</v>
      </c>
      <c r="D1300" s="11">
        <f>INDEX('2_Clean_Data'!$L$2:$L$1360,MATCH($A1300,'2_Clean_Data'!$A$2:$A$1360,0))</f>
        <v>10.8</v>
      </c>
      <c r="E1300" s="9" t="str">
        <f>IF(D1300&lt;'3_Summary_Tables'!$C$16,"Low",IF(D1300&lt;'3_Summary_Tables'!$C$17,"Medium","High"))</f>
        <v>Medium</v>
      </c>
      <c r="F1300" s="12">
        <f>INDEX('2_Clean_Data'!$C$2:$C$1360,MATCH($A1300,'2_Clean_Data'!$A$2:$A$1360,0))</f>
        <v>0.53</v>
      </c>
      <c r="G1300" s="10">
        <f>INDEX('2_Clean_Data'!$H$2:$H$1360,MATCH($A1300,'2_Clean_Data'!$A$2:$A$1360,0))</f>
        <v>24</v>
      </c>
      <c r="H1300" s="9" t="str">
        <f t="shared" si="81"/>
        <v>Low</v>
      </c>
      <c r="I1300" s="9" t="str">
        <f t="shared" si="82"/>
        <v>OK</v>
      </c>
      <c r="J1300" s="9" t="str">
        <f t="shared" si="83"/>
        <v>Solid</v>
      </c>
    </row>
    <row r="1301" spans="1:10" x14ac:dyDescent="0.3">
      <c r="A1301" s="10">
        <f>'2_Clean_Data'!A1298</f>
        <v>1297</v>
      </c>
      <c r="B1301" s="10">
        <f>INDEX('2_Clean_Data'!$M$2:$M$1360,MATCH($A1301,'2_Clean_Data'!$A$2:$A$1360,0))</f>
        <v>6</v>
      </c>
      <c r="C1301" s="9" t="str">
        <f t="shared" si="80"/>
        <v>Above Average</v>
      </c>
      <c r="D1301" s="11">
        <f>INDEX('2_Clean_Data'!$L$2:$L$1360,MATCH($A1301,'2_Clean_Data'!$A$2:$A$1360,0))</f>
        <v>10.1</v>
      </c>
      <c r="E1301" s="9" t="str">
        <f>IF(D1301&lt;'3_Summary_Tables'!$C$16,"Low",IF(D1301&lt;'3_Summary_Tables'!$C$17,"Medium","High"))</f>
        <v>Medium</v>
      </c>
      <c r="F1301" s="12">
        <f>INDEX('2_Clean_Data'!$C$2:$C$1360,MATCH($A1301,'2_Clean_Data'!$A$2:$A$1360,0))</f>
        <v>0.28999999999999998</v>
      </c>
      <c r="G1301" s="10">
        <f>INDEX('2_Clean_Data'!$H$2:$H$1360,MATCH($A1301,'2_Clean_Data'!$A$2:$A$1360,0))</f>
        <v>59</v>
      </c>
      <c r="H1301" s="9" t="str">
        <f t="shared" si="81"/>
        <v>Moderate</v>
      </c>
      <c r="I1301" s="9" t="str">
        <f t="shared" si="82"/>
        <v>OK</v>
      </c>
      <c r="J1301" s="9" t="str">
        <f t="shared" si="83"/>
        <v>Solid</v>
      </c>
    </row>
    <row r="1302" spans="1:10" x14ac:dyDescent="0.3">
      <c r="A1302" s="10">
        <f>'2_Clean_Data'!A1299</f>
        <v>1298</v>
      </c>
      <c r="B1302" s="10">
        <f>INDEX('2_Clean_Data'!$M$2:$M$1360,MATCH($A1302,'2_Clean_Data'!$A$2:$A$1360,0))</f>
        <v>6</v>
      </c>
      <c r="C1302" s="9" t="str">
        <f t="shared" si="80"/>
        <v>Above Average</v>
      </c>
      <c r="D1302" s="11">
        <f>INDEX('2_Clean_Data'!$L$2:$L$1360,MATCH($A1302,'2_Clean_Data'!$A$2:$A$1360,0))</f>
        <v>10.199999999999999</v>
      </c>
      <c r="E1302" s="9" t="str">
        <f>IF(D1302&lt;'3_Summary_Tables'!$C$16,"Low",IF(D1302&lt;'3_Summary_Tables'!$C$17,"Medium","High"))</f>
        <v>Medium</v>
      </c>
      <c r="F1302" s="12">
        <f>INDEX('2_Clean_Data'!$C$2:$C$1360,MATCH($A1302,'2_Clean_Data'!$A$2:$A$1360,0))</f>
        <v>0.69</v>
      </c>
      <c r="G1302" s="10">
        <f>INDEX('2_Clean_Data'!$H$2:$H$1360,MATCH($A1302,'2_Clean_Data'!$A$2:$A$1360,0))</f>
        <v>52</v>
      </c>
      <c r="H1302" s="9" t="str">
        <f t="shared" si="81"/>
        <v>Moderate</v>
      </c>
      <c r="I1302" s="9" t="str">
        <f t="shared" si="82"/>
        <v>OK</v>
      </c>
      <c r="J1302" s="9" t="str">
        <f t="shared" si="83"/>
        <v>Solid</v>
      </c>
    </row>
    <row r="1303" spans="1:10" x14ac:dyDescent="0.3">
      <c r="A1303" s="10">
        <f>'2_Clean_Data'!A1300</f>
        <v>1299</v>
      </c>
      <c r="B1303" s="10">
        <f>INDEX('2_Clean_Data'!$M$2:$M$1360,MATCH($A1303,'2_Clean_Data'!$A$2:$A$1360,0))</f>
        <v>6</v>
      </c>
      <c r="C1303" s="9" t="str">
        <f t="shared" si="80"/>
        <v>Above Average</v>
      </c>
      <c r="D1303" s="11">
        <f>INDEX('2_Clean_Data'!$L$2:$L$1360,MATCH($A1303,'2_Clean_Data'!$A$2:$A$1360,0))</f>
        <v>11.3</v>
      </c>
      <c r="E1303" s="9" t="str">
        <f>IF(D1303&lt;'3_Summary_Tables'!$C$16,"Low",IF(D1303&lt;'3_Summary_Tables'!$C$17,"Medium","High"))</f>
        <v>Medium</v>
      </c>
      <c r="F1303" s="12">
        <f>INDEX('2_Clean_Data'!$C$2:$C$1360,MATCH($A1303,'2_Clean_Data'!$A$2:$A$1360,0))</f>
        <v>0.44</v>
      </c>
      <c r="G1303" s="10">
        <f>INDEX('2_Clean_Data'!$H$2:$H$1360,MATCH($A1303,'2_Clean_Data'!$A$2:$A$1360,0))</f>
        <v>18</v>
      </c>
      <c r="H1303" s="9" t="str">
        <f t="shared" si="81"/>
        <v>Low</v>
      </c>
      <c r="I1303" s="9" t="str">
        <f t="shared" si="82"/>
        <v>OK</v>
      </c>
      <c r="J1303" s="9" t="str">
        <f t="shared" si="83"/>
        <v>Solid</v>
      </c>
    </row>
    <row r="1304" spans="1:10" x14ac:dyDescent="0.3">
      <c r="A1304" s="10">
        <f>'2_Clean_Data'!A1301</f>
        <v>1300</v>
      </c>
      <c r="B1304" s="10">
        <f>INDEX('2_Clean_Data'!$M$2:$M$1360,MATCH($A1304,'2_Clean_Data'!$A$2:$A$1360,0))</f>
        <v>5</v>
      </c>
      <c r="C1304" s="9" t="str">
        <f t="shared" si="80"/>
        <v>Average</v>
      </c>
      <c r="D1304" s="11">
        <f>INDEX('2_Clean_Data'!$L$2:$L$1360,MATCH($A1304,'2_Clean_Data'!$A$2:$A$1360,0))</f>
        <v>10.199999999999999</v>
      </c>
      <c r="E1304" s="9" t="str">
        <f>IF(D1304&lt;'3_Summary_Tables'!$C$16,"Low",IF(D1304&lt;'3_Summary_Tables'!$C$17,"Medium","High"))</f>
        <v>Medium</v>
      </c>
      <c r="F1304" s="12">
        <f>INDEX('2_Clean_Data'!$C$2:$C$1360,MATCH($A1304,'2_Clean_Data'!$A$2:$A$1360,0))</f>
        <v>0.70499999999999996</v>
      </c>
      <c r="G1304" s="10">
        <f>INDEX('2_Clean_Data'!$H$2:$H$1360,MATCH($A1304,'2_Clean_Data'!$A$2:$A$1360,0))</f>
        <v>28</v>
      </c>
      <c r="H1304" s="9" t="str">
        <f t="shared" si="81"/>
        <v>Low</v>
      </c>
      <c r="I1304" s="9" t="str">
        <f t="shared" si="82"/>
        <v>Above limit</v>
      </c>
      <c r="J1304" s="9" t="str">
        <f t="shared" si="83"/>
        <v>Standard</v>
      </c>
    </row>
    <row r="1305" spans="1:10" x14ac:dyDescent="0.3">
      <c r="A1305" s="10">
        <f>'2_Clean_Data'!A1302</f>
        <v>1301</v>
      </c>
      <c r="B1305" s="10">
        <f>INDEX('2_Clean_Data'!$M$2:$M$1360,MATCH($A1305,'2_Clean_Data'!$A$2:$A$1360,0))</f>
        <v>6</v>
      </c>
      <c r="C1305" s="9" t="str">
        <f t="shared" si="80"/>
        <v>Above Average</v>
      </c>
      <c r="D1305" s="11">
        <f>INDEX('2_Clean_Data'!$L$2:$L$1360,MATCH($A1305,'2_Clean_Data'!$A$2:$A$1360,0))</f>
        <v>9.9</v>
      </c>
      <c r="E1305" s="9" t="str">
        <f>IF(D1305&lt;'3_Summary_Tables'!$C$16,"Low",IF(D1305&lt;'3_Summary_Tables'!$C$17,"Medium","High"))</f>
        <v>Low</v>
      </c>
      <c r="F1305" s="12">
        <f>INDEX('2_Clean_Data'!$C$2:$C$1360,MATCH($A1305,'2_Clean_Data'!$A$2:$A$1360,0))</f>
        <v>0.53</v>
      </c>
      <c r="G1305" s="10">
        <f>INDEX('2_Clean_Data'!$H$2:$H$1360,MATCH($A1305,'2_Clean_Data'!$A$2:$A$1360,0))</f>
        <v>22</v>
      </c>
      <c r="H1305" s="9" t="str">
        <f t="shared" si="81"/>
        <v>Low</v>
      </c>
      <c r="I1305" s="9" t="str">
        <f t="shared" si="82"/>
        <v>OK</v>
      </c>
      <c r="J1305" s="9" t="str">
        <f t="shared" si="83"/>
        <v>Solid</v>
      </c>
    </row>
    <row r="1306" spans="1:10" x14ac:dyDescent="0.3">
      <c r="A1306" s="10">
        <f>'2_Clean_Data'!A1303</f>
        <v>1302</v>
      </c>
      <c r="B1306" s="10">
        <f>INDEX('2_Clean_Data'!$M$2:$M$1360,MATCH($A1306,'2_Clean_Data'!$A$2:$A$1360,0))</f>
        <v>5</v>
      </c>
      <c r="C1306" s="9" t="str">
        <f t="shared" si="80"/>
        <v>Average</v>
      </c>
      <c r="D1306" s="11">
        <f>INDEX('2_Clean_Data'!$L$2:$L$1360,MATCH($A1306,'2_Clean_Data'!$A$2:$A$1360,0))</f>
        <v>9</v>
      </c>
      <c r="E1306" s="9" t="str">
        <f>IF(D1306&lt;'3_Summary_Tables'!$C$16,"Low",IF(D1306&lt;'3_Summary_Tables'!$C$17,"Medium","High"))</f>
        <v>Low</v>
      </c>
      <c r="F1306" s="12">
        <f>INDEX('2_Clean_Data'!$C$2:$C$1360,MATCH($A1306,'2_Clean_Data'!$A$2:$A$1360,0))</f>
        <v>0.39</v>
      </c>
      <c r="G1306" s="10">
        <f>INDEX('2_Clean_Data'!$H$2:$H$1360,MATCH($A1306,'2_Clean_Data'!$A$2:$A$1360,0))</f>
        <v>84</v>
      </c>
      <c r="H1306" s="9" t="str">
        <f t="shared" si="81"/>
        <v>Moderate</v>
      </c>
      <c r="I1306" s="9" t="str">
        <f t="shared" si="82"/>
        <v>OK</v>
      </c>
      <c r="J1306" s="9" t="str">
        <f t="shared" si="83"/>
        <v>Standard</v>
      </c>
    </row>
    <row r="1307" spans="1:10" x14ac:dyDescent="0.3">
      <c r="A1307" s="10">
        <f>'2_Clean_Data'!A1304</f>
        <v>1303</v>
      </c>
      <c r="B1307" s="10">
        <f>INDEX('2_Clean_Data'!$M$2:$M$1360,MATCH($A1307,'2_Clean_Data'!$A$2:$A$1360,0))</f>
        <v>7</v>
      </c>
      <c r="C1307" s="9" t="str">
        <f t="shared" si="80"/>
        <v>Good</v>
      </c>
      <c r="D1307" s="11">
        <f>INDEX('2_Clean_Data'!$L$2:$L$1360,MATCH($A1307,'2_Clean_Data'!$A$2:$A$1360,0))</f>
        <v>11.7</v>
      </c>
      <c r="E1307" s="9" t="str">
        <f>IF(D1307&lt;'3_Summary_Tables'!$C$16,"Low",IF(D1307&lt;'3_Summary_Tables'!$C$17,"Medium","High"))</f>
        <v>High</v>
      </c>
      <c r="F1307" s="12">
        <f>INDEX('2_Clean_Data'!$C$2:$C$1360,MATCH($A1307,'2_Clean_Data'!$A$2:$A$1360,0))</f>
        <v>0.56000000000000005</v>
      </c>
      <c r="G1307" s="10">
        <f>INDEX('2_Clean_Data'!$H$2:$H$1360,MATCH($A1307,'2_Clean_Data'!$A$2:$A$1360,0))</f>
        <v>29</v>
      </c>
      <c r="H1307" s="9" t="str">
        <f t="shared" si="81"/>
        <v>Low</v>
      </c>
      <c r="I1307" s="9" t="str">
        <f t="shared" si="82"/>
        <v>OK</v>
      </c>
      <c r="J1307" s="9" t="str">
        <f t="shared" si="83"/>
        <v>Premium</v>
      </c>
    </row>
    <row r="1308" spans="1:10" x14ac:dyDescent="0.3">
      <c r="A1308" s="10">
        <f>'2_Clean_Data'!A1305</f>
        <v>1304</v>
      </c>
      <c r="B1308" s="10">
        <f>INDEX('2_Clean_Data'!$M$2:$M$1360,MATCH($A1308,'2_Clean_Data'!$A$2:$A$1360,0))</f>
        <v>6</v>
      </c>
      <c r="C1308" s="9" t="str">
        <f t="shared" si="80"/>
        <v>Above Average</v>
      </c>
      <c r="D1308" s="11">
        <f>INDEX('2_Clean_Data'!$L$2:$L$1360,MATCH($A1308,'2_Clean_Data'!$A$2:$A$1360,0))</f>
        <v>9.6999999999999993</v>
      </c>
      <c r="E1308" s="9" t="str">
        <f>IF(D1308&lt;'3_Summary_Tables'!$C$16,"Low",IF(D1308&lt;'3_Summary_Tables'!$C$17,"Medium","High"))</f>
        <v>Low</v>
      </c>
      <c r="F1308" s="12">
        <f>INDEX('2_Clean_Data'!$C$2:$C$1360,MATCH($A1308,'2_Clean_Data'!$A$2:$A$1360,0))</f>
        <v>0.55000000000000004</v>
      </c>
      <c r="G1308" s="10">
        <f>INDEX('2_Clean_Data'!$H$2:$H$1360,MATCH($A1308,'2_Clean_Data'!$A$2:$A$1360,0))</f>
        <v>35</v>
      </c>
      <c r="H1308" s="9" t="str">
        <f t="shared" si="81"/>
        <v>Low</v>
      </c>
      <c r="I1308" s="9" t="str">
        <f t="shared" si="82"/>
        <v>OK</v>
      </c>
      <c r="J1308" s="9" t="str">
        <f t="shared" si="83"/>
        <v>Solid</v>
      </c>
    </row>
    <row r="1309" spans="1:10" x14ac:dyDescent="0.3">
      <c r="A1309" s="10">
        <f>'2_Clean_Data'!A1306</f>
        <v>1305</v>
      </c>
      <c r="B1309" s="10">
        <f>INDEX('2_Clean_Data'!$M$2:$M$1360,MATCH($A1309,'2_Clean_Data'!$A$2:$A$1360,0))</f>
        <v>6</v>
      </c>
      <c r="C1309" s="9" t="str">
        <f t="shared" si="80"/>
        <v>Above Average</v>
      </c>
      <c r="D1309" s="11">
        <f>INDEX('2_Clean_Data'!$L$2:$L$1360,MATCH($A1309,'2_Clean_Data'!$A$2:$A$1360,0))</f>
        <v>10.3</v>
      </c>
      <c r="E1309" s="9" t="str">
        <f>IF(D1309&lt;'3_Summary_Tables'!$C$16,"Low",IF(D1309&lt;'3_Summary_Tables'!$C$17,"Medium","High"))</f>
        <v>Medium</v>
      </c>
      <c r="F1309" s="12">
        <f>INDEX('2_Clean_Data'!$C$2:$C$1360,MATCH($A1309,'2_Clean_Data'!$A$2:$A$1360,0))</f>
        <v>0.53</v>
      </c>
      <c r="G1309" s="10">
        <f>INDEX('2_Clean_Data'!$H$2:$H$1360,MATCH($A1309,'2_Clean_Data'!$A$2:$A$1360,0))</f>
        <v>45</v>
      </c>
      <c r="H1309" s="9" t="str">
        <f t="shared" si="81"/>
        <v>Low</v>
      </c>
      <c r="I1309" s="9" t="str">
        <f t="shared" si="82"/>
        <v>OK</v>
      </c>
      <c r="J1309" s="9" t="str">
        <f t="shared" si="83"/>
        <v>Solid</v>
      </c>
    </row>
    <row r="1310" spans="1:10" x14ac:dyDescent="0.3">
      <c r="A1310" s="10">
        <f>'2_Clean_Data'!A1307</f>
        <v>1306</v>
      </c>
      <c r="B1310" s="10">
        <f>INDEX('2_Clean_Data'!$M$2:$M$1360,MATCH($A1310,'2_Clean_Data'!$A$2:$A$1360,0))</f>
        <v>6</v>
      </c>
      <c r="C1310" s="9" t="str">
        <f t="shared" si="80"/>
        <v>Above Average</v>
      </c>
      <c r="D1310" s="11">
        <f>INDEX('2_Clean_Data'!$L$2:$L$1360,MATCH($A1310,'2_Clean_Data'!$A$2:$A$1360,0))</f>
        <v>10.199999999999999</v>
      </c>
      <c r="E1310" s="9" t="str">
        <f>IF(D1310&lt;'3_Summary_Tables'!$C$16,"Low",IF(D1310&lt;'3_Summary_Tables'!$C$17,"Medium","High"))</f>
        <v>Medium</v>
      </c>
      <c r="F1310" s="12">
        <f>INDEX('2_Clean_Data'!$C$2:$C$1360,MATCH($A1310,'2_Clean_Data'!$A$2:$A$1360,0))</f>
        <v>0.57999999999999996</v>
      </c>
      <c r="G1310" s="10">
        <f>INDEX('2_Clean_Data'!$H$2:$H$1360,MATCH($A1310,'2_Clean_Data'!$A$2:$A$1360,0))</f>
        <v>31</v>
      </c>
      <c r="H1310" s="9" t="str">
        <f t="shared" si="81"/>
        <v>Low</v>
      </c>
      <c r="I1310" s="9" t="str">
        <f t="shared" si="82"/>
        <v>OK</v>
      </c>
      <c r="J1310" s="9" t="str">
        <f t="shared" si="83"/>
        <v>Solid</v>
      </c>
    </row>
    <row r="1311" spans="1:10" x14ac:dyDescent="0.3">
      <c r="A1311" s="10">
        <f>'2_Clean_Data'!A1308</f>
        <v>1307</v>
      </c>
      <c r="B1311" s="10">
        <f>INDEX('2_Clean_Data'!$M$2:$M$1360,MATCH($A1311,'2_Clean_Data'!$A$2:$A$1360,0))</f>
        <v>5</v>
      </c>
      <c r="C1311" s="9" t="str">
        <f t="shared" si="80"/>
        <v>Average</v>
      </c>
      <c r="D1311" s="11">
        <f>INDEX('2_Clean_Data'!$L$2:$L$1360,MATCH($A1311,'2_Clean_Data'!$A$2:$A$1360,0))</f>
        <v>12</v>
      </c>
      <c r="E1311" s="9" t="str">
        <f>IF(D1311&lt;'3_Summary_Tables'!$C$16,"Low",IF(D1311&lt;'3_Summary_Tables'!$C$17,"Medium","High"))</f>
        <v>High</v>
      </c>
      <c r="F1311" s="12">
        <f>INDEX('2_Clean_Data'!$C$2:$C$1360,MATCH($A1311,'2_Clean_Data'!$A$2:$A$1360,0))</f>
        <v>0.64</v>
      </c>
      <c r="G1311" s="10">
        <f>INDEX('2_Clean_Data'!$H$2:$H$1360,MATCH($A1311,'2_Clean_Data'!$A$2:$A$1360,0))</f>
        <v>26</v>
      </c>
      <c r="H1311" s="9" t="str">
        <f t="shared" si="81"/>
        <v>Low</v>
      </c>
      <c r="I1311" s="9" t="str">
        <f t="shared" si="82"/>
        <v>OK</v>
      </c>
      <c r="J1311" s="9" t="str">
        <f t="shared" si="83"/>
        <v>Standard</v>
      </c>
    </row>
    <row r="1312" spans="1:10" x14ac:dyDescent="0.3">
      <c r="A1312" s="10">
        <f>'2_Clean_Data'!A1309</f>
        <v>1308</v>
      </c>
      <c r="B1312" s="10">
        <f>INDEX('2_Clean_Data'!$M$2:$M$1360,MATCH($A1312,'2_Clean_Data'!$A$2:$A$1360,0))</f>
        <v>5</v>
      </c>
      <c r="C1312" s="9" t="str">
        <f t="shared" si="80"/>
        <v>Average</v>
      </c>
      <c r="D1312" s="11">
        <f>INDEX('2_Clean_Data'!$L$2:$L$1360,MATCH($A1312,'2_Clean_Data'!$A$2:$A$1360,0))</f>
        <v>9.9</v>
      </c>
      <c r="E1312" s="9" t="str">
        <f>IF(D1312&lt;'3_Summary_Tables'!$C$16,"Low",IF(D1312&lt;'3_Summary_Tables'!$C$17,"Medium","High"))</f>
        <v>Low</v>
      </c>
      <c r="F1312" s="12">
        <f>INDEX('2_Clean_Data'!$C$2:$C$1360,MATCH($A1312,'2_Clean_Data'!$A$2:$A$1360,0))</f>
        <v>0.39</v>
      </c>
      <c r="G1312" s="10">
        <f>INDEX('2_Clean_Data'!$H$2:$H$1360,MATCH($A1312,'2_Clean_Data'!$A$2:$A$1360,0))</f>
        <v>60</v>
      </c>
      <c r="H1312" s="9" t="str">
        <f t="shared" si="81"/>
        <v>Moderate</v>
      </c>
      <c r="I1312" s="9" t="str">
        <f t="shared" si="82"/>
        <v>OK</v>
      </c>
      <c r="J1312" s="9" t="str">
        <f t="shared" si="83"/>
        <v>Standard</v>
      </c>
    </row>
    <row r="1313" spans="1:10" x14ac:dyDescent="0.3">
      <c r="A1313" s="10">
        <f>'2_Clean_Data'!A1310</f>
        <v>1309</v>
      </c>
      <c r="B1313" s="10">
        <f>INDEX('2_Clean_Data'!$M$2:$M$1360,MATCH($A1313,'2_Clean_Data'!$A$2:$A$1360,0))</f>
        <v>6</v>
      </c>
      <c r="C1313" s="9" t="str">
        <f t="shared" si="80"/>
        <v>Above Average</v>
      </c>
      <c r="D1313" s="11">
        <f>INDEX('2_Clean_Data'!$L$2:$L$1360,MATCH($A1313,'2_Clean_Data'!$A$2:$A$1360,0))</f>
        <v>11.6</v>
      </c>
      <c r="E1313" s="9" t="str">
        <f>IF(D1313&lt;'3_Summary_Tables'!$C$16,"Low",IF(D1313&lt;'3_Summary_Tables'!$C$17,"Medium","High"))</f>
        <v>High</v>
      </c>
      <c r="F1313" s="12">
        <f>INDEX('2_Clean_Data'!$C$2:$C$1360,MATCH($A1313,'2_Clean_Data'!$A$2:$A$1360,0))</f>
        <v>0.52</v>
      </c>
      <c r="G1313" s="10">
        <f>INDEX('2_Clean_Data'!$H$2:$H$1360,MATCH($A1313,'2_Clean_Data'!$A$2:$A$1360,0))</f>
        <v>32</v>
      </c>
      <c r="H1313" s="9" t="str">
        <f t="shared" si="81"/>
        <v>Low</v>
      </c>
      <c r="I1313" s="9" t="str">
        <f t="shared" si="82"/>
        <v>OK</v>
      </c>
      <c r="J1313" s="9" t="str">
        <f t="shared" si="83"/>
        <v>Solid</v>
      </c>
    </row>
    <row r="1314" spans="1:10" x14ac:dyDescent="0.3">
      <c r="A1314" s="10">
        <f>'2_Clean_Data'!A1311</f>
        <v>1310</v>
      </c>
      <c r="B1314" s="10">
        <f>INDEX('2_Clean_Data'!$M$2:$M$1360,MATCH($A1314,'2_Clean_Data'!$A$2:$A$1360,0))</f>
        <v>7</v>
      </c>
      <c r="C1314" s="9" t="str">
        <f t="shared" si="80"/>
        <v>Good</v>
      </c>
      <c r="D1314" s="11">
        <f>INDEX('2_Clean_Data'!$L$2:$L$1360,MATCH($A1314,'2_Clean_Data'!$A$2:$A$1360,0))</f>
        <v>10.9</v>
      </c>
      <c r="E1314" s="9" t="str">
        <f>IF(D1314&lt;'3_Summary_Tables'!$C$16,"Low",IF(D1314&lt;'3_Summary_Tables'!$C$17,"Medium","High"))</f>
        <v>Medium</v>
      </c>
      <c r="F1314" s="12">
        <f>INDEX('2_Clean_Data'!$C$2:$C$1360,MATCH($A1314,'2_Clean_Data'!$A$2:$A$1360,0))</f>
        <v>0.25</v>
      </c>
      <c r="G1314" s="10">
        <f>INDEX('2_Clean_Data'!$H$2:$H$1360,MATCH($A1314,'2_Clean_Data'!$A$2:$A$1360,0))</f>
        <v>49</v>
      </c>
      <c r="H1314" s="9" t="str">
        <f t="shared" si="81"/>
        <v>Low</v>
      </c>
      <c r="I1314" s="9" t="str">
        <f t="shared" si="82"/>
        <v>OK</v>
      </c>
      <c r="J1314" s="9" t="str">
        <f t="shared" si="83"/>
        <v>Solid</v>
      </c>
    </row>
    <row r="1315" spans="1:10" x14ac:dyDescent="0.3">
      <c r="A1315" s="10">
        <f>'2_Clean_Data'!A1312</f>
        <v>1311</v>
      </c>
      <c r="B1315" s="10">
        <f>INDEX('2_Clean_Data'!$M$2:$M$1360,MATCH($A1315,'2_Clean_Data'!$A$2:$A$1360,0))</f>
        <v>6</v>
      </c>
      <c r="C1315" s="9" t="str">
        <f t="shared" si="80"/>
        <v>Above Average</v>
      </c>
      <c r="D1315" s="11">
        <f>INDEX('2_Clean_Data'!$L$2:$L$1360,MATCH($A1315,'2_Clean_Data'!$A$2:$A$1360,0))</f>
        <v>10.75</v>
      </c>
      <c r="E1315" s="9" t="str">
        <f>IF(D1315&lt;'3_Summary_Tables'!$C$16,"Low",IF(D1315&lt;'3_Summary_Tables'!$C$17,"Medium","High"))</f>
        <v>Medium</v>
      </c>
      <c r="F1315" s="12">
        <f>INDEX('2_Clean_Data'!$C$2:$C$1360,MATCH($A1315,'2_Clean_Data'!$A$2:$A$1360,0))</f>
        <v>0.85499999999999998</v>
      </c>
      <c r="G1315" s="10">
        <f>INDEX('2_Clean_Data'!$H$2:$H$1360,MATCH($A1315,'2_Clean_Data'!$A$2:$A$1360,0))</f>
        <v>38</v>
      </c>
      <c r="H1315" s="9" t="str">
        <f t="shared" si="81"/>
        <v>Low</v>
      </c>
      <c r="I1315" s="9" t="str">
        <f t="shared" si="82"/>
        <v>Above limit</v>
      </c>
      <c r="J1315" s="9" t="str">
        <f t="shared" si="83"/>
        <v>Standard</v>
      </c>
    </row>
    <row r="1316" spans="1:10" x14ac:dyDescent="0.3">
      <c r="A1316" s="10">
        <f>'2_Clean_Data'!A1313</f>
        <v>1312</v>
      </c>
      <c r="B1316" s="10">
        <f>INDEX('2_Clean_Data'!$M$2:$M$1360,MATCH($A1316,'2_Clean_Data'!$A$2:$A$1360,0))</f>
        <v>6</v>
      </c>
      <c r="C1316" s="9" t="str">
        <f t="shared" si="80"/>
        <v>Above Average</v>
      </c>
      <c r="D1316" s="11">
        <f>INDEX('2_Clean_Data'!$L$2:$L$1360,MATCH($A1316,'2_Clean_Data'!$A$2:$A$1360,0))</f>
        <v>10.4</v>
      </c>
      <c r="E1316" s="9" t="str">
        <f>IF(D1316&lt;'3_Summary_Tables'!$C$16,"Low",IF(D1316&lt;'3_Summary_Tables'!$C$17,"Medium","High"))</f>
        <v>Medium</v>
      </c>
      <c r="F1316" s="12">
        <f>INDEX('2_Clean_Data'!$C$2:$C$1360,MATCH($A1316,'2_Clean_Data'!$A$2:$A$1360,0))</f>
        <v>0.44</v>
      </c>
      <c r="G1316" s="10">
        <f>INDEX('2_Clean_Data'!$H$2:$H$1360,MATCH($A1316,'2_Clean_Data'!$A$2:$A$1360,0))</f>
        <v>19</v>
      </c>
      <c r="H1316" s="9" t="str">
        <f t="shared" si="81"/>
        <v>Low</v>
      </c>
      <c r="I1316" s="9" t="str">
        <f t="shared" si="82"/>
        <v>OK</v>
      </c>
      <c r="J1316" s="9" t="str">
        <f t="shared" si="83"/>
        <v>Solid</v>
      </c>
    </row>
    <row r="1317" spans="1:10" x14ac:dyDescent="0.3">
      <c r="A1317" s="10">
        <f>'2_Clean_Data'!A1314</f>
        <v>1313</v>
      </c>
      <c r="B1317" s="10">
        <f>INDEX('2_Clean_Data'!$M$2:$M$1360,MATCH($A1317,'2_Clean_Data'!$A$2:$A$1360,0))</f>
        <v>7</v>
      </c>
      <c r="C1317" s="9" t="str">
        <f t="shared" si="80"/>
        <v>Good</v>
      </c>
      <c r="D1317" s="11">
        <f>INDEX('2_Clean_Data'!$L$2:$L$1360,MATCH($A1317,'2_Clean_Data'!$A$2:$A$1360,0))</f>
        <v>11.2</v>
      </c>
      <c r="E1317" s="9" t="str">
        <f>IF(D1317&lt;'3_Summary_Tables'!$C$16,"Low",IF(D1317&lt;'3_Summary_Tables'!$C$17,"Medium","High"))</f>
        <v>Medium</v>
      </c>
      <c r="F1317" s="12">
        <f>INDEX('2_Clean_Data'!$C$2:$C$1360,MATCH($A1317,'2_Clean_Data'!$A$2:$A$1360,0))</f>
        <v>0.37</v>
      </c>
      <c r="G1317" s="10">
        <f>INDEX('2_Clean_Data'!$H$2:$H$1360,MATCH($A1317,'2_Clean_Data'!$A$2:$A$1360,0))</f>
        <v>19</v>
      </c>
      <c r="H1317" s="9" t="str">
        <f t="shared" si="81"/>
        <v>Low</v>
      </c>
      <c r="I1317" s="9" t="str">
        <f t="shared" si="82"/>
        <v>OK</v>
      </c>
      <c r="J1317" s="9" t="str">
        <f t="shared" si="83"/>
        <v>Solid</v>
      </c>
    </row>
    <row r="1318" spans="1:10" x14ac:dyDescent="0.3">
      <c r="A1318" s="10">
        <f>'2_Clean_Data'!A1315</f>
        <v>1314</v>
      </c>
      <c r="B1318" s="10">
        <f>INDEX('2_Clean_Data'!$M$2:$M$1360,MATCH($A1318,'2_Clean_Data'!$A$2:$A$1360,0))</f>
        <v>6</v>
      </c>
      <c r="C1318" s="9" t="str">
        <f t="shared" si="80"/>
        <v>Above Average</v>
      </c>
      <c r="D1318" s="11">
        <f>INDEX('2_Clean_Data'!$L$2:$L$1360,MATCH($A1318,'2_Clean_Data'!$A$2:$A$1360,0))</f>
        <v>10.1</v>
      </c>
      <c r="E1318" s="9" t="str">
        <f>IF(D1318&lt;'3_Summary_Tables'!$C$16,"Low",IF(D1318&lt;'3_Summary_Tables'!$C$17,"Medium","High"))</f>
        <v>Medium</v>
      </c>
      <c r="F1318" s="12">
        <f>INDEX('2_Clean_Data'!$C$2:$C$1360,MATCH($A1318,'2_Clean_Data'!$A$2:$A$1360,0))</f>
        <v>0.63</v>
      </c>
      <c r="G1318" s="10">
        <f>INDEX('2_Clean_Data'!$H$2:$H$1360,MATCH($A1318,'2_Clean_Data'!$A$2:$A$1360,0))</f>
        <v>28</v>
      </c>
      <c r="H1318" s="9" t="str">
        <f t="shared" si="81"/>
        <v>Low</v>
      </c>
      <c r="I1318" s="9" t="str">
        <f t="shared" si="82"/>
        <v>OK</v>
      </c>
      <c r="J1318" s="9" t="str">
        <f t="shared" si="83"/>
        <v>Solid</v>
      </c>
    </row>
    <row r="1319" spans="1:10" x14ac:dyDescent="0.3">
      <c r="A1319" s="10">
        <f>'2_Clean_Data'!A1316</f>
        <v>1315</v>
      </c>
      <c r="B1319" s="10">
        <f>INDEX('2_Clean_Data'!$M$2:$M$1360,MATCH($A1319,'2_Clean_Data'!$A$2:$A$1360,0))</f>
        <v>5</v>
      </c>
      <c r="C1319" s="9" t="str">
        <f t="shared" si="80"/>
        <v>Average</v>
      </c>
      <c r="D1319" s="11">
        <f>INDEX('2_Clean_Data'!$L$2:$L$1360,MATCH($A1319,'2_Clean_Data'!$A$2:$A$1360,0))</f>
        <v>10.199999999999999</v>
      </c>
      <c r="E1319" s="9" t="str">
        <f>IF(D1319&lt;'3_Summary_Tables'!$C$16,"Low",IF(D1319&lt;'3_Summary_Tables'!$C$17,"Medium","High"))</f>
        <v>Medium</v>
      </c>
      <c r="F1319" s="12">
        <f>INDEX('2_Clean_Data'!$C$2:$C$1360,MATCH($A1319,'2_Clean_Data'!$A$2:$A$1360,0))</f>
        <v>0.56999999999999995</v>
      </c>
      <c r="G1319" s="10">
        <f>INDEX('2_Clean_Data'!$H$2:$H$1360,MATCH($A1319,'2_Clean_Data'!$A$2:$A$1360,0))</f>
        <v>26</v>
      </c>
      <c r="H1319" s="9" t="str">
        <f t="shared" si="81"/>
        <v>Low</v>
      </c>
      <c r="I1319" s="9" t="str">
        <f t="shared" si="82"/>
        <v>OK</v>
      </c>
      <c r="J1319" s="9" t="str">
        <f t="shared" si="83"/>
        <v>Standard</v>
      </c>
    </row>
    <row r="1320" spans="1:10" x14ac:dyDescent="0.3">
      <c r="A1320" s="10">
        <f>'2_Clean_Data'!A1317</f>
        <v>1316</v>
      </c>
      <c r="B1320" s="10">
        <f>INDEX('2_Clean_Data'!$M$2:$M$1360,MATCH($A1320,'2_Clean_Data'!$A$2:$A$1360,0))</f>
        <v>5</v>
      </c>
      <c r="C1320" s="9" t="str">
        <f t="shared" si="80"/>
        <v>Average</v>
      </c>
      <c r="D1320" s="11">
        <f>INDEX('2_Clean_Data'!$L$2:$L$1360,MATCH($A1320,'2_Clean_Data'!$A$2:$A$1360,0))</f>
        <v>12.1</v>
      </c>
      <c r="E1320" s="9" t="str">
        <f>IF(D1320&lt;'3_Summary_Tables'!$C$16,"Low",IF(D1320&lt;'3_Summary_Tables'!$C$17,"Medium","High"))</f>
        <v>High</v>
      </c>
      <c r="F1320" s="12">
        <f>INDEX('2_Clean_Data'!$C$2:$C$1360,MATCH($A1320,'2_Clean_Data'!$A$2:$A$1360,0))</f>
        <v>0.6</v>
      </c>
      <c r="G1320" s="10">
        <f>INDEX('2_Clean_Data'!$H$2:$H$1360,MATCH($A1320,'2_Clean_Data'!$A$2:$A$1360,0))</f>
        <v>26</v>
      </c>
      <c r="H1320" s="9" t="str">
        <f t="shared" si="81"/>
        <v>Low</v>
      </c>
      <c r="I1320" s="9" t="str">
        <f t="shared" si="82"/>
        <v>OK</v>
      </c>
      <c r="J1320" s="9" t="str">
        <f t="shared" si="83"/>
        <v>Standard</v>
      </c>
    </row>
    <row r="1321" spans="1:10" x14ac:dyDescent="0.3">
      <c r="A1321" s="10">
        <f>'2_Clean_Data'!A1318</f>
        <v>1317</v>
      </c>
      <c r="B1321" s="10">
        <f>INDEX('2_Clean_Data'!$M$2:$M$1360,MATCH($A1321,'2_Clean_Data'!$A$2:$A$1360,0))</f>
        <v>5</v>
      </c>
      <c r="C1321" s="9" t="str">
        <f t="shared" si="80"/>
        <v>Average</v>
      </c>
      <c r="D1321" s="11">
        <f>INDEX('2_Clean_Data'!$L$2:$L$1360,MATCH($A1321,'2_Clean_Data'!$A$2:$A$1360,0))</f>
        <v>10.4</v>
      </c>
      <c r="E1321" s="9" t="str">
        <f>IF(D1321&lt;'3_Summary_Tables'!$C$16,"Low",IF(D1321&lt;'3_Summary_Tables'!$C$17,"Medium","High"))</f>
        <v>Medium</v>
      </c>
      <c r="F1321" s="12">
        <f>INDEX('2_Clean_Data'!$C$2:$C$1360,MATCH($A1321,'2_Clean_Data'!$A$2:$A$1360,0))</f>
        <v>0.4</v>
      </c>
      <c r="G1321" s="10">
        <f>INDEX('2_Clean_Data'!$H$2:$H$1360,MATCH($A1321,'2_Clean_Data'!$A$2:$A$1360,0))</f>
        <v>50</v>
      </c>
      <c r="H1321" s="9" t="str">
        <f t="shared" si="81"/>
        <v>Low</v>
      </c>
      <c r="I1321" s="9" t="str">
        <f t="shared" si="82"/>
        <v>OK</v>
      </c>
      <c r="J1321" s="9" t="str">
        <f t="shared" si="83"/>
        <v>Standard</v>
      </c>
    </row>
    <row r="1322" spans="1:10" x14ac:dyDescent="0.3">
      <c r="A1322" s="10">
        <f>'2_Clean_Data'!A1319</f>
        <v>1318</v>
      </c>
      <c r="B1322" s="10">
        <f>INDEX('2_Clean_Data'!$M$2:$M$1360,MATCH($A1322,'2_Clean_Data'!$A$2:$A$1360,0))</f>
        <v>8</v>
      </c>
      <c r="C1322" s="9" t="str">
        <f t="shared" si="80"/>
        <v>Excellent</v>
      </c>
      <c r="D1322" s="11">
        <f>INDEX('2_Clean_Data'!$L$2:$L$1360,MATCH($A1322,'2_Clean_Data'!$A$2:$A$1360,0))</f>
        <v>11.4</v>
      </c>
      <c r="E1322" s="9" t="str">
        <f>IF(D1322&lt;'3_Summary_Tables'!$C$16,"Low",IF(D1322&lt;'3_Summary_Tables'!$C$17,"Medium","High"))</f>
        <v>Medium</v>
      </c>
      <c r="F1322" s="12">
        <f>INDEX('2_Clean_Data'!$C$2:$C$1360,MATCH($A1322,'2_Clean_Data'!$A$2:$A$1360,0))</f>
        <v>0.36</v>
      </c>
      <c r="G1322" s="10">
        <f>INDEX('2_Clean_Data'!$H$2:$H$1360,MATCH($A1322,'2_Clean_Data'!$A$2:$A$1360,0))</f>
        <v>24</v>
      </c>
      <c r="H1322" s="9" t="str">
        <f t="shared" si="81"/>
        <v>Low</v>
      </c>
      <c r="I1322" s="9" t="str">
        <f t="shared" si="82"/>
        <v>OK</v>
      </c>
      <c r="J1322" s="9" t="str">
        <f t="shared" si="83"/>
        <v>Solid</v>
      </c>
    </row>
    <row r="1323" spans="1:10" x14ac:dyDescent="0.3">
      <c r="A1323" s="10">
        <f>'2_Clean_Data'!A1320</f>
        <v>1319</v>
      </c>
      <c r="B1323" s="10">
        <f>INDEX('2_Clean_Data'!$M$2:$M$1360,MATCH($A1323,'2_Clean_Data'!$A$2:$A$1360,0))</f>
        <v>5</v>
      </c>
      <c r="C1323" s="9" t="str">
        <f t="shared" si="80"/>
        <v>Average</v>
      </c>
      <c r="D1323" s="11">
        <f>INDEX('2_Clean_Data'!$L$2:$L$1360,MATCH($A1323,'2_Clean_Data'!$A$2:$A$1360,0))</f>
        <v>9.5</v>
      </c>
      <c r="E1323" s="9" t="str">
        <f>IF(D1323&lt;'3_Summary_Tables'!$C$16,"Low",IF(D1323&lt;'3_Summary_Tables'!$C$17,"Medium","High"))</f>
        <v>Low</v>
      </c>
      <c r="F1323" s="12">
        <f>INDEX('2_Clean_Data'!$C$2:$C$1360,MATCH($A1323,'2_Clean_Data'!$A$2:$A$1360,0))</f>
        <v>0.68</v>
      </c>
      <c r="G1323" s="10">
        <f>INDEX('2_Clean_Data'!$H$2:$H$1360,MATCH($A1323,'2_Clean_Data'!$A$2:$A$1360,0))</f>
        <v>26</v>
      </c>
      <c r="H1323" s="9" t="str">
        <f t="shared" si="81"/>
        <v>Low</v>
      </c>
      <c r="I1323" s="9" t="str">
        <f t="shared" si="82"/>
        <v>OK</v>
      </c>
      <c r="J1323" s="9" t="str">
        <f t="shared" si="83"/>
        <v>Standard</v>
      </c>
    </row>
    <row r="1324" spans="1:10" x14ac:dyDescent="0.3">
      <c r="A1324" s="10">
        <f>'2_Clean_Data'!A1321</f>
        <v>1320</v>
      </c>
      <c r="B1324" s="10">
        <f>INDEX('2_Clean_Data'!$M$2:$M$1360,MATCH($A1324,'2_Clean_Data'!$A$2:$A$1360,0))</f>
        <v>5</v>
      </c>
      <c r="C1324" s="9" t="str">
        <f t="shared" si="80"/>
        <v>Average</v>
      </c>
      <c r="D1324" s="11">
        <f>INDEX('2_Clean_Data'!$L$2:$L$1360,MATCH($A1324,'2_Clean_Data'!$A$2:$A$1360,0))</f>
        <v>9.4</v>
      </c>
      <c r="E1324" s="9" t="str">
        <f>IF(D1324&lt;'3_Summary_Tables'!$C$16,"Low",IF(D1324&lt;'3_Summary_Tables'!$C$17,"Medium","High"))</f>
        <v>Low</v>
      </c>
      <c r="F1324" s="12">
        <f>INDEX('2_Clean_Data'!$C$2:$C$1360,MATCH($A1324,'2_Clean_Data'!$A$2:$A$1360,0))</f>
        <v>0.67</v>
      </c>
      <c r="G1324" s="10">
        <f>INDEX('2_Clean_Data'!$H$2:$H$1360,MATCH($A1324,'2_Clean_Data'!$A$2:$A$1360,0))</f>
        <v>27</v>
      </c>
      <c r="H1324" s="9" t="str">
        <f t="shared" si="81"/>
        <v>Low</v>
      </c>
      <c r="I1324" s="9" t="str">
        <f t="shared" si="82"/>
        <v>OK</v>
      </c>
      <c r="J1324" s="9" t="str">
        <f t="shared" si="83"/>
        <v>Standard</v>
      </c>
    </row>
    <row r="1325" spans="1:10" x14ac:dyDescent="0.3">
      <c r="A1325" s="10">
        <f>'2_Clean_Data'!A1322</f>
        <v>1321</v>
      </c>
      <c r="B1325" s="10">
        <f>INDEX('2_Clean_Data'!$M$2:$M$1360,MATCH($A1325,'2_Clean_Data'!$A$2:$A$1360,0))</f>
        <v>6</v>
      </c>
      <c r="C1325" s="9" t="str">
        <f t="shared" si="80"/>
        <v>Above Average</v>
      </c>
      <c r="D1325" s="11">
        <f>INDEX('2_Clean_Data'!$L$2:$L$1360,MATCH($A1325,'2_Clean_Data'!$A$2:$A$1360,0))</f>
        <v>11.3</v>
      </c>
      <c r="E1325" s="9" t="str">
        <f>IF(D1325&lt;'3_Summary_Tables'!$C$16,"Low",IF(D1325&lt;'3_Summary_Tables'!$C$17,"Medium","High"))</f>
        <v>Medium</v>
      </c>
      <c r="F1325" s="12">
        <f>INDEX('2_Clean_Data'!$C$2:$C$1360,MATCH($A1325,'2_Clean_Data'!$A$2:$A$1360,0))</f>
        <v>0.68</v>
      </c>
      <c r="G1325" s="10">
        <f>INDEX('2_Clean_Data'!$H$2:$H$1360,MATCH($A1325,'2_Clean_Data'!$A$2:$A$1360,0))</f>
        <v>54</v>
      </c>
      <c r="H1325" s="9" t="str">
        <f t="shared" si="81"/>
        <v>Moderate</v>
      </c>
      <c r="I1325" s="9" t="str">
        <f t="shared" si="82"/>
        <v>OK</v>
      </c>
      <c r="J1325" s="9" t="str">
        <f t="shared" si="83"/>
        <v>Solid</v>
      </c>
    </row>
    <row r="1326" spans="1:10" x14ac:dyDescent="0.3">
      <c r="A1326" s="10">
        <f>'2_Clean_Data'!A1323</f>
        <v>1322</v>
      </c>
      <c r="B1326" s="10">
        <f>INDEX('2_Clean_Data'!$M$2:$M$1360,MATCH($A1326,'2_Clean_Data'!$A$2:$A$1360,0))</f>
        <v>5</v>
      </c>
      <c r="C1326" s="9" t="str">
        <f t="shared" si="80"/>
        <v>Average</v>
      </c>
      <c r="D1326" s="11">
        <f>INDEX('2_Clean_Data'!$L$2:$L$1360,MATCH($A1326,'2_Clean_Data'!$A$2:$A$1360,0))</f>
        <v>9.4</v>
      </c>
      <c r="E1326" s="9" t="str">
        <f>IF(D1326&lt;'3_Summary_Tables'!$C$16,"Low",IF(D1326&lt;'3_Summary_Tables'!$C$17,"Medium","High"))</f>
        <v>Low</v>
      </c>
      <c r="F1326" s="12">
        <f>INDEX('2_Clean_Data'!$C$2:$C$1360,MATCH($A1326,'2_Clean_Data'!$A$2:$A$1360,0))</f>
        <v>0.73499999999999999</v>
      </c>
      <c r="G1326" s="10">
        <f>INDEX('2_Clean_Data'!$H$2:$H$1360,MATCH($A1326,'2_Clean_Data'!$A$2:$A$1360,0))</f>
        <v>28</v>
      </c>
      <c r="H1326" s="9" t="str">
        <f t="shared" si="81"/>
        <v>Low</v>
      </c>
      <c r="I1326" s="9" t="str">
        <f t="shared" si="82"/>
        <v>Above limit</v>
      </c>
      <c r="J1326" s="9" t="str">
        <f t="shared" si="83"/>
        <v>Standard</v>
      </c>
    </row>
    <row r="1327" spans="1:10" x14ac:dyDescent="0.3">
      <c r="A1327" s="10">
        <f>'2_Clean_Data'!A1324</f>
        <v>1323</v>
      </c>
      <c r="B1327" s="10">
        <f>INDEX('2_Clean_Data'!$M$2:$M$1360,MATCH($A1327,'2_Clean_Data'!$A$2:$A$1360,0))</f>
        <v>6</v>
      </c>
      <c r="C1327" s="9" t="str">
        <f t="shared" si="80"/>
        <v>Above Average</v>
      </c>
      <c r="D1327" s="11">
        <f>INDEX('2_Clean_Data'!$L$2:$L$1360,MATCH($A1327,'2_Clean_Data'!$A$2:$A$1360,0))</f>
        <v>11</v>
      </c>
      <c r="E1327" s="9" t="str">
        <f>IF(D1327&lt;'3_Summary_Tables'!$C$16,"Low",IF(D1327&lt;'3_Summary_Tables'!$C$17,"Medium","High"))</f>
        <v>Medium</v>
      </c>
      <c r="F1327" s="12">
        <f>INDEX('2_Clean_Data'!$C$2:$C$1360,MATCH($A1327,'2_Clean_Data'!$A$2:$A$1360,0))</f>
        <v>0.85499999999999998</v>
      </c>
      <c r="G1327" s="10">
        <f>INDEX('2_Clean_Data'!$H$2:$H$1360,MATCH($A1327,'2_Clean_Data'!$A$2:$A$1360,0))</f>
        <v>23</v>
      </c>
      <c r="H1327" s="9" t="str">
        <f t="shared" si="81"/>
        <v>Low</v>
      </c>
      <c r="I1327" s="9" t="str">
        <f t="shared" si="82"/>
        <v>Above limit</v>
      </c>
      <c r="J1327" s="9" t="str">
        <f t="shared" si="83"/>
        <v>Standard</v>
      </c>
    </row>
    <row r="1328" spans="1:10" x14ac:dyDescent="0.3">
      <c r="A1328" s="10">
        <f>'2_Clean_Data'!A1325</f>
        <v>1324</v>
      </c>
      <c r="B1328" s="10">
        <f>INDEX('2_Clean_Data'!$M$2:$M$1360,MATCH($A1328,'2_Clean_Data'!$A$2:$A$1360,0))</f>
        <v>7</v>
      </c>
      <c r="C1328" s="9" t="str">
        <f t="shared" si="80"/>
        <v>Good</v>
      </c>
      <c r="D1328" s="11">
        <f>INDEX('2_Clean_Data'!$L$2:$L$1360,MATCH($A1328,'2_Clean_Data'!$A$2:$A$1360,0))</f>
        <v>10.55</v>
      </c>
      <c r="E1328" s="9" t="str">
        <f>IF(D1328&lt;'3_Summary_Tables'!$C$16,"Low",IF(D1328&lt;'3_Summary_Tables'!$C$17,"Medium","High"))</f>
        <v>Medium</v>
      </c>
      <c r="F1328" s="12">
        <f>INDEX('2_Clean_Data'!$C$2:$C$1360,MATCH($A1328,'2_Clean_Data'!$A$2:$A$1360,0))</f>
        <v>0.56000000000000005</v>
      </c>
      <c r="G1328" s="10">
        <f>INDEX('2_Clean_Data'!$H$2:$H$1360,MATCH($A1328,'2_Clean_Data'!$A$2:$A$1360,0))</f>
        <v>24</v>
      </c>
      <c r="H1328" s="9" t="str">
        <f t="shared" si="81"/>
        <v>Low</v>
      </c>
      <c r="I1328" s="9" t="str">
        <f t="shared" si="82"/>
        <v>OK</v>
      </c>
      <c r="J1328" s="9" t="str">
        <f t="shared" si="83"/>
        <v>Solid</v>
      </c>
    </row>
    <row r="1329" spans="1:10" x14ac:dyDescent="0.3">
      <c r="A1329" s="10">
        <f>'2_Clean_Data'!A1326</f>
        <v>1325</v>
      </c>
      <c r="B1329" s="10">
        <f>INDEX('2_Clean_Data'!$M$2:$M$1360,MATCH($A1329,'2_Clean_Data'!$A$2:$A$1360,0))</f>
        <v>5</v>
      </c>
      <c r="C1329" s="9" t="str">
        <f t="shared" si="80"/>
        <v>Average</v>
      </c>
      <c r="D1329" s="11">
        <f>INDEX('2_Clean_Data'!$L$2:$L$1360,MATCH($A1329,'2_Clean_Data'!$A$2:$A$1360,0))</f>
        <v>9.9</v>
      </c>
      <c r="E1329" s="9" t="str">
        <f>IF(D1329&lt;'3_Summary_Tables'!$C$16,"Low",IF(D1329&lt;'3_Summary_Tables'!$C$17,"Medium","High"))</f>
        <v>Low</v>
      </c>
      <c r="F1329" s="12">
        <f>INDEX('2_Clean_Data'!$C$2:$C$1360,MATCH($A1329,'2_Clean_Data'!$A$2:$A$1360,0))</f>
        <v>0.88</v>
      </c>
      <c r="G1329" s="10">
        <f>INDEX('2_Clean_Data'!$H$2:$H$1360,MATCH($A1329,'2_Clean_Data'!$A$2:$A$1360,0))</f>
        <v>20</v>
      </c>
      <c r="H1329" s="9" t="str">
        <f t="shared" si="81"/>
        <v>Low</v>
      </c>
      <c r="I1329" s="9" t="str">
        <f t="shared" si="82"/>
        <v>Above limit</v>
      </c>
      <c r="J1329" s="9" t="str">
        <f t="shared" si="83"/>
        <v>Standard</v>
      </c>
    </row>
    <row r="1330" spans="1:10" x14ac:dyDescent="0.3">
      <c r="A1330" s="10">
        <f>'2_Clean_Data'!A1327</f>
        <v>1326</v>
      </c>
      <c r="B1330" s="10">
        <f>INDEX('2_Clean_Data'!$M$2:$M$1360,MATCH($A1330,'2_Clean_Data'!$A$2:$A$1360,0))</f>
        <v>5</v>
      </c>
      <c r="C1330" s="9" t="str">
        <f t="shared" si="80"/>
        <v>Average</v>
      </c>
      <c r="D1330" s="11">
        <f>INDEX('2_Clean_Data'!$L$2:$L$1360,MATCH($A1330,'2_Clean_Data'!$A$2:$A$1360,0))</f>
        <v>9.5</v>
      </c>
      <c r="E1330" s="9" t="str">
        <f>IF(D1330&lt;'3_Summary_Tables'!$C$16,"Low",IF(D1330&lt;'3_Summary_Tables'!$C$17,"Medium","High"))</f>
        <v>Low</v>
      </c>
      <c r="F1330" s="12">
        <f>INDEX('2_Clean_Data'!$C$2:$C$1360,MATCH($A1330,'2_Clean_Data'!$A$2:$A$1360,0))</f>
        <v>0.63</v>
      </c>
      <c r="G1330" s="10">
        <f>INDEX('2_Clean_Data'!$H$2:$H$1360,MATCH($A1330,'2_Clean_Data'!$A$2:$A$1360,0))</f>
        <v>115</v>
      </c>
      <c r="H1330" s="9" t="str">
        <f t="shared" si="81"/>
        <v>High</v>
      </c>
      <c r="I1330" s="9" t="str">
        <f t="shared" si="82"/>
        <v>OK</v>
      </c>
      <c r="J1330" s="9" t="str">
        <f t="shared" si="83"/>
        <v>Standard</v>
      </c>
    </row>
    <row r="1331" spans="1:10" x14ac:dyDescent="0.3">
      <c r="A1331" s="10">
        <f>'2_Clean_Data'!A1328</f>
        <v>1327</v>
      </c>
      <c r="B1331" s="10">
        <f>INDEX('2_Clean_Data'!$M$2:$M$1360,MATCH($A1331,'2_Clean_Data'!$A$2:$A$1360,0))</f>
        <v>5</v>
      </c>
      <c r="C1331" s="9" t="str">
        <f t="shared" si="80"/>
        <v>Average</v>
      </c>
      <c r="D1331" s="11">
        <f>INDEX('2_Clean_Data'!$L$2:$L$1360,MATCH($A1331,'2_Clean_Data'!$A$2:$A$1360,0))</f>
        <v>9.9</v>
      </c>
      <c r="E1331" s="9" t="str">
        <f>IF(D1331&lt;'3_Summary_Tables'!$C$16,"Low",IF(D1331&lt;'3_Summary_Tables'!$C$17,"Medium","High"))</f>
        <v>Low</v>
      </c>
      <c r="F1331" s="12">
        <f>INDEX('2_Clean_Data'!$C$2:$C$1360,MATCH($A1331,'2_Clean_Data'!$A$2:$A$1360,0))</f>
        <v>0.6</v>
      </c>
      <c r="G1331" s="10">
        <f>INDEX('2_Clean_Data'!$H$2:$H$1360,MATCH($A1331,'2_Clean_Data'!$A$2:$A$1360,0))</f>
        <v>131</v>
      </c>
      <c r="H1331" s="9" t="str">
        <f t="shared" si="81"/>
        <v>High</v>
      </c>
      <c r="I1331" s="9" t="str">
        <f t="shared" si="82"/>
        <v>OK</v>
      </c>
      <c r="J1331" s="9" t="str">
        <f t="shared" si="83"/>
        <v>Standard</v>
      </c>
    </row>
    <row r="1332" spans="1:10" x14ac:dyDescent="0.3">
      <c r="A1332" s="10">
        <f>'2_Clean_Data'!A1329</f>
        <v>1328</v>
      </c>
      <c r="B1332" s="10">
        <f>INDEX('2_Clean_Data'!$M$2:$M$1360,MATCH($A1332,'2_Clean_Data'!$A$2:$A$1360,0))</f>
        <v>5</v>
      </c>
      <c r="C1332" s="9" t="str">
        <f t="shared" si="80"/>
        <v>Average</v>
      </c>
      <c r="D1332" s="11">
        <f>INDEX('2_Clean_Data'!$L$2:$L$1360,MATCH($A1332,'2_Clean_Data'!$A$2:$A$1360,0))</f>
        <v>10.1</v>
      </c>
      <c r="E1332" s="9" t="str">
        <f>IF(D1332&lt;'3_Summary_Tables'!$C$16,"Low",IF(D1332&lt;'3_Summary_Tables'!$C$17,"Medium","High"))</f>
        <v>Medium</v>
      </c>
      <c r="F1332" s="12">
        <f>INDEX('2_Clean_Data'!$C$2:$C$1360,MATCH($A1332,'2_Clean_Data'!$A$2:$A$1360,0))</f>
        <v>0.69499999999999995</v>
      </c>
      <c r="G1332" s="10">
        <f>INDEX('2_Clean_Data'!$H$2:$H$1360,MATCH($A1332,'2_Clean_Data'!$A$2:$A$1360,0))</f>
        <v>20</v>
      </c>
      <c r="H1332" s="9" t="str">
        <f t="shared" si="81"/>
        <v>Low</v>
      </c>
      <c r="I1332" s="9" t="str">
        <f t="shared" si="82"/>
        <v>OK</v>
      </c>
      <c r="J1332" s="9" t="str">
        <f t="shared" si="83"/>
        <v>Standard</v>
      </c>
    </row>
    <row r="1333" spans="1:10" x14ac:dyDescent="0.3">
      <c r="A1333" s="10">
        <f>'2_Clean_Data'!A1330</f>
        <v>1329</v>
      </c>
      <c r="B1333" s="10">
        <f>INDEX('2_Clean_Data'!$M$2:$M$1360,MATCH($A1333,'2_Clean_Data'!$A$2:$A$1360,0))</f>
        <v>6</v>
      </c>
      <c r="C1333" s="9" t="str">
        <f t="shared" si="80"/>
        <v>Above Average</v>
      </c>
      <c r="D1333" s="11">
        <f>INDEX('2_Clean_Data'!$L$2:$L$1360,MATCH($A1333,'2_Clean_Data'!$A$2:$A$1360,0))</f>
        <v>10.9</v>
      </c>
      <c r="E1333" s="9" t="str">
        <f>IF(D1333&lt;'3_Summary_Tables'!$C$16,"Low",IF(D1333&lt;'3_Summary_Tables'!$C$17,"Medium","High"))</f>
        <v>Medium</v>
      </c>
      <c r="F1333" s="12">
        <f>INDEX('2_Clean_Data'!$C$2:$C$1360,MATCH($A1333,'2_Clean_Data'!$A$2:$A$1360,0))</f>
        <v>0.67</v>
      </c>
      <c r="G1333" s="10">
        <f>INDEX('2_Clean_Data'!$H$2:$H$1360,MATCH($A1333,'2_Clean_Data'!$A$2:$A$1360,0))</f>
        <v>42</v>
      </c>
      <c r="H1333" s="9" t="str">
        <f t="shared" si="81"/>
        <v>Low</v>
      </c>
      <c r="I1333" s="9" t="str">
        <f t="shared" si="82"/>
        <v>OK</v>
      </c>
      <c r="J1333" s="9" t="str">
        <f t="shared" si="83"/>
        <v>Solid</v>
      </c>
    </row>
    <row r="1334" spans="1:10" x14ac:dyDescent="0.3">
      <c r="A1334" s="10">
        <f>'2_Clean_Data'!A1331</f>
        <v>1330</v>
      </c>
      <c r="B1334" s="10">
        <f>INDEX('2_Clean_Data'!$M$2:$M$1360,MATCH($A1334,'2_Clean_Data'!$A$2:$A$1360,0))</f>
        <v>6</v>
      </c>
      <c r="C1334" s="9" t="str">
        <f t="shared" si="80"/>
        <v>Above Average</v>
      </c>
      <c r="D1334" s="11">
        <f>INDEX('2_Clean_Data'!$L$2:$L$1360,MATCH($A1334,'2_Clean_Data'!$A$2:$A$1360,0))</f>
        <v>11.2</v>
      </c>
      <c r="E1334" s="9" t="str">
        <f>IF(D1334&lt;'3_Summary_Tables'!$C$16,"Low",IF(D1334&lt;'3_Summary_Tables'!$C$17,"Medium","High"))</f>
        <v>Medium</v>
      </c>
      <c r="F1334" s="12">
        <f>INDEX('2_Clean_Data'!$C$2:$C$1360,MATCH($A1334,'2_Clean_Data'!$A$2:$A$1360,0))</f>
        <v>0.16</v>
      </c>
      <c r="G1334" s="10">
        <f>INDEX('2_Clean_Data'!$H$2:$H$1360,MATCH($A1334,'2_Clean_Data'!$A$2:$A$1360,0))</f>
        <v>52</v>
      </c>
      <c r="H1334" s="9" t="str">
        <f t="shared" si="81"/>
        <v>Moderate</v>
      </c>
      <c r="I1334" s="9" t="str">
        <f t="shared" si="82"/>
        <v>OK</v>
      </c>
      <c r="J1334" s="9" t="str">
        <f t="shared" si="83"/>
        <v>Solid</v>
      </c>
    </row>
    <row r="1335" spans="1:10" x14ac:dyDescent="0.3">
      <c r="A1335" s="10">
        <f>'2_Clean_Data'!A1332</f>
        <v>1331</v>
      </c>
      <c r="B1335" s="10">
        <f>INDEX('2_Clean_Data'!$M$2:$M$1360,MATCH($A1335,'2_Clean_Data'!$A$2:$A$1360,0))</f>
        <v>5</v>
      </c>
      <c r="C1335" s="9" t="str">
        <f t="shared" si="80"/>
        <v>Average</v>
      </c>
      <c r="D1335" s="11">
        <f>INDEX('2_Clean_Data'!$L$2:$L$1360,MATCH($A1335,'2_Clean_Data'!$A$2:$A$1360,0))</f>
        <v>9.1999999999999993</v>
      </c>
      <c r="E1335" s="9" t="str">
        <f>IF(D1335&lt;'3_Summary_Tables'!$C$16,"Low",IF(D1335&lt;'3_Summary_Tables'!$C$17,"Medium","High"))</f>
        <v>Low</v>
      </c>
      <c r="F1335" s="12">
        <f>INDEX('2_Clean_Data'!$C$2:$C$1360,MATCH($A1335,'2_Clean_Data'!$A$2:$A$1360,0))</f>
        <v>0.56000000000000005</v>
      </c>
      <c r="G1335" s="10">
        <f>INDEX('2_Clean_Data'!$H$2:$H$1360,MATCH($A1335,'2_Clean_Data'!$A$2:$A$1360,0))</f>
        <v>42</v>
      </c>
      <c r="H1335" s="9" t="str">
        <f t="shared" si="81"/>
        <v>Low</v>
      </c>
      <c r="I1335" s="9" t="str">
        <f t="shared" si="82"/>
        <v>OK</v>
      </c>
      <c r="J1335" s="9" t="str">
        <f t="shared" si="83"/>
        <v>Standard</v>
      </c>
    </row>
    <row r="1336" spans="1:10" x14ac:dyDescent="0.3">
      <c r="A1336" s="10">
        <f>'2_Clean_Data'!A1333</f>
        <v>1332</v>
      </c>
      <c r="B1336" s="10">
        <f>INDEX('2_Clean_Data'!$M$2:$M$1360,MATCH($A1336,'2_Clean_Data'!$A$2:$A$1360,0))</f>
        <v>6</v>
      </c>
      <c r="C1336" s="9" t="str">
        <f t="shared" si="80"/>
        <v>Above Average</v>
      </c>
      <c r="D1336" s="11">
        <f>INDEX('2_Clean_Data'!$L$2:$L$1360,MATCH($A1336,'2_Clean_Data'!$A$2:$A$1360,0))</f>
        <v>11.5</v>
      </c>
      <c r="E1336" s="9" t="str">
        <f>IF(D1336&lt;'3_Summary_Tables'!$C$16,"Low",IF(D1336&lt;'3_Summary_Tables'!$C$17,"Medium","High"))</f>
        <v>High</v>
      </c>
      <c r="F1336" s="12">
        <f>INDEX('2_Clean_Data'!$C$2:$C$1360,MATCH($A1336,'2_Clean_Data'!$A$2:$A$1360,0))</f>
        <v>0.51</v>
      </c>
      <c r="G1336" s="10">
        <f>INDEX('2_Clean_Data'!$H$2:$H$1360,MATCH($A1336,'2_Clean_Data'!$A$2:$A$1360,0))</f>
        <v>34</v>
      </c>
      <c r="H1336" s="9" t="str">
        <f t="shared" si="81"/>
        <v>Low</v>
      </c>
      <c r="I1336" s="9" t="str">
        <f t="shared" si="82"/>
        <v>OK</v>
      </c>
      <c r="J1336" s="9" t="str">
        <f t="shared" si="83"/>
        <v>Solid</v>
      </c>
    </row>
    <row r="1337" spans="1:10" x14ac:dyDescent="0.3">
      <c r="A1337" s="10">
        <f>'2_Clean_Data'!A1334</f>
        <v>1333</v>
      </c>
      <c r="B1337" s="10">
        <f>INDEX('2_Clean_Data'!$M$2:$M$1360,MATCH($A1337,'2_Clean_Data'!$A$2:$A$1360,0))</f>
        <v>6</v>
      </c>
      <c r="C1337" s="9" t="str">
        <f t="shared" si="80"/>
        <v>Above Average</v>
      </c>
      <c r="D1337" s="11">
        <f>INDEX('2_Clean_Data'!$L$2:$L$1360,MATCH($A1337,'2_Clean_Data'!$A$2:$A$1360,0))</f>
        <v>12.4</v>
      </c>
      <c r="E1337" s="9" t="str">
        <f>IF(D1337&lt;'3_Summary_Tables'!$C$16,"Low",IF(D1337&lt;'3_Summary_Tables'!$C$17,"Medium","High"))</f>
        <v>High</v>
      </c>
      <c r="F1337" s="12">
        <f>INDEX('2_Clean_Data'!$C$2:$C$1360,MATCH($A1337,'2_Clean_Data'!$A$2:$A$1360,0))</f>
        <v>0.36</v>
      </c>
      <c r="G1337" s="10">
        <f>INDEX('2_Clean_Data'!$H$2:$H$1360,MATCH($A1337,'2_Clean_Data'!$A$2:$A$1360,0))</f>
        <v>35</v>
      </c>
      <c r="H1337" s="9" t="str">
        <f t="shared" si="81"/>
        <v>Low</v>
      </c>
      <c r="I1337" s="9" t="str">
        <f t="shared" si="82"/>
        <v>OK</v>
      </c>
      <c r="J1337" s="9" t="str">
        <f t="shared" si="83"/>
        <v>Solid</v>
      </c>
    </row>
    <row r="1338" spans="1:10" x14ac:dyDescent="0.3">
      <c r="A1338" s="10">
        <f>'2_Clean_Data'!A1335</f>
        <v>1334</v>
      </c>
      <c r="B1338" s="10">
        <f>INDEX('2_Clean_Data'!$M$2:$M$1360,MATCH($A1338,'2_Clean_Data'!$A$2:$A$1360,0))</f>
        <v>6</v>
      </c>
      <c r="C1338" s="9" t="str">
        <f t="shared" si="80"/>
        <v>Above Average</v>
      </c>
      <c r="D1338" s="11">
        <f>INDEX('2_Clean_Data'!$L$2:$L$1360,MATCH($A1338,'2_Clean_Data'!$A$2:$A$1360,0))</f>
        <v>11.1</v>
      </c>
      <c r="E1338" s="9" t="str">
        <f>IF(D1338&lt;'3_Summary_Tables'!$C$16,"Low",IF(D1338&lt;'3_Summary_Tables'!$C$17,"Medium","High"))</f>
        <v>Medium</v>
      </c>
      <c r="F1338" s="12">
        <f>INDEX('2_Clean_Data'!$C$2:$C$1360,MATCH($A1338,'2_Clean_Data'!$A$2:$A$1360,0))</f>
        <v>0.38</v>
      </c>
      <c r="G1338" s="10">
        <f>INDEX('2_Clean_Data'!$H$2:$H$1360,MATCH($A1338,'2_Clean_Data'!$A$2:$A$1360,0))</f>
        <v>25</v>
      </c>
      <c r="H1338" s="9" t="str">
        <f t="shared" si="81"/>
        <v>Low</v>
      </c>
      <c r="I1338" s="9" t="str">
        <f t="shared" si="82"/>
        <v>OK</v>
      </c>
      <c r="J1338" s="9" t="str">
        <f t="shared" si="83"/>
        <v>Solid</v>
      </c>
    </row>
    <row r="1339" spans="1:10" x14ac:dyDescent="0.3">
      <c r="A1339" s="10">
        <f>'2_Clean_Data'!A1336</f>
        <v>1335</v>
      </c>
      <c r="B1339" s="10">
        <f>INDEX('2_Clean_Data'!$M$2:$M$1360,MATCH($A1339,'2_Clean_Data'!$A$2:$A$1360,0))</f>
        <v>5</v>
      </c>
      <c r="C1339" s="9" t="str">
        <f t="shared" si="80"/>
        <v>Average</v>
      </c>
      <c r="D1339" s="11">
        <f>INDEX('2_Clean_Data'!$L$2:$L$1360,MATCH($A1339,'2_Clean_Data'!$A$2:$A$1360,0))</f>
        <v>9.5</v>
      </c>
      <c r="E1339" s="9" t="str">
        <f>IF(D1339&lt;'3_Summary_Tables'!$C$16,"Low",IF(D1339&lt;'3_Summary_Tables'!$C$17,"Medium","High"))</f>
        <v>Low</v>
      </c>
      <c r="F1339" s="12">
        <f>INDEX('2_Clean_Data'!$C$2:$C$1360,MATCH($A1339,'2_Clean_Data'!$A$2:$A$1360,0))</f>
        <v>0.69</v>
      </c>
      <c r="G1339" s="10">
        <f>INDEX('2_Clean_Data'!$H$2:$H$1360,MATCH($A1339,'2_Clean_Data'!$A$2:$A$1360,0))</f>
        <v>104</v>
      </c>
      <c r="H1339" s="9" t="str">
        <f t="shared" si="81"/>
        <v>High</v>
      </c>
      <c r="I1339" s="9" t="str">
        <f t="shared" si="82"/>
        <v>OK</v>
      </c>
      <c r="J1339" s="9" t="str">
        <f t="shared" si="83"/>
        <v>Standard</v>
      </c>
    </row>
    <row r="1340" spans="1:10" x14ac:dyDescent="0.3">
      <c r="A1340" s="10">
        <f>'2_Clean_Data'!A1337</f>
        <v>1336</v>
      </c>
      <c r="B1340" s="10">
        <f>INDEX('2_Clean_Data'!$M$2:$M$1360,MATCH($A1340,'2_Clean_Data'!$A$2:$A$1360,0))</f>
        <v>6</v>
      </c>
      <c r="C1340" s="9" t="str">
        <f t="shared" si="80"/>
        <v>Above Average</v>
      </c>
      <c r="D1340" s="11">
        <f>INDEX('2_Clean_Data'!$L$2:$L$1360,MATCH($A1340,'2_Clean_Data'!$A$2:$A$1360,0))</f>
        <v>12.5</v>
      </c>
      <c r="E1340" s="9" t="str">
        <f>IF(D1340&lt;'3_Summary_Tables'!$C$16,"Low",IF(D1340&lt;'3_Summary_Tables'!$C$17,"Medium","High"))</f>
        <v>High</v>
      </c>
      <c r="F1340" s="12">
        <f>INDEX('2_Clean_Data'!$C$2:$C$1360,MATCH($A1340,'2_Clean_Data'!$A$2:$A$1360,0))</f>
        <v>0.57999999999999996</v>
      </c>
      <c r="G1340" s="10">
        <f>INDEX('2_Clean_Data'!$H$2:$H$1360,MATCH($A1340,'2_Clean_Data'!$A$2:$A$1360,0))</f>
        <v>50</v>
      </c>
      <c r="H1340" s="9" t="str">
        <f t="shared" si="81"/>
        <v>Low</v>
      </c>
      <c r="I1340" s="9" t="str">
        <f t="shared" si="82"/>
        <v>OK</v>
      </c>
      <c r="J1340" s="9" t="str">
        <f t="shared" si="83"/>
        <v>Solid</v>
      </c>
    </row>
    <row r="1341" spans="1:10" x14ac:dyDescent="0.3">
      <c r="A1341" s="10">
        <f>'2_Clean_Data'!A1338</f>
        <v>1337</v>
      </c>
      <c r="B1341" s="10">
        <f>INDEX('2_Clean_Data'!$M$2:$M$1360,MATCH($A1341,'2_Clean_Data'!$A$2:$A$1360,0))</f>
        <v>6</v>
      </c>
      <c r="C1341" s="9" t="str">
        <f t="shared" si="80"/>
        <v>Above Average</v>
      </c>
      <c r="D1341" s="11">
        <f>INDEX('2_Clean_Data'!$L$2:$L$1360,MATCH($A1341,'2_Clean_Data'!$A$2:$A$1360,0))</f>
        <v>10.5</v>
      </c>
      <c r="E1341" s="9" t="str">
        <f>IF(D1341&lt;'3_Summary_Tables'!$C$16,"Low",IF(D1341&lt;'3_Summary_Tables'!$C$17,"Medium","High"))</f>
        <v>Medium</v>
      </c>
      <c r="F1341" s="12">
        <f>INDEX('2_Clean_Data'!$C$2:$C$1360,MATCH($A1341,'2_Clean_Data'!$A$2:$A$1360,0))</f>
        <v>0.31</v>
      </c>
      <c r="G1341" s="10">
        <f>INDEX('2_Clean_Data'!$H$2:$H$1360,MATCH($A1341,'2_Clean_Data'!$A$2:$A$1360,0))</f>
        <v>92</v>
      </c>
      <c r="H1341" s="9" t="str">
        <f t="shared" si="81"/>
        <v>Moderate</v>
      </c>
      <c r="I1341" s="9" t="str">
        <f t="shared" si="82"/>
        <v>OK</v>
      </c>
      <c r="J1341" s="9" t="str">
        <f t="shared" si="83"/>
        <v>Solid</v>
      </c>
    </row>
    <row r="1342" spans="1:10" x14ac:dyDescent="0.3">
      <c r="A1342" s="10">
        <f>'2_Clean_Data'!A1339</f>
        <v>1338</v>
      </c>
      <c r="B1342" s="10">
        <f>INDEX('2_Clean_Data'!$M$2:$M$1360,MATCH($A1342,'2_Clean_Data'!$A$2:$A$1360,0))</f>
        <v>6</v>
      </c>
      <c r="C1342" s="9" t="str">
        <f t="shared" si="80"/>
        <v>Above Average</v>
      </c>
      <c r="D1342" s="11">
        <f>INDEX('2_Clean_Data'!$L$2:$L$1360,MATCH($A1342,'2_Clean_Data'!$A$2:$A$1360,0))</f>
        <v>11.8</v>
      </c>
      <c r="E1342" s="9" t="str">
        <f>IF(D1342&lt;'3_Summary_Tables'!$C$16,"Low",IF(D1342&lt;'3_Summary_Tables'!$C$17,"Medium","High"))</f>
        <v>High</v>
      </c>
      <c r="F1342" s="12">
        <f>INDEX('2_Clean_Data'!$C$2:$C$1360,MATCH($A1342,'2_Clean_Data'!$A$2:$A$1360,0))</f>
        <v>0.52</v>
      </c>
      <c r="G1342" s="10">
        <f>INDEX('2_Clean_Data'!$H$2:$H$1360,MATCH($A1342,'2_Clean_Data'!$A$2:$A$1360,0))</f>
        <v>20</v>
      </c>
      <c r="H1342" s="9" t="str">
        <f t="shared" si="81"/>
        <v>Low</v>
      </c>
      <c r="I1342" s="9" t="str">
        <f t="shared" si="82"/>
        <v>OK</v>
      </c>
      <c r="J1342" s="9" t="str">
        <f t="shared" si="83"/>
        <v>Solid</v>
      </c>
    </row>
    <row r="1343" spans="1:10" x14ac:dyDescent="0.3">
      <c r="A1343" s="10">
        <f>'2_Clean_Data'!A1340</f>
        <v>1339</v>
      </c>
      <c r="B1343" s="10">
        <f>INDEX('2_Clean_Data'!$M$2:$M$1360,MATCH($A1343,'2_Clean_Data'!$A$2:$A$1360,0))</f>
        <v>6</v>
      </c>
      <c r="C1343" s="9" t="str">
        <f t="shared" si="80"/>
        <v>Above Average</v>
      </c>
      <c r="D1343" s="11">
        <f>INDEX('2_Clean_Data'!$L$2:$L$1360,MATCH($A1343,'2_Clean_Data'!$A$2:$A$1360,0))</f>
        <v>10.8</v>
      </c>
      <c r="E1343" s="9" t="str">
        <f>IF(D1343&lt;'3_Summary_Tables'!$C$16,"Low",IF(D1343&lt;'3_Summary_Tables'!$C$17,"Medium","High"))</f>
        <v>Medium</v>
      </c>
      <c r="F1343" s="12">
        <f>INDEX('2_Clean_Data'!$C$2:$C$1360,MATCH($A1343,'2_Clean_Data'!$A$2:$A$1360,0))</f>
        <v>0.3</v>
      </c>
      <c r="G1343" s="10">
        <f>INDEX('2_Clean_Data'!$H$2:$H$1360,MATCH($A1343,'2_Clean_Data'!$A$2:$A$1360,0))</f>
        <v>29</v>
      </c>
      <c r="H1343" s="9" t="str">
        <f t="shared" si="81"/>
        <v>Low</v>
      </c>
      <c r="I1343" s="9" t="str">
        <f t="shared" si="82"/>
        <v>OK</v>
      </c>
      <c r="J1343" s="9" t="str">
        <f t="shared" si="83"/>
        <v>Solid</v>
      </c>
    </row>
    <row r="1344" spans="1:10" x14ac:dyDescent="0.3">
      <c r="A1344" s="10">
        <f>'2_Clean_Data'!A1341</f>
        <v>1340</v>
      </c>
      <c r="B1344" s="10">
        <f>INDEX('2_Clean_Data'!$M$2:$M$1360,MATCH($A1344,'2_Clean_Data'!$A$2:$A$1360,0))</f>
        <v>6</v>
      </c>
      <c r="C1344" s="9" t="str">
        <f t="shared" si="80"/>
        <v>Above Average</v>
      </c>
      <c r="D1344" s="11">
        <f>INDEX('2_Clean_Data'!$L$2:$L$1360,MATCH($A1344,'2_Clean_Data'!$A$2:$A$1360,0))</f>
        <v>11.9</v>
      </c>
      <c r="E1344" s="9" t="str">
        <f>IF(D1344&lt;'3_Summary_Tables'!$C$16,"Low",IF(D1344&lt;'3_Summary_Tables'!$C$17,"Medium","High"))</f>
        <v>High</v>
      </c>
      <c r="F1344" s="12">
        <f>INDEX('2_Clean_Data'!$C$2:$C$1360,MATCH($A1344,'2_Clean_Data'!$A$2:$A$1360,0))</f>
        <v>0.7</v>
      </c>
      <c r="G1344" s="10">
        <f>INDEX('2_Clean_Data'!$H$2:$H$1360,MATCH($A1344,'2_Clean_Data'!$A$2:$A$1360,0))</f>
        <v>27</v>
      </c>
      <c r="H1344" s="9" t="str">
        <f t="shared" si="81"/>
        <v>Low</v>
      </c>
      <c r="I1344" s="9" t="str">
        <f t="shared" si="82"/>
        <v>OK</v>
      </c>
      <c r="J1344" s="9" t="str">
        <f t="shared" si="83"/>
        <v>Solid</v>
      </c>
    </row>
    <row r="1345" spans="1:10" x14ac:dyDescent="0.3">
      <c r="A1345" s="10">
        <f>'2_Clean_Data'!A1342</f>
        <v>1341</v>
      </c>
      <c r="B1345" s="10">
        <f>INDEX('2_Clean_Data'!$M$2:$M$1360,MATCH($A1345,'2_Clean_Data'!$A$2:$A$1360,0))</f>
        <v>6</v>
      </c>
      <c r="C1345" s="9" t="str">
        <f t="shared" si="80"/>
        <v>Above Average</v>
      </c>
      <c r="D1345" s="11">
        <f>INDEX('2_Clean_Data'!$L$2:$L$1360,MATCH($A1345,'2_Clean_Data'!$A$2:$A$1360,0))</f>
        <v>11.3</v>
      </c>
      <c r="E1345" s="9" t="str">
        <f>IF(D1345&lt;'3_Summary_Tables'!$C$16,"Low",IF(D1345&lt;'3_Summary_Tables'!$C$17,"Medium","High"))</f>
        <v>Medium</v>
      </c>
      <c r="F1345" s="12">
        <f>INDEX('2_Clean_Data'!$C$2:$C$1360,MATCH($A1345,'2_Clean_Data'!$A$2:$A$1360,0))</f>
        <v>0.67</v>
      </c>
      <c r="G1345" s="10">
        <f>INDEX('2_Clean_Data'!$H$2:$H$1360,MATCH($A1345,'2_Clean_Data'!$A$2:$A$1360,0))</f>
        <v>20</v>
      </c>
      <c r="H1345" s="9" t="str">
        <f t="shared" si="81"/>
        <v>Low</v>
      </c>
      <c r="I1345" s="9" t="str">
        <f t="shared" si="82"/>
        <v>OK</v>
      </c>
      <c r="J1345" s="9" t="str">
        <f t="shared" si="83"/>
        <v>Solid</v>
      </c>
    </row>
    <row r="1346" spans="1:10" x14ac:dyDescent="0.3">
      <c r="A1346" s="10">
        <f>'2_Clean_Data'!A1343</f>
        <v>1342</v>
      </c>
      <c r="B1346" s="10">
        <f>INDEX('2_Clean_Data'!$M$2:$M$1360,MATCH($A1346,'2_Clean_Data'!$A$2:$A$1360,0))</f>
        <v>5</v>
      </c>
      <c r="C1346" s="9" t="str">
        <f t="shared" si="80"/>
        <v>Average</v>
      </c>
      <c r="D1346" s="11">
        <f>INDEX('2_Clean_Data'!$L$2:$L$1360,MATCH($A1346,'2_Clean_Data'!$A$2:$A$1360,0))</f>
        <v>11.3</v>
      </c>
      <c r="E1346" s="9" t="str">
        <f>IF(D1346&lt;'3_Summary_Tables'!$C$16,"Low",IF(D1346&lt;'3_Summary_Tables'!$C$17,"Medium","High"))</f>
        <v>Medium</v>
      </c>
      <c r="F1346" s="12">
        <f>INDEX('2_Clean_Data'!$C$2:$C$1360,MATCH($A1346,'2_Clean_Data'!$A$2:$A$1360,0))</f>
        <v>0.56000000000000005</v>
      </c>
      <c r="G1346" s="10">
        <f>INDEX('2_Clean_Data'!$H$2:$H$1360,MATCH($A1346,'2_Clean_Data'!$A$2:$A$1360,0))</f>
        <v>32</v>
      </c>
      <c r="H1346" s="9" t="str">
        <f t="shared" si="81"/>
        <v>Low</v>
      </c>
      <c r="I1346" s="9" t="str">
        <f t="shared" si="82"/>
        <v>OK</v>
      </c>
      <c r="J1346" s="9" t="str">
        <f t="shared" si="83"/>
        <v>Standard</v>
      </c>
    </row>
    <row r="1347" spans="1:10" x14ac:dyDescent="0.3">
      <c r="A1347" s="10">
        <f>'2_Clean_Data'!A1344</f>
        <v>1343</v>
      </c>
      <c r="B1347" s="10">
        <f>INDEX('2_Clean_Data'!$M$2:$M$1360,MATCH($A1347,'2_Clean_Data'!$A$2:$A$1360,0))</f>
        <v>6</v>
      </c>
      <c r="C1347" s="9" t="str">
        <f t="shared" si="80"/>
        <v>Above Average</v>
      </c>
      <c r="D1347" s="11">
        <f>INDEX('2_Clean_Data'!$L$2:$L$1360,MATCH($A1347,'2_Clean_Data'!$A$2:$A$1360,0))</f>
        <v>11.9</v>
      </c>
      <c r="E1347" s="9" t="str">
        <f>IF(D1347&lt;'3_Summary_Tables'!$C$16,"Low",IF(D1347&lt;'3_Summary_Tables'!$C$17,"Medium","High"))</f>
        <v>High</v>
      </c>
      <c r="F1347" s="12">
        <f>INDEX('2_Clean_Data'!$C$2:$C$1360,MATCH($A1347,'2_Clean_Data'!$A$2:$A$1360,0))</f>
        <v>0.35</v>
      </c>
      <c r="G1347" s="10">
        <f>INDEX('2_Clean_Data'!$H$2:$H$1360,MATCH($A1347,'2_Clean_Data'!$A$2:$A$1360,0))</f>
        <v>26</v>
      </c>
      <c r="H1347" s="9" t="str">
        <f t="shared" si="81"/>
        <v>Low</v>
      </c>
      <c r="I1347" s="9" t="str">
        <f t="shared" si="82"/>
        <v>OK</v>
      </c>
      <c r="J1347" s="9" t="str">
        <f t="shared" si="83"/>
        <v>Solid</v>
      </c>
    </row>
    <row r="1348" spans="1:10" x14ac:dyDescent="0.3">
      <c r="A1348" s="10">
        <f>'2_Clean_Data'!A1345</f>
        <v>1344</v>
      </c>
      <c r="B1348" s="10">
        <f>INDEX('2_Clean_Data'!$M$2:$M$1360,MATCH($A1348,'2_Clean_Data'!$A$2:$A$1360,0))</f>
        <v>5</v>
      </c>
      <c r="C1348" s="9" t="str">
        <f t="shared" si="80"/>
        <v>Average</v>
      </c>
      <c r="D1348" s="11">
        <f>INDEX('2_Clean_Data'!$L$2:$L$1360,MATCH($A1348,'2_Clean_Data'!$A$2:$A$1360,0))</f>
        <v>11.9</v>
      </c>
      <c r="E1348" s="9" t="str">
        <f>IF(D1348&lt;'3_Summary_Tables'!$C$16,"Low",IF(D1348&lt;'3_Summary_Tables'!$C$17,"Medium","High"))</f>
        <v>High</v>
      </c>
      <c r="F1348" s="12">
        <f>INDEX('2_Clean_Data'!$C$2:$C$1360,MATCH($A1348,'2_Clean_Data'!$A$2:$A$1360,0))</f>
        <v>0.71499999999999997</v>
      </c>
      <c r="G1348" s="10">
        <f>INDEX('2_Clean_Data'!$H$2:$H$1360,MATCH($A1348,'2_Clean_Data'!$A$2:$A$1360,0))</f>
        <v>27</v>
      </c>
      <c r="H1348" s="9" t="str">
        <f t="shared" si="81"/>
        <v>Low</v>
      </c>
      <c r="I1348" s="9" t="str">
        <f t="shared" si="82"/>
        <v>Above limit</v>
      </c>
      <c r="J1348" s="9" t="str">
        <f t="shared" si="83"/>
        <v>Standard</v>
      </c>
    </row>
    <row r="1349" spans="1:10" x14ac:dyDescent="0.3">
      <c r="A1349" s="10">
        <f>'2_Clean_Data'!A1346</f>
        <v>1345</v>
      </c>
      <c r="B1349" s="10">
        <f>INDEX('2_Clean_Data'!$M$2:$M$1360,MATCH($A1349,'2_Clean_Data'!$A$2:$A$1360,0))</f>
        <v>5</v>
      </c>
      <c r="C1349" s="9" t="str">
        <f t="shared" ref="C1349:C1412" si="84">VLOOKUP(B1349,$L$12:$N$17,2,FALSE())</f>
        <v>Average</v>
      </c>
      <c r="D1349" s="11">
        <f>INDEX('2_Clean_Data'!$L$2:$L$1360,MATCH($A1349,'2_Clean_Data'!$A$2:$A$1360,0))</f>
        <v>9.8000000000000007</v>
      </c>
      <c r="E1349" s="9" t="str">
        <f>IF(D1349&lt;'3_Summary_Tables'!$C$16,"Low",IF(D1349&lt;'3_Summary_Tables'!$C$17,"Medium","High"))</f>
        <v>Low</v>
      </c>
      <c r="F1349" s="12">
        <f>INDEX('2_Clean_Data'!$C$2:$C$1360,MATCH($A1349,'2_Clean_Data'!$A$2:$A$1360,0))</f>
        <v>0.46</v>
      </c>
      <c r="G1349" s="10">
        <f>INDEX('2_Clean_Data'!$H$2:$H$1360,MATCH($A1349,'2_Clean_Data'!$A$2:$A$1360,0))</f>
        <v>98</v>
      </c>
      <c r="H1349" s="9" t="str">
        <f t="shared" ref="H1349:H1412" si="85">IF(G1349&gt;$M$8,"High",IF(G1349&gt;$M$7,"Moderate","Low"))</f>
        <v>Moderate</v>
      </c>
      <c r="I1349" s="9" t="str">
        <f t="shared" ref="I1349:I1363" si="86">IF(F1349&gt;$M$6,"Above limit","OK")</f>
        <v>OK</v>
      </c>
      <c r="J1349" s="9" t="str">
        <f t="shared" ref="J1349:J1412" si="87">IF(AND(B1349&gt;=7,E1349="High"),"Premium",IF(AND(B1349&gt;=6,I1349="OK"),"Solid",IF(B1349&lt;=4,"Poor","Standard")))</f>
        <v>Standard</v>
      </c>
    </row>
    <row r="1350" spans="1:10" x14ac:dyDescent="0.3">
      <c r="A1350" s="10">
        <f>'2_Clean_Data'!A1347</f>
        <v>1346</v>
      </c>
      <c r="B1350" s="10">
        <f>INDEX('2_Clean_Data'!$M$2:$M$1360,MATCH($A1350,'2_Clean_Data'!$A$2:$A$1360,0))</f>
        <v>7</v>
      </c>
      <c r="C1350" s="9" t="str">
        <f t="shared" si="84"/>
        <v>Good</v>
      </c>
      <c r="D1350" s="11">
        <f>INDEX('2_Clean_Data'!$L$2:$L$1360,MATCH($A1350,'2_Clean_Data'!$A$2:$A$1360,0))</f>
        <v>11.6</v>
      </c>
      <c r="E1350" s="9" t="str">
        <f>IF(D1350&lt;'3_Summary_Tables'!$C$16,"Low",IF(D1350&lt;'3_Summary_Tables'!$C$17,"Medium","High"))</f>
        <v>High</v>
      </c>
      <c r="F1350" s="12">
        <f>INDEX('2_Clean_Data'!$C$2:$C$1360,MATCH($A1350,'2_Clean_Data'!$A$2:$A$1360,0))</f>
        <v>0.32</v>
      </c>
      <c r="G1350" s="10">
        <f>INDEX('2_Clean_Data'!$H$2:$H$1360,MATCH($A1350,'2_Clean_Data'!$A$2:$A$1360,0))</f>
        <v>34</v>
      </c>
      <c r="H1350" s="9" t="str">
        <f t="shared" si="85"/>
        <v>Low</v>
      </c>
      <c r="I1350" s="9" t="str">
        <f t="shared" si="86"/>
        <v>OK</v>
      </c>
      <c r="J1350" s="9" t="str">
        <f t="shared" si="87"/>
        <v>Premium</v>
      </c>
    </row>
    <row r="1351" spans="1:10" x14ac:dyDescent="0.3">
      <c r="A1351" s="10">
        <f>'2_Clean_Data'!A1348</f>
        <v>1347</v>
      </c>
      <c r="B1351" s="10">
        <f>INDEX('2_Clean_Data'!$M$2:$M$1360,MATCH($A1351,'2_Clean_Data'!$A$2:$A$1360,0))</f>
        <v>6</v>
      </c>
      <c r="C1351" s="9" t="str">
        <f t="shared" si="84"/>
        <v>Above Average</v>
      </c>
      <c r="D1351" s="11">
        <f>INDEX('2_Clean_Data'!$L$2:$L$1360,MATCH($A1351,'2_Clean_Data'!$A$2:$A$1360,0))</f>
        <v>11.5</v>
      </c>
      <c r="E1351" s="9" t="str">
        <f>IF(D1351&lt;'3_Summary_Tables'!$C$16,"Low",IF(D1351&lt;'3_Summary_Tables'!$C$17,"Medium","High"))</f>
        <v>High</v>
      </c>
      <c r="F1351" s="12">
        <f>INDEX('2_Clean_Data'!$C$2:$C$1360,MATCH($A1351,'2_Clean_Data'!$A$2:$A$1360,0))</f>
        <v>0.39</v>
      </c>
      <c r="G1351" s="10">
        <f>INDEX('2_Clean_Data'!$H$2:$H$1360,MATCH($A1351,'2_Clean_Data'!$A$2:$A$1360,0))</f>
        <v>48</v>
      </c>
      <c r="H1351" s="9" t="str">
        <f t="shared" si="85"/>
        <v>Low</v>
      </c>
      <c r="I1351" s="9" t="str">
        <f t="shared" si="86"/>
        <v>OK</v>
      </c>
      <c r="J1351" s="9" t="str">
        <f t="shared" si="87"/>
        <v>Solid</v>
      </c>
    </row>
    <row r="1352" spans="1:10" x14ac:dyDescent="0.3">
      <c r="A1352" s="10">
        <f>'2_Clean_Data'!A1349</f>
        <v>1348</v>
      </c>
      <c r="B1352" s="10">
        <f>INDEX('2_Clean_Data'!$M$2:$M$1360,MATCH($A1352,'2_Clean_Data'!$A$2:$A$1360,0))</f>
        <v>6</v>
      </c>
      <c r="C1352" s="9" t="str">
        <f t="shared" si="84"/>
        <v>Above Average</v>
      </c>
      <c r="D1352" s="11">
        <f>INDEX('2_Clean_Data'!$L$2:$L$1360,MATCH($A1352,'2_Clean_Data'!$A$2:$A$1360,0))</f>
        <v>11.4</v>
      </c>
      <c r="E1352" s="9" t="str">
        <f>IF(D1352&lt;'3_Summary_Tables'!$C$16,"Low",IF(D1352&lt;'3_Summary_Tables'!$C$17,"Medium","High"))</f>
        <v>Medium</v>
      </c>
      <c r="F1352" s="12">
        <f>INDEX('2_Clean_Data'!$C$2:$C$1360,MATCH($A1352,'2_Clean_Data'!$A$2:$A$1360,0))</f>
        <v>0.31</v>
      </c>
      <c r="G1352" s="10">
        <f>INDEX('2_Clean_Data'!$H$2:$H$1360,MATCH($A1352,'2_Clean_Data'!$A$2:$A$1360,0))</f>
        <v>60</v>
      </c>
      <c r="H1352" s="9" t="str">
        <f t="shared" si="85"/>
        <v>Moderate</v>
      </c>
      <c r="I1352" s="9" t="str">
        <f t="shared" si="86"/>
        <v>OK</v>
      </c>
      <c r="J1352" s="9" t="str">
        <f t="shared" si="87"/>
        <v>Solid</v>
      </c>
    </row>
    <row r="1353" spans="1:10" x14ac:dyDescent="0.3">
      <c r="A1353" s="10">
        <f>'2_Clean_Data'!A1350</f>
        <v>1349</v>
      </c>
      <c r="B1353" s="10">
        <f>INDEX('2_Clean_Data'!$M$2:$M$1360,MATCH($A1353,'2_Clean_Data'!$A$2:$A$1360,0))</f>
        <v>6</v>
      </c>
      <c r="C1353" s="9" t="str">
        <f t="shared" si="84"/>
        <v>Above Average</v>
      </c>
      <c r="D1353" s="11">
        <f>INDEX('2_Clean_Data'!$L$2:$L$1360,MATCH($A1353,'2_Clean_Data'!$A$2:$A$1360,0))</f>
        <v>10.9</v>
      </c>
      <c r="E1353" s="9" t="str">
        <f>IF(D1353&lt;'3_Summary_Tables'!$C$16,"Low",IF(D1353&lt;'3_Summary_Tables'!$C$17,"Medium","High"))</f>
        <v>Medium</v>
      </c>
      <c r="F1353" s="12">
        <f>INDEX('2_Clean_Data'!$C$2:$C$1360,MATCH($A1353,'2_Clean_Data'!$A$2:$A$1360,0))</f>
        <v>0.61</v>
      </c>
      <c r="G1353" s="10">
        <f>INDEX('2_Clean_Data'!$H$2:$H$1360,MATCH($A1353,'2_Clean_Data'!$A$2:$A$1360,0))</f>
        <v>28</v>
      </c>
      <c r="H1353" s="9" t="str">
        <f t="shared" si="85"/>
        <v>Low</v>
      </c>
      <c r="I1353" s="9" t="str">
        <f t="shared" si="86"/>
        <v>OK</v>
      </c>
      <c r="J1353" s="9" t="str">
        <f t="shared" si="87"/>
        <v>Solid</v>
      </c>
    </row>
    <row r="1354" spans="1:10" x14ac:dyDescent="0.3">
      <c r="A1354" s="10">
        <f>'2_Clean_Data'!A1351</f>
        <v>1350</v>
      </c>
      <c r="B1354" s="10">
        <f>INDEX('2_Clean_Data'!$M$2:$M$1360,MATCH($A1354,'2_Clean_Data'!$A$2:$A$1360,0))</f>
        <v>6</v>
      </c>
      <c r="C1354" s="9" t="str">
        <f t="shared" si="84"/>
        <v>Above Average</v>
      </c>
      <c r="D1354" s="11">
        <f>INDEX('2_Clean_Data'!$L$2:$L$1360,MATCH($A1354,'2_Clean_Data'!$A$2:$A$1360,0))</f>
        <v>12.8</v>
      </c>
      <c r="E1354" s="9" t="str">
        <f>IF(D1354&lt;'3_Summary_Tables'!$C$16,"Low",IF(D1354&lt;'3_Summary_Tables'!$C$17,"Medium","High"))</f>
        <v>High</v>
      </c>
      <c r="F1354" s="12">
        <f>INDEX('2_Clean_Data'!$C$2:$C$1360,MATCH($A1354,'2_Clean_Data'!$A$2:$A$1360,0))</f>
        <v>0.66</v>
      </c>
      <c r="G1354" s="10">
        <f>INDEX('2_Clean_Data'!$H$2:$H$1360,MATCH($A1354,'2_Clean_Data'!$A$2:$A$1360,0))</f>
        <v>102</v>
      </c>
      <c r="H1354" s="9" t="str">
        <f t="shared" si="85"/>
        <v>High</v>
      </c>
      <c r="I1354" s="9" t="str">
        <f t="shared" si="86"/>
        <v>OK</v>
      </c>
      <c r="J1354" s="9" t="str">
        <f t="shared" si="87"/>
        <v>Solid</v>
      </c>
    </row>
    <row r="1355" spans="1:10" x14ac:dyDescent="0.3">
      <c r="A1355" s="10">
        <f>'2_Clean_Data'!A1352</f>
        <v>1351</v>
      </c>
      <c r="B1355" s="10">
        <f>INDEX('2_Clean_Data'!$M$2:$M$1360,MATCH($A1355,'2_Clean_Data'!$A$2:$A$1360,0))</f>
        <v>5</v>
      </c>
      <c r="C1355" s="9" t="str">
        <f t="shared" si="84"/>
        <v>Average</v>
      </c>
      <c r="D1355" s="11">
        <f>INDEX('2_Clean_Data'!$L$2:$L$1360,MATCH($A1355,'2_Clean_Data'!$A$2:$A$1360,0))</f>
        <v>9.1999999999999993</v>
      </c>
      <c r="E1355" s="9" t="str">
        <f>IF(D1355&lt;'3_Summary_Tables'!$C$16,"Low",IF(D1355&lt;'3_Summary_Tables'!$C$17,"Medium","High"))</f>
        <v>Low</v>
      </c>
      <c r="F1355" s="12">
        <f>INDEX('2_Clean_Data'!$C$2:$C$1360,MATCH($A1355,'2_Clean_Data'!$A$2:$A$1360,0))</f>
        <v>0.72499999999999998</v>
      </c>
      <c r="G1355" s="10">
        <f>INDEX('2_Clean_Data'!$H$2:$H$1360,MATCH($A1355,'2_Clean_Data'!$A$2:$A$1360,0))</f>
        <v>79</v>
      </c>
      <c r="H1355" s="9" t="str">
        <f t="shared" si="85"/>
        <v>Moderate</v>
      </c>
      <c r="I1355" s="9" t="str">
        <f t="shared" si="86"/>
        <v>Above limit</v>
      </c>
      <c r="J1355" s="9" t="str">
        <f t="shared" si="87"/>
        <v>Standard</v>
      </c>
    </row>
    <row r="1356" spans="1:10" x14ac:dyDescent="0.3">
      <c r="A1356" s="10">
        <f>'2_Clean_Data'!A1353</f>
        <v>1352</v>
      </c>
      <c r="B1356" s="10">
        <f>INDEX('2_Clean_Data'!$M$2:$M$1360,MATCH($A1356,'2_Clean_Data'!$A$2:$A$1360,0))</f>
        <v>6</v>
      </c>
      <c r="C1356" s="9" t="str">
        <f t="shared" si="84"/>
        <v>Above Average</v>
      </c>
      <c r="D1356" s="11">
        <f>INDEX('2_Clean_Data'!$L$2:$L$1360,MATCH($A1356,'2_Clean_Data'!$A$2:$A$1360,0))</f>
        <v>11.6</v>
      </c>
      <c r="E1356" s="9" t="str">
        <f>IF(D1356&lt;'3_Summary_Tables'!$C$16,"Low",IF(D1356&lt;'3_Summary_Tables'!$C$17,"Medium","High"))</f>
        <v>High</v>
      </c>
      <c r="F1356" s="12">
        <f>INDEX('2_Clean_Data'!$C$2:$C$1360,MATCH($A1356,'2_Clean_Data'!$A$2:$A$1360,0))</f>
        <v>0.55000000000000004</v>
      </c>
      <c r="G1356" s="10">
        <f>INDEX('2_Clean_Data'!$H$2:$H$1360,MATCH($A1356,'2_Clean_Data'!$A$2:$A$1360,0))</f>
        <v>35</v>
      </c>
      <c r="H1356" s="9" t="str">
        <f t="shared" si="85"/>
        <v>Low</v>
      </c>
      <c r="I1356" s="9" t="str">
        <f t="shared" si="86"/>
        <v>OK</v>
      </c>
      <c r="J1356" s="9" t="str">
        <f t="shared" si="87"/>
        <v>Solid</v>
      </c>
    </row>
    <row r="1357" spans="1:10" x14ac:dyDescent="0.3">
      <c r="A1357" s="10">
        <f>'2_Clean_Data'!A1354</f>
        <v>1353</v>
      </c>
      <c r="B1357" s="10">
        <f>INDEX('2_Clean_Data'!$M$2:$M$1360,MATCH($A1357,'2_Clean_Data'!$A$2:$A$1360,0))</f>
        <v>6</v>
      </c>
      <c r="C1357" s="9" t="str">
        <f t="shared" si="84"/>
        <v>Above Average</v>
      </c>
      <c r="D1357" s="11">
        <f>INDEX('2_Clean_Data'!$L$2:$L$1360,MATCH($A1357,'2_Clean_Data'!$A$2:$A$1360,0))</f>
        <v>11.6</v>
      </c>
      <c r="E1357" s="9" t="str">
        <f>IF(D1357&lt;'3_Summary_Tables'!$C$16,"Low",IF(D1357&lt;'3_Summary_Tables'!$C$17,"Medium","High"))</f>
        <v>High</v>
      </c>
      <c r="F1357" s="12">
        <f>INDEX('2_Clean_Data'!$C$2:$C$1360,MATCH($A1357,'2_Clean_Data'!$A$2:$A$1360,0))</f>
        <v>0.74</v>
      </c>
      <c r="G1357" s="10">
        <f>INDEX('2_Clean_Data'!$H$2:$H$1360,MATCH($A1357,'2_Clean_Data'!$A$2:$A$1360,0))</f>
        <v>26</v>
      </c>
      <c r="H1357" s="9" t="str">
        <f t="shared" si="85"/>
        <v>Low</v>
      </c>
      <c r="I1357" s="9" t="str">
        <f t="shared" si="86"/>
        <v>Above limit</v>
      </c>
      <c r="J1357" s="9" t="str">
        <f t="shared" si="87"/>
        <v>Standard</v>
      </c>
    </row>
    <row r="1358" spans="1:10" x14ac:dyDescent="0.3">
      <c r="A1358" s="10">
        <f>'2_Clean_Data'!A1355</f>
        <v>1354</v>
      </c>
      <c r="B1358" s="10">
        <f>INDEX('2_Clean_Data'!$M$2:$M$1360,MATCH($A1358,'2_Clean_Data'!$A$2:$A$1360,0))</f>
        <v>6</v>
      </c>
      <c r="C1358" s="9" t="str">
        <f t="shared" si="84"/>
        <v>Above Average</v>
      </c>
      <c r="D1358" s="11">
        <f>INDEX('2_Clean_Data'!$L$2:$L$1360,MATCH($A1358,'2_Clean_Data'!$A$2:$A$1360,0))</f>
        <v>11</v>
      </c>
      <c r="E1358" s="9" t="str">
        <f>IF(D1358&lt;'3_Summary_Tables'!$C$16,"Low",IF(D1358&lt;'3_Summary_Tables'!$C$17,"Medium","High"))</f>
        <v>Medium</v>
      </c>
      <c r="F1358" s="12">
        <f>INDEX('2_Clean_Data'!$C$2:$C$1360,MATCH($A1358,'2_Clean_Data'!$A$2:$A$1360,0))</f>
        <v>0.51</v>
      </c>
      <c r="G1358" s="10">
        <f>INDEX('2_Clean_Data'!$H$2:$H$1360,MATCH($A1358,'2_Clean_Data'!$A$2:$A$1360,0))</f>
        <v>40</v>
      </c>
      <c r="H1358" s="9" t="str">
        <f t="shared" si="85"/>
        <v>Low</v>
      </c>
      <c r="I1358" s="9" t="str">
        <f t="shared" si="86"/>
        <v>OK</v>
      </c>
      <c r="J1358" s="9" t="str">
        <f t="shared" si="87"/>
        <v>Solid</v>
      </c>
    </row>
    <row r="1359" spans="1:10" x14ac:dyDescent="0.3">
      <c r="A1359" s="10">
        <f>'2_Clean_Data'!A1356</f>
        <v>1355</v>
      </c>
      <c r="B1359" s="10">
        <f>INDEX('2_Clean_Data'!$M$2:$M$1360,MATCH($A1359,'2_Clean_Data'!$A$2:$A$1360,0))</f>
        <v>6</v>
      </c>
      <c r="C1359" s="9" t="str">
        <f t="shared" si="84"/>
        <v>Above Average</v>
      </c>
      <c r="D1359" s="11">
        <f>INDEX('2_Clean_Data'!$L$2:$L$1360,MATCH($A1359,'2_Clean_Data'!$A$2:$A$1360,0))</f>
        <v>9.5</v>
      </c>
      <c r="E1359" s="9" t="str">
        <f>IF(D1359&lt;'3_Summary_Tables'!$C$16,"Low",IF(D1359&lt;'3_Summary_Tables'!$C$17,"Medium","High"))</f>
        <v>Low</v>
      </c>
      <c r="F1359" s="12">
        <f>INDEX('2_Clean_Data'!$C$2:$C$1360,MATCH($A1359,'2_Clean_Data'!$A$2:$A$1360,0))</f>
        <v>0.62</v>
      </c>
      <c r="G1359" s="10">
        <f>INDEX('2_Clean_Data'!$H$2:$H$1360,MATCH($A1359,'2_Clean_Data'!$A$2:$A$1360,0))</f>
        <v>38</v>
      </c>
      <c r="H1359" s="9" t="str">
        <f t="shared" si="85"/>
        <v>Low</v>
      </c>
      <c r="I1359" s="9" t="str">
        <f t="shared" si="86"/>
        <v>OK</v>
      </c>
      <c r="J1359" s="9" t="str">
        <f t="shared" si="87"/>
        <v>Solid</v>
      </c>
    </row>
    <row r="1360" spans="1:10" x14ac:dyDescent="0.3">
      <c r="A1360" s="10">
        <f>'2_Clean_Data'!A1357</f>
        <v>1356</v>
      </c>
      <c r="B1360" s="10">
        <f>INDEX('2_Clean_Data'!$M$2:$M$1360,MATCH($A1360,'2_Clean_Data'!$A$2:$A$1360,0))</f>
        <v>5</v>
      </c>
      <c r="C1360" s="9" t="str">
        <f t="shared" si="84"/>
        <v>Average</v>
      </c>
      <c r="D1360" s="11">
        <f>INDEX('2_Clean_Data'!$L$2:$L$1360,MATCH($A1360,'2_Clean_Data'!$A$2:$A$1360,0))</f>
        <v>10.5</v>
      </c>
      <c r="E1360" s="9" t="str">
        <f>IF(D1360&lt;'3_Summary_Tables'!$C$16,"Low",IF(D1360&lt;'3_Summary_Tables'!$C$17,"Medium","High"))</f>
        <v>Medium</v>
      </c>
      <c r="F1360" s="12">
        <f>INDEX('2_Clean_Data'!$C$2:$C$1360,MATCH($A1360,'2_Clean_Data'!$A$2:$A$1360,0))</f>
        <v>0.6</v>
      </c>
      <c r="G1360" s="10">
        <f>INDEX('2_Clean_Data'!$H$2:$H$1360,MATCH($A1360,'2_Clean_Data'!$A$2:$A$1360,0))</f>
        <v>44</v>
      </c>
      <c r="H1360" s="9" t="str">
        <f t="shared" si="85"/>
        <v>Low</v>
      </c>
      <c r="I1360" s="9" t="str">
        <f t="shared" si="86"/>
        <v>OK</v>
      </c>
      <c r="J1360" s="9" t="str">
        <f t="shared" si="87"/>
        <v>Standard</v>
      </c>
    </row>
    <row r="1361" spans="1:10" x14ac:dyDescent="0.3">
      <c r="A1361" s="10">
        <f>'2_Clean_Data'!A1358</f>
        <v>1357</v>
      </c>
      <c r="B1361" s="10">
        <f>INDEX('2_Clean_Data'!$M$2:$M$1360,MATCH($A1361,'2_Clean_Data'!$A$2:$A$1360,0))</f>
        <v>6</v>
      </c>
      <c r="C1361" s="9" t="str">
        <f t="shared" si="84"/>
        <v>Above Average</v>
      </c>
      <c r="D1361" s="11">
        <f>INDEX('2_Clean_Data'!$L$2:$L$1360,MATCH($A1361,'2_Clean_Data'!$A$2:$A$1360,0))</f>
        <v>11.2</v>
      </c>
      <c r="E1361" s="9" t="str">
        <f>IF(D1361&lt;'3_Summary_Tables'!$C$16,"Low",IF(D1361&lt;'3_Summary_Tables'!$C$17,"Medium","High"))</f>
        <v>Medium</v>
      </c>
      <c r="F1361" s="12">
        <f>INDEX('2_Clean_Data'!$C$2:$C$1360,MATCH($A1361,'2_Clean_Data'!$A$2:$A$1360,0))</f>
        <v>0.55000000000000004</v>
      </c>
      <c r="G1361" s="10">
        <f>INDEX('2_Clean_Data'!$H$2:$H$1360,MATCH($A1361,'2_Clean_Data'!$A$2:$A$1360,0))</f>
        <v>51</v>
      </c>
      <c r="H1361" s="9" t="str">
        <f t="shared" si="85"/>
        <v>Moderate</v>
      </c>
      <c r="I1361" s="9" t="str">
        <f t="shared" si="86"/>
        <v>OK</v>
      </c>
      <c r="J1361" s="9" t="str">
        <f t="shared" si="87"/>
        <v>Solid</v>
      </c>
    </row>
    <row r="1362" spans="1:10" x14ac:dyDescent="0.3">
      <c r="A1362" s="10">
        <f>'2_Clean_Data'!A1359</f>
        <v>1358</v>
      </c>
      <c r="B1362" s="10">
        <f>INDEX('2_Clean_Data'!$M$2:$M$1360,MATCH($A1362,'2_Clean_Data'!$A$2:$A$1360,0))</f>
        <v>5</v>
      </c>
      <c r="C1362" s="9" t="str">
        <f t="shared" si="84"/>
        <v>Average</v>
      </c>
      <c r="D1362" s="11">
        <f>INDEX('2_Clean_Data'!$L$2:$L$1360,MATCH($A1362,'2_Clean_Data'!$A$2:$A$1360,0))</f>
        <v>10.199999999999999</v>
      </c>
      <c r="E1362" s="9" t="str">
        <f>IF(D1362&lt;'3_Summary_Tables'!$C$16,"Low",IF(D1362&lt;'3_Summary_Tables'!$C$17,"Medium","High"))</f>
        <v>Medium</v>
      </c>
      <c r="F1362" s="12">
        <f>INDEX('2_Clean_Data'!$C$2:$C$1360,MATCH($A1362,'2_Clean_Data'!$A$2:$A$1360,0))</f>
        <v>0.64500000000000002</v>
      </c>
      <c r="G1362" s="10">
        <f>INDEX('2_Clean_Data'!$H$2:$H$1360,MATCH($A1362,'2_Clean_Data'!$A$2:$A$1360,0))</f>
        <v>44</v>
      </c>
      <c r="H1362" s="9" t="str">
        <f t="shared" si="85"/>
        <v>Low</v>
      </c>
      <c r="I1362" s="9" t="str">
        <f t="shared" si="86"/>
        <v>OK</v>
      </c>
      <c r="J1362" s="9" t="str">
        <f t="shared" si="87"/>
        <v>Standard</v>
      </c>
    </row>
    <row r="1363" spans="1:10" x14ac:dyDescent="0.3">
      <c r="A1363" s="10">
        <f>'2_Clean_Data'!A1360</f>
        <v>1359</v>
      </c>
      <c r="B1363" s="10">
        <f>INDEX('2_Clean_Data'!$M$2:$M$1360,MATCH($A1363,'2_Clean_Data'!$A$2:$A$1360,0))</f>
        <v>6</v>
      </c>
      <c r="C1363" s="9" t="str">
        <f t="shared" si="84"/>
        <v>Above Average</v>
      </c>
      <c r="D1363" s="11">
        <f>INDEX('2_Clean_Data'!$L$2:$L$1360,MATCH($A1363,'2_Clean_Data'!$A$2:$A$1360,0))</f>
        <v>11</v>
      </c>
      <c r="E1363" s="9" t="str">
        <f>IF(D1363&lt;'3_Summary_Tables'!$C$16,"Low",IF(D1363&lt;'3_Summary_Tables'!$C$17,"Medium","High"))</f>
        <v>Medium</v>
      </c>
      <c r="F1363" s="12">
        <f>INDEX('2_Clean_Data'!$C$2:$C$1360,MATCH($A1363,'2_Clean_Data'!$A$2:$A$1360,0))</f>
        <v>0.31</v>
      </c>
      <c r="G1363" s="10">
        <f>INDEX('2_Clean_Data'!$H$2:$H$1360,MATCH($A1363,'2_Clean_Data'!$A$2:$A$1360,0))</f>
        <v>42</v>
      </c>
      <c r="H1363" s="9" t="str">
        <f t="shared" si="85"/>
        <v>Low</v>
      </c>
      <c r="I1363" s="9" t="str">
        <f t="shared" si="86"/>
        <v>OK</v>
      </c>
      <c r="J1363" s="9" t="str">
        <f t="shared" si="87"/>
        <v>Solid</v>
      </c>
    </row>
  </sheetData>
  <autoFilter ref="A4:J1363" xr:uid="{00000000-0009-0000-0000-000005000000}"/>
  <conditionalFormatting sqref="D5:D1363">
    <cfRule type="dataBar" priority="7">
      <dataBar>
        <cfvo type="min"/>
        <cfvo type="max"/>
        <color rgb="FF638EC6"/>
      </dataBar>
      <extLst>
        <ext xmlns:x14="http://schemas.microsoft.com/office/spreadsheetml/2009/9/main" uri="{B025F937-C7B1-47D3-B67F-A62EFF666E3E}">
          <x14:id>{DD2E70C7-6F63-4761-9751-5D947EA99670}</x14:id>
        </ext>
      </extLst>
    </cfRule>
  </conditionalFormatting>
  <conditionalFormatting sqref="H5:H1363">
    <cfRule type="cellIs" dxfId="4" priority="4" operator="equal">
      <formula>"High"</formula>
    </cfRule>
    <cfRule type="cellIs" dxfId="3" priority="5" operator="equal">
      <formula>"Moderate"</formula>
    </cfRule>
  </conditionalFormatting>
  <conditionalFormatting sqref="I5:I1363">
    <cfRule type="cellIs" dxfId="2" priority="6" operator="equal">
      <formula>"Above limit"</formula>
    </cfRule>
  </conditionalFormatting>
  <conditionalFormatting sqref="J5:J1363">
    <cfRule type="cellIs" dxfId="1" priority="2" operator="equal">
      <formula>"Premium"</formula>
    </cfRule>
    <cfRule type="cellIs" dxfId="0" priority="3" operator="equal">
      <formula>"Poor"</formula>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DD2E70C7-6F63-4761-9751-5D947EA99670}">
            <x14:dataBar axisPosition="none">
              <x14:cfvo type="min"/>
              <x14:cfvo type="max"/>
              <x14:negativeFillColor rgb="FF638EC6"/>
            </x14:dataBar>
          </x14:cfRule>
          <xm:sqref>D5:D1363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1:M16"/>
  <sheetViews>
    <sheetView showGridLines="0" zoomScaleNormal="100" workbookViewId="0"/>
  </sheetViews>
  <sheetFormatPr defaultColWidth="8.6640625" defaultRowHeight="14.4" x14ac:dyDescent="0.3"/>
  <cols>
    <col min="1" max="1" width="24" customWidth="1"/>
    <col min="2" max="13" width="14" customWidth="1"/>
  </cols>
  <sheetData>
    <row r="1" spans="1:13" ht="21" x14ac:dyDescent="0.4">
      <c r="A1" s="15" t="s">
        <v>137</v>
      </c>
    </row>
    <row r="2" spans="1:13" x14ac:dyDescent="0.3">
      <c r="A2" s="16" t="s">
        <v>138</v>
      </c>
    </row>
    <row r="3" spans="1:13" ht="15.6" x14ac:dyDescent="0.3">
      <c r="A3" s="20" t="s">
        <v>139</v>
      </c>
    </row>
    <row r="4" spans="1:13" ht="42" customHeight="1" x14ac:dyDescent="0.3">
      <c r="B4" s="89" t="str">
        <f>'2_Clean_Data'!B1</f>
        <v>Fixed_Acidity</v>
      </c>
      <c r="C4" s="89" t="str">
        <f>'2_Clean_Data'!C1</f>
        <v>Volatile_Acidity</v>
      </c>
      <c r="D4" s="89" t="str">
        <f>'2_Clean_Data'!D1</f>
        <v>Citric_Acid</v>
      </c>
      <c r="E4" s="89" t="str">
        <f>'2_Clean_Data'!E1</f>
        <v>Residual_Sugar</v>
      </c>
      <c r="F4" s="89" t="str">
        <f>'2_Clean_Data'!F1</f>
        <v>Chlorides</v>
      </c>
      <c r="G4" s="89" t="str">
        <f>'2_Clean_Data'!G1</f>
        <v>Free_Sulfur_Dioxide</v>
      </c>
      <c r="H4" s="89" t="str">
        <f>'2_Clean_Data'!H1</f>
        <v>Total_Sulfur_Dioxide</v>
      </c>
      <c r="I4" s="89" t="str">
        <f>'2_Clean_Data'!I1</f>
        <v>Density</v>
      </c>
      <c r="J4" s="89" t="str">
        <f>'2_Clean_Data'!J1</f>
        <v>pH</v>
      </c>
      <c r="K4" s="89" t="str">
        <f>'2_Clean_Data'!K1</f>
        <v>Sulphates</v>
      </c>
      <c r="L4" s="89" t="str">
        <f>'2_Clean_Data'!L1</f>
        <v>Alcohol</v>
      </c>
      <c r="M4" s="89" t="str">
        <f>'2_Clean_Data'!M1</f>
        <v>Quality</v>
      </c>
    </row>
    <row r="5" spans="1:13" x14ac:dyDescent="0.3">
      <c r="A5" s="90" t="str">
        <f>'2_Clean_Data'!B1</f>
        <v>Fixed_Acidity</v>
      </c>
      <c r="B5" s="91">
        <f>CORREL(INDEX(rngData,0,1),INDEX(rngData,0,1))</f>
        <v>1</v>
      </c>
      <c r="C5" s="91">
        <f>CORREL(INDEX(rngData,0,1),INDEX(rngData,0,2))</f>
        <v>-0.25512446496111385</v>
      </c>
      <c r="D5" s="91">
        <f>CORREL(INDEX(rngData,0,1),INDEX(rngData,0,3))</f>
        <v>0.66743738453029244</v>
      </c>
      <c r="E5" s="91">
        <f>CORREL(INDEX(rngData,0,1),INDEX(rngData,0,4))</f>
        <v>0.11102546657569823</v>
      </c>
      <c r="F5" s="91">
        <f>CORREL(INDEX(rngData,0,1),INDEX(rngData,0,5))</f>
        <v>8.5886247071377056E-2</v>
      </c>
      <c r="G5" s="91">
        <f>CORREL(INDEX(rngData,0,1),INDEX(rngData,0,6))</f>
        <v>-0.14058001789915464</v>
      </c>
      <c r="H5" s="91">
        <f>CORREL(INDEX(rngData,0,1),INDEX(rngData,0,7))</f>
        <v>-0.10377679525816112</v>
      </c>
      <c r="I5" s="91">
        <f>CORREL(INDEX(rngData,0,1),INDEX(rngData,0,8))</f>
        <v>0.67019501665380787</v>
      </c>
      <c r="J5" s="91">
        <f>CORREL(INDEX(rngData,0,1),INDEX(rngData,0,9))</f>
        <v>-0.68668510559827711</v>
      </c>
      <c r="K5" s="91">
        <f>CORREL(INDEX(rngData,0,1),INDEX(rngData,0,10))</f>
        <v>0.1902694768601543</v>
      </c>
      <c r="L5" s="91">
        <f>CORREL(INDEX(rngData,0,1),INDEX(rngData,0,11))</f>
        <v>-6.1596149281019912E-2</v>
      </c>
      <c r="M5" s="91">
        <f>CORREL(INDEX(rngData,0,1),INDEX(rngData,0,12))</f>
        <v>0.11902366561349675</v>
      </c>
    </row>
    <row r="6" spans="1:13" x14ac:dyDescent="0.3">
      <c r="A6" s="90" t="str">
        <f>'2_Clean_Data'!C1</f>
        <v>Volatile_Acidity</v>
      </c>
      <c r="B6" s="91">
        <f>CORREL(INDEX(rngData,0,2),INDEX(rngData,0,1))</f>
        <v>-0.25512446496111385</v>
      </c>
      <c r="C6" s="91">
        <f>CORREL(INDEX(rngData,0,2),INDEX(rngData,0,2))</f>
        <v>1.0000000000000002</v>
      </c>
      <c r="D6" s="91">
        <f>CORREL(INDEX(rngData,0,2),INDEX(rngData,0,3))</f>
        <v>-0.55124804166421038</v>
      </c>
      <c r="E6" s="91">
        <f>CORREL(INDEX(rngData,0,2),INDEX(rngData,0,4))</f>
        <v>-2.4488891046561267E-3</v>
      </c>
      <c r="F6" s="91">
        <f>CORREL(INDEX(rngData,0,2),INDEX(rngData,0,5))</f>
        <v>5.5153670146704373E-2</v>
      </c>
      <c r="G6" s="91">
        <f>CORREL(INDEX(rngData,0,2),INDEX(rngData,0,6))</f>
        <v>-2.0944843192447823E-2</v>
      </c>
      <c r="H6" s="91">
        <f>CORREL(INDEX(rngData,0,2),INDEX(rngData,0,7))</f>
        <v>7.1701061053103893E-2</v>
      </c>
      <c r="I6" s="91">
        <f>CORREL(INDEX(rngData,0,2),INDEX(rngData,0,8))</f>
        <v>2.3942943727418356E-2</v>
      </c>
      <c r="J6" s="91">
        <f>CORREL(INDEX(rngData,0,2),INDEX(rngData,0,9))</f>
        <v>0.24711113166358534</v>
      </c>
      <c r="K6" s="91">
        <f>CORREL(INDEX(rngData,0,2),INDEX(rngData,0,10))</f>
        <v>-0.25694777065029845</v>
      </c>
      <c r="L6" s="91">
        <f>CORREL(INDEX(rngData,0,2),INDEX(rngData,0,11))</f>
        <v>-0.19781221737258642</v>
      </c>
      <c r="M6" s="91">
        <f>CORREL(INDEX(rngData,0,2),INDEX(rngData,0,12))</f>
        <v>-0.39521368900983761</v>
      </c>
    </row>
    <row r="7" spans="1:13" x14ac:dyDescent="0.3">
      <c r="A7" s="90" t="str">
        <f>'2_Clean_Data'!D1</f>
        <v>Citric_Acid</v>
      </c>
      <c r="B7" s="91">
        <f>CORREL(INDEX(rngData,0,3),INDEX(rngData,0,1))</f>
        <v>0.66743738453029244</v>
      </c>
      <c r="C7" s="91">
        <f>CORREL(INDEX(rngData,0,3),INDEX(rngData,0,2))</f>
        <v>-0.55124804166421038</v>
      </c>
      <c r="D7" s="91">
        <f>CORREL(INDEX(rngData,0,3),INDEX(rngData,0,3))</f>
        <v>1</v>
      </c>
      <c r="E7" s="91">
        <f>CORREL(INDEX(rngData,0,3),INDEX(rngData,0,4))</f>
        <v>0.14389178736659231</v>
      </c>
      <c r="F7" s="91">
        <f>CORREL(INDEX(rngData,0,3),INDEX(rngData,0,5))</f>
        <v>0.21019453388539308</v>
      </c>
      <c r="G7" s="91">
        <f>CORREL(INDEX(rngData,0,3),INDEX(rngData,0,6))</f>
        <v>-4.8004466475120362E-2</v>
      </c>
      <c r="H7" s="91">
        <f>CORREL(INDEX(rngData,0,3),INDEX(rngData,0,7))</f>
        <v>4.7357608598901424E-2</v>
      </c>
      <c r="I7" s="91">
        <f>CORREL(INDEX(rngData,0,3),INDEX(rngData,0,8))</f>
        <v>0.3579618886468231</v>
      </c>
      <c r="J7" s="91">
        <f>CORREL(INDEX(rngData,0,3),INDEX(rngData,0,9))</f>
        <v>-0.55030976450566327</v>
      </c>
      <c r="K7" s="91">
        <f>CORREL(INDEX(rngData,0,3),INDEX(rngData,0,10))</f>
        <v>0.32606233322756334</v>
      </c>
      <c r="L7" s="91">
        <f>CORREL(INDEX(rngData,0,3),INDEX(rngData,0,11))</f>
        <v>0.10510809321904378</v>
      </c>
      <c r="M7" s="91">
        <f>CORREL(INDEX(rngData,0,3),INDEX(rngData,0,12))</f>
        <v>0.22805745919929812</v>
      </c>
    </row>
    <row r="8" spans="1:13" x14ac:dyDescent="0.3">
      <c r="A8" s="90" t="str">
        <f>'2_Clean_Data'!E1</f>
        <v>Residual_Sugar</v>
      </c>
      <c r="B8" s="91">
        <f>CORREL(INDEX(rngData,0,4),INDEX(rngData,0,1))</f>
        <v>0.11102546657569823</v>
      </c>
      <c r="C8" s="91">
        <f>CORREL(INDEX(rngData,0,4),INDEX(rngData,0,2))</f>
        <v>-2.4488891046561267E-3</v>
      </c>
      <c r="D8" s="91">
        <f>CORREL(INDEX(rngData,0,4),INDEX(rngData,0,3))</f>
        <v>0.14389178736659231</v>
      </c>
      <c r="E8" s="91">
        <f>CORREL(INDEX(rngData,0,4),INDEX(rngData,0,4))</f>
        <v>0.99999999999999989</v>
      </c>
      <c r="F8" s="91">
        <f>CORREL(INDEX(rngData,0,4),INDEX(rngData,0,5))</f>
        <v>2.6656141384021961E-2</v>
      </c>
      <c r="G8" s="91">
        <f>CORREL(INDEX(rngData,0,4),INDEX(rngData,0,6))</f>
        <v>0.16052715297142875</v>
      </c>
      <c r="H8" s="91">
        <f>CORREL(INDEX(rngData,0,4),INDEX(rngData,0,7))</f>
        <v>0.20103849217186145</v>
      </c>
      <c r="I8" s="91">
        <f>CORREL(INDEX(rngData,0,4),INDEX(rngData,0,8))</f>
        <v>0.32452248354025265</v>
      </c>
      <c r="J8" s="91">
        <f>CORREL(INDEX(rngData,0,4),INDEX(rngData,0,9))</f>
        <v>-8.3143483708908603E-2</v>
      </c>
      <c r="K8" s="91">
        <f>CORREL(INDEX(rngData,0,4),INDEX(rngData,0,10))</f>
        <v>-1.1836572120230029E-2</v>
      </c>
      <c r="L8" s="91">
        <f>CORREL(INDEX(rngData,0,4),INDEX(rngData,0,11))</f>
        <v>6.3281082249932077E-2</v>
      </c>
      <c r="M8" s="91">
        <f>CORREL(INDEX(rngData,0,4),INDEX(rngData,0,12))</f>
        <v>1.3640470048445756E-2</v>
      </c>
    </row>
    <row r="9" spans="1:13" x14ac:dyDescent="0.3">
      <c r="A9" s="90" t="str">
        <f>'2_Clean_Data'!F1</f>
        <v>Chlorides</v>
      </c>
      <c r="B9" s="91">
        <f>CORREL(INDEX(rngData,0,5),INDEX(rngData,0,1))</f>
        <v>8.5886247071377056E-2</v>
      </c>
      <c r="C9" s="91">
        <f>CORREL(INDEX(rngData,0,5),INDEX(rngData,0,2))</f>
        <v>5.5153670146704373E-2</v>
      </c>
      <c r="D9" s="91">
        <f>CORREL(INDEX(rngData,0,5),INDEX(rngData,0,3))</f>
        <v>0.21019453388539308</v>
      </c>
      <c r="E9" s="91">
        <f>CORREL(INDEX(rngData,0,5),INDEX(rngData,0,4))</f>
        <v>2.6656141384021961E-2</v>
      </c>
      <c r="F9" s="91">
        <f>CORREL(INDEX(rngData,0,5),INDEX(rngData,0,5))</f>
        <v>1</v>
      </c>
      <c r="G9" s="91">
        <f>CORREL(INDEX(rngData,0,5),INDEX(rngData,0,6))</f>
        <v>7.486128052747494E-4</v>
      </c>
      <c r="H9" s="91">
        <f>CORREL(INDEX(rngData,0,5),INDEX(rngData,0,7))</f>
        <v>4.5773107826459686E-2</v>
      </c>
      <c r="I9" s="91">
        <f>CORREL(INDEX(rngData,0,5),INDEX(rngData,0,8))</f>
        <v>0.19359186350385615</v>
      </c>
      <c r="J9" s="91">
        <f>CORREL(INDEX(rngData,0,5),INDEX(rngData,0,9))</f>
        <v>-0.27089325674770365</v>
      </c>
      <c r="K9" s="91">
        <f>CORREL(INDEX(rngData,0,5),INDEX(rngData,0,10))</f>
        <v>0.39455721871129779</v>
      </c>
      <c r="L9" s="91">
        <f>CORREL(INDEX(rngData,0,5),INDEX(rngData,0,11))</f>
        <v>-0.22382366276965232</v>
      </c>
      <c r="M9" s="91">
        <f>CORREL(INDEX(rngData,0,5),INDEX(rngData,0,12))</f>
        <v>-0.1309884128664251</v>
      </c>
    </row>
    <row r="10" spans="1:13" x14ac:dyDescent="0.3">
      <c r="A10" s="90" t="str">
        <f>'2_Clean_Data'!G1</f>
        <v>Free_Sulfur_Dioxide</v>
      </c>
      <c r="B10" s="91">
        <f>CORREL(INDEX(rngData,0,6),INDEX(rngData,0,1))</f>
        <v>-0.14058001789915464</v>
      </c>
      <c r="C10" s="91">
        <f>CORREL(INDEX(rngData,0,6),INDEX(rngData,0,2))</f>
        <v>-2.0944843192447823E-2</v>
      </c>
      <c r="D10" s="91">
        <f>CORREL(INDEX(rngData,0,6),INDEX(rngData,0,3))</f>
        <v>-4.8004466475120362E-2</v>
      </c>
      <c r="E10" s="91">
        <f>CORREL(INDEX(rngData,0,6),INDEX(rngData,0,4))</f>
        <v>0.16052715297142875</v>
      </c>
      <c r="F10" s="91">
        <f>CORREL(INDEX(rngData,0,6),INDEX(rngData,0,5))</f>
        <v>7.486128052747494E-4</v>
      </c>
      <c r="G10" s="91">
        <f>CORREL(INDEX(rngData,0,6),INDEX(rngData,0,6))</f>
        <v>0.99999999999999989</v>
      </c>
      <c r="H10" s="91">
        <f>CORREL(INDEX(rngData,0,6),INDEX(rngData,0,7))</f>
        <v>0.66724622927801858</v>
      </c>
      <c r="I10" s="91">
        <f>CORREL(INDEX(rngData,0,6),INDEX(rngData,0,8))</f>
        <v>-1.8070581084935183E-2</v>
      </c>
      <c r="J10" s="91">
        <f>CORREL(INDEX(rngData,0,6),INDEX(rngData,0,9))</f>
        <v>5.6631324904547441E-2</v>
      </c>
      <c r="K10" s="91">
        <f>CORREL(INDEX(rngData,0,6),INDEX(rngData,0,10))</f>
        <v>5.4126389551342483E-2</v>
      </c>
      <c r="L10" s="91">
        <f>CORREL(INDEX(rngData,0,6),INDEX(rngData,0,11))</f>
        <v>-8.0124583829084856E-2</v>
      </c>
      <c r="M10" s="91">
        <f>CORREL(INDEX(rngData,0,6),INDEX(rngData,0,12))</f>
        <v>-5.0462766805025185E-2</v>
      </c>
    </row>
    <row r="11" spans="1:13" x14ac:dyDescent="0.3">
      <c r="A11" s="90" t="str">
        <f>'2_Clean_Data'!H1</f>
        <v>Total_Sulfur_Dioxide</v>
      </c>
      <c r="B11" s="91">
        <f>CORREL(INDEX(rngData,0,7),INDEX(rngData,0,1))</f>
        <v>-0.10377679525816112</v>
      </c>
      <c r="C11" s="91">
        <f>CORREL(INDEX(rngData,0,7),INDEX(rngData,0,2))</f>
        <v>7.1701061053103893E-2</v>
      </c>
      <c r="D11" s="91">
        <f>CORREL(INDEX(rngData,0,7),INDEX(rngData,0,3))</f>
        <v>4.7357608598901424E-2</v>
      </c>
      <c r="E11" s="91">
        <f>CORREL(INDEX(rngData,0,7),INDEX(rngData,0,4))</f>
        <v>0.20103849217186145</v>
      </c>
      <c r="F11" s="91">
        <f>CORREL(INDEX(rngData,0,7),INDEX(rngData,0,5))</f>
        <v>4.5773107826459686E-2</v>
      </c>
      <c r="G11" s="91">
        <f>CORREL(INDEX(rngData,0,7),INDEX(rngData,0,6))</f>
        <v>0.66724622927801858</v>
      </c>
      <c r="H11" s="91">
        <f>CORREL(INDEX(rngData,0,7),INDEX(rngData,0,7))</f>
        <v>1.0000000000000002</v>
      </c>
      <c r="I11" s="91">
        <f>CORREL(INDEX(rngData,0,7),INDEX(rngData,0,8))</f>
        <v>7.8141465352673925E-2</v>
      </c>
      <c r="J11" s="91">
        <f>CORREL(INDEX(rngData,0,7),INDEX(rngData,0,9))</f>
        <v>-7.9256991495955567E-2</v>
      </c>
      <c r="K11" s="91">
        <f>CORREL(INDEX(rngData,0,7),INDEX(rngData,0,10))</f>
        <v>3.5290857138880014E-2</v>
      </c>
      <c r="L11" s="91">
        <f>CORREL(INDEX(rngData,0,7),INDEX(rngData,0,11))</f>
        <v>-0.21782895607671374</v>
      </c>
      <c r="M11" s="91">
        <f>CORREL(INDEX(rngData,0,7),INDEX(rngData,0,12))</f>
        <v>-0.17785536568029403</v>
      </c>
    </row>
    <row r="12" spans="1:13" x14ac:dyDescent="0.3">
      <c r="A12" s="90" t="str">
        <f>'2_Clean_Data'!I1</f>
        <v>Density</v>
      </c>
      <c r="B12" s="91">
        <f>CORREL(INDEX(rngData,0,8),INDEX(rngData,0,1))</f>
        <v>0.67019501665380787</v>
      </c>
      <c r="C12" s="91">
        <f>CORREL(INDEX(rngData,0,8),INDEX(rngData,0,2))</f>
        <v>2.3942943727418356E-2</v>
      </c>
      <c r="D12" s="91">
        <f>CORREL(INDEX(rngData,0,8),INDEX(rngData,0,3))</f>
        <v>0.3579618886468231</v>
      </c>
      <c r="E12" s="91">
        <f>CORREL(INDEX(rngData,0,8),INDEX(rngData,0,4))</f>
        <v>0.32452248354025265</v>
      </c>
      <c r="F12" s="91">
        <f>CORREL(INDEX(rngData,0,8),INDEX(rngData,0,5))</f>
        <v>0.19359186350385615</v>
      </c>
      <c r="G12" s="91">
        <f>CORREL(INDEX(rngData,0,8),INDEX(rngData,0,6))</f>
        <v>-1.8070581084935183E-2</v>
      </c>
      <c r="H12" s="91">
        <f>CORREL(INDEX(rngData,0,8),INDEX(rngData,0,7))</f>
        <v>7.8141465352673925E-2</v>
      </c>
      <c r="I12" s="91">
        <f>CORREL(INDEX(rngData,0,8),INDEX(rngData,0,8))</f>
        <v>1</v>
      </c>
      <c r="J12" s="91">
        <f>CORREL(INDEX(rngData,0,8),INDEX(rngData,0,9))</f>
        <v>-0.35561735917543769</v>
      </c>
      <c r="K12" s="91">
        <f>CORREL(INDEX(rngData,0,8),INDEX(rngData,0,10))</f>
        <v>0.14603563553789967</v>
      </c>
      <c r="L12" s="91">
        <f>CORREL(INDEX(rngData,0,8),INDEX(rngData,0,11))</f>
        <v>-0.50499493080810587</v>
      </c>
      <c r="M12" s="91">
        <f>CORREL(INDEX(rngData,0,8),INDEX(rngData,0,12))</f>
        <v>-0.18425165011902278</v>
      </c>
    </row>
    <row r="13" spans="1:13" x14ac:dyDescent="0.3">
      <c r="A13" s="90" t="str">
        <f>'2_Clean_Data'!J1</f>
        <v>pH</v>
      </c>
      <c r="B13" s="91">
        <f>CORREL(INDEX(rngData,0,9),INDEX(rngData,0,1))</f>
        <v>-0.68668510559827711</v>
      </c>
      <c r="C13" s="91">
        <f>CORREL(INDEX(rngData,0,9),INDEX(rngData,0,2))</f>
        <v>0.24711113166358534</v>
      </c>
      <c r="D13" s="91">
        <f>CORREL(INDEX(rngData,0,9),INDEX(rngData,0,3))</f>
        <v>-0.55030976450566327</v>
      </c>
      <c r="E13" s="91">
        <f>CORREL(INDEX(rngData,0,9),INDEX(rngData,0,4))</f>
        <v>-8.3143483708908603E-2</v>
      </c>
      <c r="F13" s="91">
        <f>CORREL(INDEX(rngData,0,9),INDEX(rngData,0,5))</f>
        <v>-0.27089325674770365</v>
      </c>
      <c r="G13" s="91">
        <f>CORREL(INDEX(rngData,0,9),INDEX(rngData,0,6))</f>
        <v>5.6631324904547441E-2</v>
      </c>
      <c r="H13" s="91">
        <f>CORREL(INDEX(rngData,0,9),INDEX(rngData,0,7))</f>
        <v>-7.9256991495955567E-2</v>
      </c>
      <c r="I13" s="91">
        <f>CORREL(INDEX(rngData,0,9),INDEX(rngData,0,8))</f>
        <v>-0.35561735917543769</v>
      </c>
      <c r="J13" s="91">
        <f>CORREL(INDEX(rngData,0,9),INDEX(rngData,0,9))</f>
        <v>1</v>
      </c>
      <c r="K13" s="91">
        <f>CORREL(INDEX(rngData,0,9),INDEX(rngData,0,10))</f>
        <v>-0.21413381955065658</v>
      </c>
      <c r="L13" s="91">
        <f>CORREL(INDEX(rngData,0,9),INDEX(rngData,0,11))</f>
        <v>0.21341751403896925</v>
      </c>
      <c r="M13" s="91">
        <f>CORREL(INDEX(rngData,0,9),INDEX(rngData,0,12))</f>
        <v>-5.5245114958671404E-2</v>
      </c>
    </row>
    <row r="14" spans="1:13" x14ac:dyDescent="0.3">
      <c r="A14" s="90" t="str">
        <f>'2_Clean_Data'!K1</f>
        <v>Sulphates</v>
      </c>
      <c r="B14" s="91">
        <f>CORREL(INDEX(rngData,0,10),INDEX(rngData,0,1))</f>
        <v>0.1902694768601543</v>
      </c>
      <c r="C14" s="91">
        <f>CORREL(INDEX(rngData,0,10),INDEX(rngData,0,2))</f>
        <v>-0.25694777065029845</v>
      </c>
      <c r="D14" s="91">
        <f>CORREL(INDEX(rngData,0,10),INDEX(rngData,0,3))</f>
        <v>0.32606233322756334</v>
      </c>
      <c r="E14" s="91">
        <f>CORREL(INDEX(rngData,0,10),INDEX(rngData,0,4))</f>
        <v>-1.1836572120230029E-2</v>
      </c>
      <c r="F14" s="91">
        <f>CORREL(INDEX(rngData,0,10),INDEX(rngData,0,5))</f>
        <v>0.39455721871129779</v>
      </c>
      <c r="G14" s="91">
        <f>CORREL(INDEX(rngData,0,10),INDEX(rngData,0,6))</f>
        <v>5.4126389551342483E-2</v>
      </c>
      <c r="H14" s="91">
        <f>CORREL(INDEX(rngData,0,10),INDEX(rngData,0,7))</f>
        <v>3.5290857138880014E-2</v>
      </c>
      <c r="I14" s="91">
        <f>CORREL(INDEX(rngData,0,10),INDEX(rngData,0,8))</f>
        <v>0.14603563553789967</v>
      </c>
      <c r="J14" s="91">
        <f>CORREL(INDEX(rngData,0,10),INDEX(rngData,0,9))</f>
        <v>-0.21413381955065658</v>
      </c>
      <c r="K14" s="91">
        <f>CORREL(INDEX(rngData,0,10),INDEX(rngData,0,10))</f>
        <v>1</v>
      </c>
      <c r="L14" s="91">
        <f>CORREL(INDEX(rngData,0,10),INDEX(rngData,0,11))</f>
        <v>9.1620928477136848E-2</v>
      </c>
      <c r="M14" s="91">
        <f>CORREL(INDEX(rngData,0,10),INDEX(rngData,0,12))</f>
        <v>0.24883513557788622</v>
      </c>
    </row>
    <row r="15" spans="1:13" x14ac:dyDescent="0.3">
      <c r="A15" s="90" t="str">
        <f>'2_Clean_Data'!L1</f>
        <v>Alcohol</v>
      </c>
      <c r="B15" s="91">
        <f>CORREL(INDEX(rngData,0,11),INDEX(rngData,0,1))</f>
        <v>-6.1596149281019912E-2</v>
      </c>
      <c r="C15" s="91">
        <f>CORREL(INDEX(rngData,0,11),INDEX(rngData,0,2))</f>
        <v>-0.19781221737258642</v>
      </c>
      <c r="D15" s="91">
        <f>CORREL(INDEX(rngData,0,11),INDEX(rngData,0,3))</f>
        <v>0.10510809321904378</v>
      </c>
      <c r="E15" s="91">
        <f>CORREL(INDEX(rngData,0,11),INDEX(rngData,0,4))</f>
        <v>6.3281082249932077E-2</v>
      </c>
      <c r="F15" s="91">
        <f>CORREL(INDEX(rngData,0,11),INDEX(rngData,0,5))</f>
        <v>-0.22382366276965232</v>
      </c>
      <c r="G15" s="91">
        <f>CORREL(INDEX(rngData,0,11),INDEX(rngData,0,6))</f>
        <v>-8.0124583829084856E-2</v>
      </c>
      <c r="H15" s="91">
        <f>CORREL(INDEX(rngData,0,11),INDEX(rngData,0,7))</f>
        <v>-0.21782895607671374</v>
      </c>
      <c r="I15" s="91">
        <f>CORREL(INDEX(rngData,0,11),INDEX(rngData,0,8))</f>
        <v>-0.50499493080810587</v>
      </c>
      <c r="J15" s="91">
        <f>CORREL(INDEX(rngData,0,11),INDEX(rngData,0,9))</f>
        <v>0.21341751403896925</v>
      </c>
      <c r="K15" s="91">
        <f>CORREL(INDEX(rngData,0,11),INDEX(rngData,0,10))</f>
        <v>9.1620928477136848E-2</v>
      </c>
      <c r="L15" s="91">
        <f>CORREL(INDEX(rngData,0,11),INDEX(rngData,0,11))</f>
        <v>1</v>
      </c>
      <c r="M15" s="91">
        <f>CORREL(INDEX(rngData,0,11),INDEX(rngData,0,12))</f>
        <v>0.48034289800198637</v>
      </c>
    </row>
    <row r="16" spans="1:13" x14ac:dyDescent="0.3">
      <c r="A16" s="90" t="str">
        <f>'2_Clean_Data'!M1</f>
        <v>Quality</v>
      </c>
      <c r="B16" s="91">
        <f>CORREL(INDEX(rngData,0,12),INDEX(rngData,0,1))</f>
        <v>0.11902366561349675</v>
      </c>
      <c r="C16" s="91">
        <f>CORREL(INDEX(rngData,0,12),INDEX(rngData,0,2))</f>
        <v>-0.39521368900983761</v>
      </c>
      <c r="D16" s="91">
        <f>CORREL(INDEX(rngData,0,12),INDEX(rngData,0,3))</f>
        <v>0.22805745919929812</v>
      </c>
      <c r="E16" s="91">
        <f>CORREL(INDEX(rngData,0,12),INDEX(rngData,0,4))</f>
        <v>1.3640470048445756E-2</v>
      </c>
      <c r="F16" s="91">
        <f>CORREL(INDEX(rngData,0,12),INDEX(rngData,0,5))</f>
        <v>-0.1309884128664251</v>
      </c>
      <c r="G16" s="91">
        <f>CORREL(INDEX(rngData,0,12),INDEX(rngData,0,6))</f>
        <v>-5.0462766805025185E-2</v>
      </c>
      <c r="H16" s="91">
        <f>CORREL(INDEX(rngData,0,12),INDEX(rngData,0,7))</f>
        <v>-0.17785536568029403</v>
      </c>
      <c r="I16" s="91">
        <f>CORREL(INDEX(rngData,0,12),INDEX(rngData,0,8))</f>
        <v>-0.18425165011902278</v>
      </c>
      <c r="J16" s="91">
        <f>CORREL(INDEX(rngData,0,12),INDEX(rngData,0,9))</f>
        <v>-5.5245114958671404E-2</v>
      </c>
      <c r="K16" s="91">
        <f>CORREL(INDEX(rngData,0,12),INDEX(rngData,0,10))</f>
        <v>0.24883513557788622</v>
      </c>
      <c r="L16" s="91">
        <f>CORREL(INDEX(rngData,0,12),INDEX(rngData,0,11))</f>
        <v>0.48034289800198637</v>
      </c>
      <c r="M16" s="91">
        <f>CORREL(INDEX(rngData,0,12),INDEX(rngData,0,12))</f>
        <v>1</v>
      </c>
    </row>
  </sheetData>
  <conditionalFormatting sqref="B5:M16">
    <cfRule type="colorScale" priority="2">
      <colorScale>
        <cfvo type="num" val="-1"/>
        <cfvo type="num" val="0"/>
        <cfvo type="num" val="1"/>
        <color rgb="FF5B9BD5"/>
        <color rgb="FFFFFFFF"/>
        <color rgb="FFE06666"/>
      </colorScale>
    </cfRule>
  </conditionalFormatting>
  <pageMargins left="0.75" right="0.75" top="1" bottom="1" header="0.511811023622047" footer="0.511811023622047"/>
  <pageSetup orientation="landscape"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B1:Q40"/>
  <sheetViews>
    <sheetView showGridLines="0" zoomScaleNormal="100" workbookViewId="0">
      <selection activeCell="C3" sqref="C3"/>
    </sheetView>
  </sheetViews>
  <sheetFormatPr defaultColWidth="8.6640625" defaultRowHeight="14.4" x14ac:dyDescent="0.3"/>
  <cols>
    <col min="1" max="1" width="3" customWidth="1"/>
    <col min="2" max="2" width="22" customWidth="1"/>
    <col min="3" max="13" width="13" customWidth="1"/>
    <col min="16" max="16" width="16" customWidth="1"/>
  </cols>
  <sheetData>
    <row r="1" spans="2:17" ht="24.6" x14ac:dyDescent="0.4">
      <c r="B1" s="92" t="s">
        <v>140</v>
      </c>
    </row>
    <row r="2" spans="2:17" x14ac:dyDescent="0.3">
      <c r="B2" s="16" t="s">
        <v>141</v>
      </c>
      <c r="P2" s="93" t="s">
        <v>142</v>
      </c>
    </row>
    <row r="3" spans="2:17" x14ac:dyDescent="0.3">
      <c r="B3" s="94" t="s">
        <v>143</v>
      </c>
      <c r="C3" s="95">
        <v>5</v>
      </c>
      <c r="E3" s="94" t="s">
        <v>144</v>
      </c>
      <c r="F3" s="95" t="s">
        <v>70</v>
      </c>
      <c r="P3" s="96" t="s">
        <v>145</v>
      </c>
      <c r="Q3" s="96">
        <f>IF($C$3="All",0,VALUE($C$3))</f>
        <v>5</v>
      </c>
    </row>
    <row r="4" spans="2:17" x14ac:dyDescent="0.3">
      <c r="P4" s="96" t="s">
        <v>146</v>
      </c>
      <c r="Q4" s="96">
        <f>IF($C$3="All",99,VALUE($C$3))</f>
        <v>5</v>
      </c>
    </row>
    <row r="5" spans="2:17" x14ac:dyDescent="0.3">
      <c r="B5" s="7" t="s">
        <v>147</v>
      </c>
      <c r="C5" s="7"/>
      <c r="D5" s="7" t="s">
        <v>148</v>
      </c>
      <c r="E5" s="7"/>
      <c r="F5" s="7" t="s">
        <v>149</v>
      </c>
      <c r="G5" s="7"/>
      <c r="H5" s="7" t="s">
        <v>150</v>
      </c>
      <c r="I5" s="7"/>
      <c r="J5" s="7" t="s">
        <v>151</v>
      </c>
      <c r="K5" s="7"/>
      <c r="L5" s="7" t="s">
        <v>152</v>
      </c>
      <c r="M5" s="7"/>
      <c r="P5" s="96" t="s">
        <v>153</v>
      </c>
      <c r="Q5" s="96">
        <f>IF($F$3="All",0,INDEX('3_Summary_Tables'!$B$16:$B$18,MATCH($F$3,'3_Summary_Tables'!$A$16:$A$18,0)))</f>
        <v>0</v>
      </c>
    </row>
    <row r="6" spans="2:17" x14ac:dyDescent="0.3">
      <c r="B6" s="6">
        <f>COUNTIFS(rngQuality,"&gt;="&amp;selQmin,rngQuality,"&lt;="&amp;selQmax,rngAlcohol,"&gt;="&amp;selAlo,rngAlcohol,"&lt;"&amp;selAhi)</f>
        <v>380</v>
      </c>
      <c r="C6" s="6"/>
      <c r="D6" s="5">
        <f>IFERROR(B6/COUNT(rngQuality),0)</f>
        <v>0.27961736571008095</v>
      </c>
      <c r="E6" s="5"/>
      <c r="F6" s="4">
        <f>IFERROR(AVERAGEIFS(rngQuality,rngQuality,"&gt;="&amp;selQmin,rngQuality,"&lt;="&amp;selQmax,rngAlcohol,"&gt;="&amp;selAlo,rngAlcohol,"&lt;"&amp;selAhi),"n/a")</f>
        <v>5</v>
      </c>
      <c r="G6" s="4"/>
      <c r="H6" s="4">
        <f>IFERROR(AVERAGEIFS(rngAlcohol,rngQuality,"&gt;="&amp;selQmin,rngQuality,"&lt;="&amp;selQmax,rngAlcohol,"&gt;="&amp;selAlo,rngAlcohol,"&lt;"&amp;selAhi),"n/a")</f>
        <v>9.4643421052631673</v>
      </c>
      <c r="I6" s="4"/>
      <c r="J6" s="4">
        <f>IFERROR(AVERAGEIFS(rngPH,rngQuality,"&gt;="&amp;selQmin,rngQuality,"&lt;="&amp;selQmax,rngAlcohol,"&gt;="&amp;selAlo,rngAlcohol,"&lt;"&amp;selAhi),"n/a")</f>
        <v>3.2807894736842118</v>
      </c>
      <c r="K6" s="4"/>
      <c r="L6" s="3">
        <f>IFERROR(AVERAGEIFS(rngVolatile,rngQuality,"&gt;="&amp;selQmin,rngQuality,"&lt;="&amp;selQmax,rngAlcohol,"&gt;="&amp;selAlo,rngAlcohol,"&lt;"&amp;selAhi),"n/a")</f>
        <v>0.58156578947368442</v>
      </c>
      <c r="M6" s="3"/>
      <c r="P6" s="96" t="s">
        <v>154</v>
      </c>
      <c r="Q6" s="96">
        <f>IF($F$3="All",100,INDEX('3_Summary_Tables'!$C$16:$C$18,MATCH($F$3,'3_Summary_Tables'!$A$16:$A$18,0)))</f>
        <v>10</v>
      </c>
    </row>
    <row r="7" spans="2:17" x14ac:dyDescent="0.3">
      <c r="B7" s="6"/>
      <c r="C7" s="6"/>
      <c r="D7" s="5"/>
      <c r="E7" s="5"/>
      <c r="F7" s="4"/>
      <c r="G7" s="4"/>
      <c r="H7" s="4"/>
      <c r="I7" s="4"/>
      <c r="J7" s="4"/>
      <c r="K7" s="4"/>
      <c r="L7" s="3"/>
      <c r="M7" s="3"/>
    </row>
    <row r="9" spans="2:17" ht="15.6" x14ac:dyDescent="0.3">
      <c r="B9" s="20" t="s">
        <v>155</v>
      </c>
    </row>
    <row r="10" spans="2:17" x14ac:dyDescent="0.3">
      <c r="B10" s="8" t="s">
        <v>23</v>
      </c>
      <c r="C10" s="8" t="s">
        <v>156</v>
      </c>
      <c r="D10" s="8" t="s">
        <v>157</v>
      </c>
    </row>
    <row r="11" spans="2:17" x14ac:dyDescent="0.3">
      <c r="B11" s="87">
        <v>3</v>
      </c>
      <c r="C11" s="97">
        <f>COUNTIFS(rngQuality,$B11,rngAlcohol,"&gt;="&amp;selAlo,rngAlcohol,"&lt;"&amp;selAhi)</f>
        <v>6</v>
      </c>
      <c r="D11" s="19">
        <f t="shared" ref="D11:D16" si="0">IFERROR(C11/$C$17,0)</f>
        <v>1.0416666666666666E-2</v>
      </c>
    </row>
    <row r="12" spans="2:17" x14ac:dyDescent="0.3">
      <c r="B12" s="87">
        <v>4</v>
      </c>
      <c r="C12" s="97">
        <f>COUNTIFS(rngQuality,$B12,rngAlcohol,"&gt;="&amp;selAlo,rngAlcohol,"&lt;"&amp;selAhi)</f>
        <v>24</v>
      </c>
      <c r="D12" s="19">
        <f t="shared" si="0"/>
        <v>4.1666666666666664E-2</v>
      </c>
    </row>
    <row r="13" spans="2:17" x14ac:dyDescent="0.3">
      <c r="B13" s="87">
        <v>5</v>
      </c>
      <c r="C13" s="97">
        <f>COUNTIFS(rngQuality,$B13,rngAlcohol,"&gt;="&amp;selAlo,rngAlcohol,"&lt;"&amp;selAhi)</f>
        <v>380</v>
      </c>
      <c r="D13" s="19">
        <f t="shared" si="0"/>
        <v>0.65972222222222221</v>
      </c>
    </row>
    <row r="14" spans="2:17" x14ac:dyDescent="0.3">
      <c r="B14" s="87">
        <v>6</v>
      </c>
      <c r="C14" s="97">
        <f>COUNTIFS(rngQuality,$B14,rngAlcohol,"&gt;="&amp;selAlo,rngAlcohol,"&lt;"&amp;selAhi)</f>
        <v>156</v>
      </c>
      <c r="D14" s="19">
        <f t="shared" si="0"/>
        <v>0.27083333333333331</v>
      </c>
    </row>
    <row r="15" spans="2:17" x14ac:dyDescent="0.3">
      <c r="B15" s="87">
        <v>7</v>
      </c>
      <c r="C15" s="97">
        <f>COUNTIFS(rngQuality,$B15,rngAlcohol,"&gt;="&amp;selAlo,rngAlcohol,"&lt;"&amp;selAhi)</f>
        <v>9</v>
      </c>
      <c r="D15" s="19">
        <f t="shared" si="0"/>
        <v>1.5625E-2</v>
      </c>
    </row>
    <row r="16" spans="2:17" x14ac:dyDescent="0.3">
      <c r="B16" s="87">
        <v>8</v>
      </c>
      <c r="C16" s="97">
        <f>COUNTIFS(rngQuality,$B16,rngAlcohol,"&gt;="&amp;selAlo,rngAlcohol,"&lt;"&amp;selAhi)</f>
        <v>1</v>
      </c>
      <c r="D16" s="19">
        <f t="shared" si="0"/>
        <v>1.736111111111111E-3</v>
      </c>
    </row>
    <row r="17" spans="2:5" x14ac:dyDescent="0.3">
      <c r="B17" s="98" t="s">
        <v>102</v>
      </c>
      <c r="C17" s="99">
        <f>SUM(C11:C16)</f>
        <v>576</v>
      </c>
      <c r="D17" s="74">
        <f>SUM(D11:D16)</f>
        <v>1</v>
      </c>
    </row>
    <row r="19" spans="2:5" ht="15.6" x14ac:dyDescent="0.3">
      <c r="B19" s="20" t="s">
        <v>158</v>
      </c>
    </row>
    <row r="20" spans="2:5" x14ac:dyDescent="0.3">
      <c r="B20" s="8" t="s">
        <v>144</v>
      </c>
      <c r="C20" s="8" t="s">
        <v>156</v>
      </c>
      <c r="D20" s="8" t="s">
        <v>157</v>
      </c>
    </row>
    <row r="21" spans="2:5" x14ac:dyDescent="0.3">
      <c r="B21" s="71" t="s">
        <v>70</v>
      </c>
      <c r="C21" s="97">
        <f>COUNTIFS(rngQuality,"&gt;="&amp;selQmin,rngQuality,"&lt;="&amp;selQmax,rngAlcohol,"&gt;="&amp;'3_Summary_Tables'!$B$16,rngAlcohol,"&lt;"&amp;'3_Summary_Tables'!$C$16)</f>
        <v>380</v>
      </c>
      <c r="D21" s="19">
        <f>IFERROR(C21/$C$24,0)</f>
        <v>0.65857885615251299</v>
      </c>
    </row>
    <row r="22" spans="2:5" x14ac:dyDescent="0.3">
      <c r="B22" s="71" t="s">
        <v>71</v>
      </c>
      <c r="C22" s="97">
        <f>COUNTIFS(rngQuality,"&gt;="&amp;selQmin,rngQuality,"&lt;="&amp;selQmax,rngAlcohol,"&gt;="&amp;'3_Summary_Tables'!$B$17,rngAlcohol,"&lt;"&amp;'3_Summary_Tables'!$C$17)</f>
        <v>177</v>
      </c>
      <c r="D22" s="19">
        <f>IFERROR(C22/$C$24,0)</f>
        <v>0.30675909878682844</v>
      </c>
    </row>
    <row r="23" spans="2:5" x14ac:dyDescent="0.3">
      <c r="B23" s="71" t="s">
        <v>69</v>
      </c>
      <c r="C23" s="97">
        <f>COUNTIFS(rngQuality,"&gt;="&amp;selQmin,rngQuality,"&lt;="&amp;selQmax,rngAlcohol,"&gt;="&amp;'3_Summary_Tables'!$B$18,rngAlcohol,"&lt;"&amp;'3_Summary_Tables'!$C$18)</f>
        <v>20</v>
      </c>
      <c r="D23" s="19">
        <f>IFERROR(C23/$C$24,0)</f>
        <v>3.4662045060658578E-2</v>
      </c>
    </row>
    <row r="24" spans="2:5" x14ac:dyDescent="0.3">
      <c r="B24" s="72" t="s">
        <v>102</v>
      </c>
      <c r="C24" s="99">
        <f>SUM(C21:C23)</f>
        <v>577</v>
      </c>
      <c r="D24" s="74">
        <f>SUM(D21:D23)</f>
        <v>1</v>
      </c>
    </row>
    <row r="26" spans="2:5" ht="15.6" x14ac:dyDescent="0.3">
      <c r="B26" s="20" t="s">
        <v>159</v>
      </c>
    </row>
    <row r="27" spans="2:5" x14ac:dyDescent="0.3">
      <c r="B27" s="8" t="s">
        <v>105</v>
      </c>
      <c r="C27" s="8" t="s">
        <v>160</v>
      </c>
      <c r="D27" s="8" t="s">
        <v>161</v>
      </c>
      <c r="E27" s="8" t="s">
        <v>162</v>
      </c>
    </row>
    <row r="28" spans="2:5" x14ac:dyDescent="0.3">
      <c r="B28" s="17" t="str">
        <f>'2_Clean_Data'!B1</f>
        <v>Fixed_Acidity</v>
      </c>
      <c r="C28" s="22">
        <f>IFERROR(AVERAGEIFS(INDEX(rngData,0,MATCH($B28,'2_Clean_Data'!$B$1:$M$1,0)),rngQuality,"&gt;="&amp;selQmin,rngQuality,"&lt;="&amp;selQmax,rngAlcohol,"&gt;="&amp;selAlo,rngAlcohol,"&lt;"&amp;selAhi),"n/a")</f>
        <v>8.1389473684210483</v>
      </c>
      <c r="D28" s="22">
        <f>AVERAGE(INDEX(rngData,0,MATCH($B28,'2_Clean_Data'!$B$1:$M$1,0)))</f>
        <v>8.3105960264900869</v>
      </c>
      <c r="E28" s="100">
        <f t="shared" ref="E28:E38" si="1">IFERROR(C28/D28-1,"n/a")</f>
        <v>-2.0654193456390746E-2</v>
      </c>
    </row>
    <row r="29" spans="2:5" x14ac:dyDescent="0.3">
      <c r="B29" s="17" t="str">
        <f>'2_Clean_Data'!C1</f>
        <v>Volatile_Acidity</v>
      </c>
      <c r="C29" s="22">
        <f>IFERROR(AVERAGEIFS(INDEX(rngData,0,MATCH($B29,'2_Clean_Data'!$B$1:$M$1,0)),rngQuality,"&gt;="&amp;selQmin,rngQuality,"&lt;="&amp;selQmax,rngAlcohol,"&gt;="&amp;selAlo,rngAlcohol,"&lt;"&amp;selAhi),"n/a")</f>
        <v>0.58156578947368442</v>
      </c>
      <c r="D29" s="22">
        <f>AVERAGE(INDEX(rngData,0,MATCH($B29,'2_Clean_Data'!$B$1:$M$1,0)))</f>
        <v>0.52947755702722576</v>
      </c>
      <c r="E29" s="100">
        <f t="shared" si="1"/>
        <v>9.8376657811353185E-2</v>
      </c>
    </row>
    <row r="30" spans="2:5" x14ac:dyDescent="0.3">
      <c r="B30" s="17" t="str">
        <f>'2_Clean_Data'!D1</f>
        <v>Citric_Acid</v>
      </c>
      <c r="C30" s="22">
        <f>IFERROR(AVERAGEIFS(INDEX(rngData,0,MATCH($B30,'2_Clean_Data'!$B$1:$M$1,0)),rngQuality,"&gt;="&amp;selQmin,rngQuality,"&lt;="&amp;selQmax,rngAlcohol,"&gt;="&amp;selAlo,rngAlcohol,"&lt;"&amp;selAhi),"n/a")</f>
        <v>0.24142105263157923</v>
      </c>
      <c r="D30" s="22">
        <f>AVERAGE(INDEX(rngData,0,MATCH($B30,'2_Clean_Data'!$B$1:$M$1,0)))</f>
        <v>0.27233259749815975</v>
      </c>
      <c r="E30" s="100">
        <f t="shared" si="1"/>
        <v>-0.11350659139065933</v>
      </c>
    </row>
    <row r="31" spans="2:5" x14ac:dyDescent="0.3">
      <c r="B31" s="17" t="str">
        <f>'2_Clean_Data'!E1</f>
        <v>Residual_Sugar</v>
      </c>
      <c r="C31" s="22">
        <f>IFERROR(AVERAGEIFS(INDEX(rngData,0,MATCH($B31,'2_Clean_Data'!$B$1:$M$1,0)),rngQuality,"&gt;="&amp;selQmin,rngQuality,"&lt;="&amp;selQmax,rngAlcohol,"&gt;="&amp;selAlo,rngAlcohol,"&lt;"&amp;selAhi),"n/a")</f>
        <v>2.4838157894736832</v>
      </c>
      <c r="D31" s="22">
        <f>AVERAGE(INDEX(rngData,0,MATCH($B31,'2_Clean_Data'!$B$1:$M$1,0)))</f>
        <v>2.5233995584988969</v>
      </c>
      <c r="E31" s="100">
        <f t="shared" si="1"/>
        <v>-1.5686683027225756E-2</v>
      </c>
    </row>
    <row r="32" spans="2:5" x14ac:dyDescent="0.3">
      <c r="B32" s="17" t="str">
        <f>'2_Clean_Data'!F1</f>
        <v>Chlorides</v>
      </c>
      <c r="C32" s="22">
        <f>IFERROR(AVERAGEIFS(INDEX(rngData,0,MATCH($B32,'2_Clean_Data'!$B$1:$M$1,0)),rngQuality,"&gt;="&amp;selQmin,rngQuality,"&lt;="&amp;selQmax,rngAlcohol,"&gt;="&amp;selAlo,rngAlcohol,"&lt;"&amp;selAhi),"n/a")</f>
        <v>9.9371052631578971E-2</v>
      </c>
      <c r="D32" s="22">
        <f>AVERAGE(INDEX(rngData,0,MATCH($B32,'2_Clean_Data'!$B$1:$M$1,0)))</f>
        <v>8.8123620309050396E-2</v>
      </c>
      <c r="E32" s="100">
        <f t="shared" si="1"/>
        <v>0.12763243592448559</v>
      </c>
    </row>
    <row r="33" spans="2:5" x14ac:dyDescent="0.3">
      <c r="B33" s="17" t="str">
        <f>'2_Clean_Data'!G1</f>
        <v>Free_Sulfur_Dioxide</v>
      </c>
      <c r="C33" s="22">
        <f>IFERROR(AVERAGEIFS(INDEX(rngData,0,MATCH($B33,'2_Clean_Data'!$B$1:$M$1,0)),rngQuality,"&gt;="&amp;selQmin,rngQuality,"&lt;="&amp;selQmax,rngAlcohol,"&gt;="&amp;selAlo,rngAlcohol,"&lt;"&amp;selAhi),"n/a")</f>
        <v>18.352631578947367</v>
      </c>
      <c r="D33" s="22">
        <f>AVERAGE(INDEX(rngData,0,MATCH($B33,'2_Clean_Data'!$B$1:$M$1,0)))</f>
        <v>15.893303899926417</v>
      </c>
      <c r="E33" s="100">
        <f t="shared" si="1"/>
        <v>0.15473986368764625</v>
      </c>
    </row>
    <row r="34" spans="2:5" x14ac:dyDescent="0.3">
      <c r="B34" s="17" t="str">
        <f>'2_Clean_Data'!H1</f>
        <v>Total_Sulfur_Dioxide</v>
      </c>
      <c r="C34" s="22">
        <f>IFERROR(AVERAGEIFS(INDEX(rngData,0,MATCH($B34,'2_Clean_Data'!$B$1:$M$1,0)),rngQuality,"&gt;="&amp;selQmin,rngQuality,"&lt;="&amp;selQmax,rngAlcohol,"&gt;="&amp;selAlo,rngAlcohol,"&lt;"&amp;selAhi),"n/a")</f>
        <v>64.540789473684214</v>
      </c>
      <c r="D34" s="22">
        <f>AVERAGE(INDEX(rngData,0,MATCH($B34,'2_Clean_Data'!$B$1:$M$1,0)))</f>
        <v>46.825974981604119</v>
      </c>
      <c r="E34" s="100">
        <f t="shared" si="1"/>
        <v>0.37831170624935129</v>
      </c>
    </row>
    <row r="35" spans="2:5" x14ac:dyDescent="0.3">
      <c r="B35" s="17" t="str">
        <f>'2_Clean_Data'!I1</f>
        <v>Density</v>
      </c>
      <c r="C35" s="22">
        <f>IFERROR(AVERAGEIFS(INDEX(rngData,0,MATCH($B35,'2_Clean_Data'!$B$1:$M$1,0)),rngQuality,"&gt;="&amp;selQmin,rngQuality,"&lt;="&amp;selQmax,rngAlcohol,"&gt;="&amp;selAlo,rngAlcohol,"&lt;"&amp;selAhi),"n/a")</f>
        <v>0.99732876315789476</v>
      </c>
      <c r="D35" s="22">
        <f>AVERAGE(INDEX(rngData,0,MATCH($B35,'2_Clean_Data'!$B$1:$M$1,0)))</f>
        <v>0.99670894775570262</v>
      </c>
      <c r="E35" s="100">
        <f t="shared" si="1"/>
        <v>6.2186198246516611E-4</v>
      </c>
    </row>
    <row r="36" spans="2:5" x14ac:dyDescent="0.3">
      <c r="B36" s="17" t="str">
        <f>'2_Clean_Data'!J1</f>
        <v>pH</v>
      </c>
      <c r="C36" s="22">
        <f>IFERROR(AVERAGEIFS(INDEX(rngData,0,MATCH($B36,'2_Clean_Data'!$B$1:$M$1,0)),rngQuality,"&gt;="&amp;selQmin,rngQuality,"&lt;="&amp;selQmax,rngAlcohol,"&gt;="&amp;selAlo,rngAlcohol,"&lt;"&amp;selAhi),"n/a")</f>
        <v>3.2807894736842118</v>
      </c>
      <c r="D36" s="22">
        <f>AVERAGE(INDEX(rngData,0,MATCH($B36,'2_Clean_Data'!$B$1:$M$1,0)))</f>
        <v>3.3097866077998561</v>
      </c>
      <c r="E36" s="100">
        <f t="shared" si="1"/>
        <v>-8.7610282932771844E-3</v>
      </c>
    </row>
    <row r="37" spans="2:5" x14ac:dyDescent="0.3">
      <c r="B37" s="17" t="str">
        <f>'2_Clean_Data'!K1</f>
        <v>Sulphates</v>
      </c>
      <c r="C37" s="22">
        <f>IFERROR(AVERAGEIFS(INDEX(rngData,0,MATCH($B37,'2_Clean_Data'!$B$1:$M$1,0)),rngQuality,"&gt;="&amp;selQmin,rngQuality,"&lt;="&amp;selQmax,rngAlcohol,"&gt;="&amp;selAlo,rngAlcohol,"&lt;"&amp;selAhi),"n/a")</f>
        <v>0.62686842105263163</v>
      </c>
      <c r="D37" s="22">
        <f>AVERAGE(INDEX(rngData,0,MATCH($B37,'2_Clean_Data'!$B$1:$M$1,0)))</f>
        <v>0.65870493009565934</v>
      </c>
      <c r="E37" s="100">
        <f t="shared" si="1"/>
        <v>-4.8331973222675462E-2</v>
      </c>
    </row>
    <row r="38" spans="2:5" x14ac:dyDescent="0.3">
      <c r="B38" s="17" t="str">
        <f>'2_Clean_Data'!L1</f>
        <v>Alcohol</v>
      </c>
      <c r="C38" s="22">
        <f>IFERROR(AVERAGEIFS(INDEX(rngData,0,MATCH($B38,'2_Clean_Data'!$B$1:$M$1,0)),rngQuality,"&gt;="&amp;selQmin,rngQuality,"&lt;="&amp;selQmax,rngAlcohol,"&gt;="&amp;selAlo,rngAlcohol,"&lt;"&amp;selAhi),"n/a")</f>
        <v>9.4643421052631673</v>
      </c>
      <c r="D38" s="22">
        <f>AVERAGE(INDEX(rngData,0,MATCH($B38,'2_Clean_Data'!$B$1:$M$1,0)))</f>
        <v>10.432315428010774</v>
      </c>
      <c r="E38" s="100">
        <f t="shared" si="1"/>
        <v>-9.2786048258145848E-2</v>
      </c>
    </row>
    <row r="40" spans="2:5" x14ac:dyDescent="0.3">
      <c r="B40" s="82"/>
    </row>
  </sheetData>
  <mergeCells count="12">
    <mergeCell ref="L5:M5"/>
    <mergeCell ref="B6:C7"/>
    <mergeCell ref="D6:E7"/>
    <mergeCell ref="F6:G7"/>
    <mergeCell ref="H6:I7"/>
    <mergeCell ref="J6:K7"/>
    <mergeCell ref="L6:M7"/>
    <mergeCell ref="B5:C5"/>
    <mergeCell ref="D5:E5"/>
    <mergeCell ref="F5:G5"/>
    <mergeCell ref="H5:I5"/>
    <mergeCell ref="J5:K5"/>
  </mergeCells>
  <conditionalFormatting sqref="C11:C16">
    <cfRule type="dataBar" priority="3">
      <dataBar>
        <cfvo type="num" val="0"/>
        <cfvo type="max"/>
        <color rgb="FFC0504D"/>
      </dataBar>
      <extLst>
        <ext xmlns:x14="http://schemas.microsoft.com/office/spreadsheetml/2009/9/main" uri="{B025F937-C7B1-47D3-B67F-A62EFF666E3E}">
          <x14:id>{4758F27A-6A86-4C7A-B8D8-B4595F454076}</x14:id>
        </ext>
      </extLst>
    </cfRule>
  </conditionalFormatting>
  <conditionalFormatting sqref="C21:C23">
    <cfRule type="dataBar" priority="4">
      <dataBar>
        <cfvo type="num" val="0"/>
        <cfvo type="max"/>
        <color rgb="FFED7D31"/>
      </dataBar>
      <extLst>
        <ext xmlns:x14="http://schemas.microsoft.com/office/spreadsheetml/2009/9/main" uri="{B025F937-C7B1-47D3-B67F-A62EFF666E3E}">
          <x14:id>{303A35B8-98F2-4C31-876D-AA78227A3413}</x14:id>
        </ext>
      </extLst>
    </cfRule>
  </conditionalFormatting>
  <conditionalFormatting sqref="E28:E38">
    <cfRule type="colorScale" priority="2">
      <colorScale>
        <cfvo type="num" val="-0.3"/>
        <cfvo type="num" val="0"/>
        <cfvo type="num" val="0.3"/>
        <color rgb="FF9FC5E8"/>
        <color rgb="FFFFFFFF"/>
        <color rgb="FFF4B183"/>
      </colorScale>
    </cfRule>
  </conditionalFormatting>
  <dataValidations count="2">
    <dataValidation type="list" sqref="C3" xr:uid="{00000000-0002-0000-0700-000000000000}">
      <formula1>"All,3,4,5,6,7,8"</formula1>
      <formula2>0</formula2>
    </dataValidation>
    <dataValidation type="list" sqref="F3" xr:uid="{00000000-0002-0000-0700-000001000000}">
      <formula1>"All,Low,Medium,High"</formula1>
      <formula2>0</formula2>
    </dataValidation>
  </dataValidations>
  <pageMargins left="0.75" right="0.75" top="1" bottom="1" header="0.511811023622047" footer="0.511811023622047"/>
  <pageSetup orientation="landscape"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4758F27A-6A86-4C7A-B8D8-B4595F454076}">
            <x14:dataBar axisPosition="none">
              <x14:cfvo type="num">
                <xm:f>0</xm:f>
              </x14:cfvo>
              <x14:cfvo type="max"/>
              <x14:negativeFillColor rgb="FFC0504D"/>
            </x14:dataBar>
          </x14:cfRule>
          <xm:sqref>C11:C16</xm:sqref>
        </x14:conditionalFormatting>
        <x14:conditionalFormatting xmlns:xm="http://schemas.microsoft.com/office/excel/2006/main">
          <x14:cfRule type="dataBar" id="{303A35B8-98F2-4C31-876D-AA78227A3413}">
            <x14:dataBar axisPosition="none">
              <x14:cfvo type="num">
                <xm:f>0</xm:f>
              </x14:cfvo>
              <x14:cfvo type="max"/>
              <x14:negativeFillColor rgb="FFED7D31"/>
            </x14:dataBar>
          </x14:cfRule>
          <xm:sqref>C21:C23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pageSetUpPr fitToPage="1"/>
  </sheetPr>
  <dimension ref="A1:C112"/>
  <sheetViews>
    <sheetView showGridLines="0" tabSelected="1" zoomScaleNormal="100" workbookViewId="0">
      <pane ySplit="3" topLeftCell="A4" activePane="bottomLeft" state="frozen"/>
      <selection pane="bottomLeft"/>
    </sheetView>
  </sheetViews>
  <sheetFormatPr defaultColWidth="8.6640625" defaultRowHeight="14.4" x14ac:dyDescent="0.3"/>
  <cols>
    <col min="1" max="1" width="30" customWidth="1"/>
    <col min="2" max="2" width="24" customWidth="1"/>
    <col min="3" max="3" width="100" customWidth="1"/>
  </cols>
  <sheetData>
    <row r="1" spans="1:3" ht="21" x14ac:dyDescent="0.4">
      <c r="A1" s="15" t="s">
        <v>163</v>
      </c>
    </row>
    <row r="2" spans="1:3" x14ac:dyDescent="0.3">
      <c r="A2" s="16" t="s">
        <v>164</v>
      </c>
    </row>
    <row r="4" spans="1:3" ht="15.6" x14ac:dyDescent="0.3">
      <c r="A4" s="20" t="s">
        <v>165</v>
      </c>
    </row>
    <row r="5" spans="1:3" ht="15" customHeight="1" x14ac:dyDescent="0.3">
      <c r="A5" s="8" t="s">
        <v>166</v>
      </c>
      <c r="B5" s="2" t="s">
        <v>167</v>
      </c>
      <c r="C5" s="2"/>
    </row>
    <row r="6" spans="1:3" ht="30" customHeight="1" x14ac:dyDescent="0.3">
      <c r="A6" s="101" t="s">
        <v>168</v>
      </c>
      <c r="B6" s="1" t="s">
        <v>169</v>
      </c>
      <c r="C6" s="1"/>
    </row>
    <row r="7" spans="1:3" ht="15.75" customHeight="1" x14ac:dyDescent="0.3">
      <c r="A7" s="101" t="s">
        <v>170</v>
      </c>
      <c r="B7" s="1" t="s">
        <v>171</v>
      </c>
      <c r="C7" s="1"/>
    </row>
    <row r="8" spans="1:3" ht="43.5" customHeight="1" x14ac:dyDescent="0.3">
      <c r="A8" s="101" t="s">
        <v>172</v>
      </c>
      <c r="B8" s="1" t="s">
        <v>173</v>
      </c>
      <c r="C8" s="1"/>
    </row>
    <row r="9" spans="1:3" ht="30" customHeight="1" x14ac:dyDescent="0.3">
      <c r="A9" s="101" t="s">
        <v>174</v>
      </c>
      <c r="B9" s="1" t="s">
        <v>175</v>
      </c>
      <c r="C9" s="1"/>
    </row>
    <row r="11" spans="1:3" ht="15.6" x14ac:dyDescent="0.3">
      <c r="A11" s="20" t="s">
        <v>176</v>
      </c>
    </row>
    <row r="12" spans="1:3" ht="15" customHeight="1" x14ac:dyDescent="0.3">
      <c r="A12" s="8" t="s">
        <v>166</v>
      </c>
      <c r="B12" s="2" t="s">
        <v>167</v>
      </c>
      <c r="C12" s="2"/>
    </row>
    <row r="13" spans="1:3" ht="15.75" customHeight="1" x14ac:dyDescent="0.3">
      <c r="A13" s="101" t="s">
        <v>177</v>
      </c>
      <c r="B13" s="1" t="s">
        <v>178</v>
      </c>
      <c r="C13" s="1"/>
    </row>
    <row r="14" spans="1:3" ht="30" customHeight="1" x14ac:dyDescent="0.3">
      <c r="A14" s="101" t="s">
        <v>179</v>
      </c>
      <c r="B14" s="1" t="s">
        <v>180</v>
      </c>
      <c r="C14" s="1"/>
    </row>
    <row r="15" spans="1:3" ht="15.75" customHeight="1" x14ac:dyDescent="0.3">
      <c r="A15" s="101" t="s">
        <v>181</v>
      </c>
      <c r="B15" s="1" t="s">
        <v>182</v>
      </c>
      <c r="C15" s="1"/>
    </row>
    <row r="17" spans="1:3" ht="15.6" x14ac:dyDescent="0.3">
      <c r="A17" s="20" t="s">
        <v>183</v>
      </c>
    </row>
    <row r="18" spans="1:3" x14ac:dyDescent="0.3">
      <c r="A18" s="8" t="s">
        <v>44</v>
      </c>
      <c r="B18" s="8" t="s">
        <v>184</v>
      </c>
      <c r="C18" s="8" t="s">
        <v>185</v>
      </c>
    </row>
    <row r="19" spans="1:3" ht="15.75" customHeight="1" x14ac:dyDescent="0.3">
      <c r="A19" s="101" t="s">
        <v>13</v>
      </c>
      <c r="B19" s="101" t="s">
        <v>186</v>
      </c>
      <c r="C19" s="101" t="s">
        <v>187</v>
      </c>
    </row>
    <row r="20" spans="1:3" ht="15.75" customHeight="1" x14ac:dyDescent="0.3">
      <c r="A20" s="101" t="s">
        <v>14</v>
      </c>
      <c r="B20" s="101" t="s">
        <v>186</v>
      </c>
      <c r="C20" s="101" t="s">
        <v>188</v>
      </c>
    </row>
    <row r="21" spans="1:3" ht="15.75" customHeight="1" x14ac:dyDescent="0.3">
      <c r="A21" s="101" t="s">
        <v>15</v>
      </c>
      <c r="B21" s="101" t="s">
        <v>186</v>
      </c>
      <c r="C21" s="101" t="s">
        <v>189</v>
      </c>
    </row>
    <row r="22" spans="1:3" ht="15.75" customHeight="1" x14ac:dyDescent="0.3">
      <c r="A22" s="101" t="s">
        <v>16</v>
      </c>
      <c r="B22" s="101" t="s">
        <v>186</v>
      </c>
      <c r="C22" s="101" t="s">
        <v>190</v>
      </c>
    </row>
    <row r="23" spans="1:3" ht="15.75" customHeight="1" x14ac:dyDescent="0.3">
      <c r="A23" s="101" t="s">
        <v>17</v>
      </c>
      <c r="B23" s="101" t="s">
        <v>186</v>
      </c>
      <c r="C23" s="101" t="s">
        <v>191</v>
      </c>
    </row>
    <row r="24" spans="1:3" ht="15.75" customHeight="1" x14ac:dyDescent="0.3">
      <c r="A24" s="101" t="s">
        <v>18</v>
      </c>
      <c r="B24" s="101" t="s">
        <v>192</v>
      </c>
      <c r="C24" s="101" t="s">
        <v>193</v>
      </c>
    </row>
    <row r="25" spans="1:3" ht="15.75" customHeight="1" x14ac:dyDescent="0.3">
      <c r="A25" s="101" t="s">
        <v>19</v>
      </c>
      <c r="B25" s="101" t="s">
        <v>192</v>
      </c>
      <c r="C25" s="101" t="s">
        <v>194</v>
      </c>
    </row>
    <row r="26" spans="1:3" ht="15.75" customHeight="1" x14ac:dyDescent="0.3">
      <c r="A26" s="101" t="s">
        <v>20</v>
      </c>
      <c r="B26" s="101" t="s">
        <v>195</v>
      </c>
      <c r="C26" s="101" t="s">
        <v>196</v>
      </c>
    </row>
    <row r="27" spans="1:3" ht="15.75" customHeight="1" x14ac:dyDescent="0.3">
      <c r="A27" s="101" t="s">
        <v>8</v>
      </c>
      <c r="B27" s="101" t="s">
        <v>197</v>
      </c>
      <c r="C27" s="101" t="s">
        <v>198</v>
      </c>
    </row>
    <row r="28" spans="1:3" ht="15.75" customHeight="1" x14ac:dyDescent="0.3">
      <c r="A28" s="101" t="s">
        <v>21</v>
      </c>
      <c r="B28" s="101" t="s">
        <v>186</v>
      </c>
      <c r="C28" s="101" t="s">
        <v>199</v>
      </c>
    </row>
    <row r="29" spans="1:3" ht="15.75" customHeight="1" x14ac:dyDescent="0.3">
      <c r="A29" s="101" t="s">
        <v>22</v>
      </c>
      <c r="B29" s="101" t="s">
        <v>200</v>
      </c>
      <c r="C29" s="101" t="s">
        <v>201</v>
      </c>
    </row>
    <row r="30" spans="1:3" ht="15.75" customHeight="1" x14ac:dyDescent="0.3">
      <c r="A30" s="101" t="s">
        <v>23</v>
      </c>
      <c r="B30" s="101" t="s">
        <v>202</v>
      </c>
      <c r="C30" s="101" t="s">
        <v>203</v>
      </c>
    </row>
    <row r="32" spans="1:3" ht="15.6" x14ac:dyDescent="0.3">
      <c r="A32" s="20" t="s">
        <v>204</v>
      </c>
    </row>
    <row r="33" spans="1:3" x14ac:dyDescent="0.3">
      <c r="A33" s="8" t="s">
        <v>205</v>
      </c>
      <c r="B33" s="8" t="s">
        <v>206</v>
      </c>
      <c r="C33" s="8" t="s">
        <v>168</v>
      </c>
    </row>
    <row r="34" spans="1:3" ht="30" customHeight="1" x14ac:dyDescent="0.3">
      <c r="A34" s="101" t="s">
        <v>207</v>
      </c>
      <c r="B34" s="101" t="s">
        <v>208</v>
      </c>
      <c r="C34" s="101" t="s">
        <v>209</v>
      </c>
    </row>
    <row r="35" spans="1:3" ht="30" customHeight="1" x14ac:dyDescent="0.3">
      <c r="A35" s="101" t="s">
        <v>210</v>
      </c>
      <c r="B35" s="101" t="s">
        <v>211</v>
      </c>
      <c r="C35" s="101" t="s">
        <v>212</v>
      </c>
    </row>
    <row r="36" spans="1:3" ht="30" customHeight="1" x14ac:dyDescent="0.3">
      <c r="A36" s="101" t="s">
        <v>213</v>
      </c>
      <c r="B36" s="101" t="s">
        <v>211</v>
      </c>
      <c r="C36" s="101" t="s">
        <v>214</v>
      </c>
    </row>
    <row r="37" spans="1:3" ht="15.75" customHeight="1" x14ac:dyDescent="0.3">
      <c r="A37" s="101" t="s">
        <v>215</v>
      </c>
      <c r="B37" s="101" t="s">
        <v>216</v>
      </c>
      <c r="C37" s="101" t="s">
        <v>217</v>
      </c>
    </row>
    <row r="38" spans="1:3" ht="30" customHeight="1" x14ac:dyDescent="0.3">
      <c r="A38" s="101" t="s">
        <v>218</v>
      </c>
      <c r="B38" s="101" t="s">
        <v>216</v>
      </c>
      <c r="C38" s="101" t="s">
        <v>219</v>
      </c>
    </row>
    <row r="39" spans="1:3" ht="30" customHeight="1" x14ac:dyDescent="0.3">
      <c r="A39" s="101" t="s">
        <v>220</v>
      </c>
      <c r="B39" s="101" t="s">
        <v>221</v>
      </c>
      <c r="C39" s="101" t="s">
        <v>222</v>
      </c>
    </row>
    <row r="40" spans="1:3" ht="15.75" customHeight="1" x14ac:dyDescent="0.3">
      <c r="A40" s="101" t="s">
        <v>223</v>
      </c>
      <c r="B40" s="101" t="s">
        <v>224</v>
      </c>
      <c r="C40" s="101" t="s">
        <v>225</v>
      </c>
    </row>
    <row r="41" spans="1:3" ht="15.75" customHeight="1" x14ac:dyDescent="0.3">
      <c r="A41" s="101" t="s">
        <v>226</v>
      </c>
      <c r="B41" s="101" t="s">
        <v>227</v>
      </c>
      <c r="C41" s="101" t="s">
        <v>228</v>
      </c>
    </row>
    <row r="42" spans="1:3" ht="15.75" customHeight="1" x14ac:dyDescent="0.3">
      <c r="A42" s="101" t="s">
        <v>229</v>
      </c>
      <c r="B42" s="101" t="s">
        <v>230</v>
      </c>
      <c r="C42" s="101" t="s">
        <v>231</v>
      </c>
    </row>
    <row r="44" spans="1:3" ht="15.6" x14ac:dyDescent="0.3">
      <c r="A44" s="20" t="s">
        <v>232</v>
      </c>
    </row>
    <row r="45" spans="1:3" ht="15" customHeight="1" x14ac:dyDescent="0.3">
      <c r="A45" s="8" t="s">
        <v>233</v>
      </c>
      <c r="B45" s="2" t="s">
        <v>234</v>
      </c>
      <c r="C45" s="2"/>
    </row>
    <row r="46" spans="1:3" ht="30" customHeight="1" x14ac:dyDescent="0.3">
      <c r="A46" s="101" t="s">
        <v>235</v>
      </c>
      <c r="B46" s="1" t="s">
        <v>236</v>
      </c>
      <c r="C46" s="1"/>
    </row>
    <row r="47" spans="1:3" ht="15.75" customHeight="1" x14ac:dyDescent="0.3">
      <c r="A47" s="101" t="s">
        <v>237</v>
      </c>
      <c r="B47" s="1" t="s">
        <v>238</v>
      </c>
      <c r="C47" s="1"/>
    </row>
    <row r="48" spans="1:3" ht="30" customHeight="1" x14ac:dyDescent="0.3">
      <c r="A48" s="101" t="s">
        <v>239</v>
      </c>
      <c r="B48" s="1" t="s">
        <v>240</v>
      </c>
      <c r="C48" s="1"/>
    </row>
    <row r="49" spans="1:3" ht="30" customHeight="1" x14ac:dyDescent="0.3">
      <c r="A49" s="101" t="s">
        <v>241</v>
      </c>
      <c r="B49" s="1" t="s">
        <v>242</v>
      </c>
      <c r="C49" s="1"/>
    </row>
    <row r="50" spans="1:3" ht="43.5" customHeight="1" x14ac:dyDescent="0.3">
      <c r="A50" s="101" t="s">
        <v>243</v>
      </c>
      <c r="B50" s="1" t="s">
        <v>244</v>
      </c>
      <c r="C50" s="1"/>
    </row>
    <row r="51" spans="1:3" ht="30" customHeight="1" x14ac:dyDescent="0.3">
      <c r="A51" s="101" t="s">
        <v>245</v>
      </c>
      <c r="B51" s="1" t="s">
        <v>246</v>
      </c>
      <c r="C51" s="1"/>
    </row>
    <row r="52" spans="1:3" ht="30" customHeight="1" x14ac:dyDescent="0.3">
      <c r="A52" s="101" t="s">
        <v>247</v>
      </c>
      <c r="B52" s="1" t="s">
        <v>248</v>
      </c>
      <c r="C52" s="1"/>
    </row>
    <row r="54" spans="1:3" ht="15.6" x14ac:dyDescent="0.3">
      <c r="A54" s="20" t="s">
        <v>249</v>
      </c>
    </row>
    <row r="55" spans="1:3" ht="15" customHeight="1" x14ac:dyDescent="0.3">
      <c r="A55" s="8" t="s">
        <v>166</v>
      </c>
      <c r="B55" s="2" t="s">
        <v>167</v>
      </c>
      <c r="C55" s="2"/>
    </row>
    <row r="56" spans="1:3" ht="30" customHeight="1" x14ac:dyDescent="0.3">
      <c r="A56" s="101" t="s">
        <v>250</v>
      </c>
      <c r="B56" s="1" t="s">
        <v>251</v>
      </c>
      <c r="C56" s="1"/>
    </row>
    <row r="57" spans="1:3" ht="30" customHeight="1" x14ac:dyDescent="0.3">
      <c r="A57" s="101" t="s">
        <v>252</v>
      </c>
      <c r="B57" s="1" t="s">
        <v>253</v>
      </c>
      <c r="C57" s="1"/>
    </row>
    <row r="58" spans="1:3" ht="30" customHeight="1" x14ac:dyDescent="0.3">
      <c r="A58" s="101" t="s">
        <v>254</v>
      </c>
      <c r="B58" s="1" t="s">
        <v>255</v>
      </c>
      <c r="C58" s="1"/>
    </row>
    <row r="59" spans="1:3" ht="30" customHeight="1" x14ac:dyDescent="0.3">
      <c r="A59" s="101" t="s">
        <v>256</v>
      </c>
      <c r="B59" s="1" t="s">
        <v>257</v>
      </c>
      <c r="C59" s="1"/>
    </row>
    <row r="60" spans="1:3" ht="30" customHeight="1" x14ac:dyDescent="0.3">
      <c r="A60" s="101" t="s">
        <v>258</v>
      </c>
      <c r="B60" s="1" t="s">
        <v>259</v>
      </c>
      <c r="C60" s="1"/>
    </row>
    <row r="61" spans="1:3" ht="43.5" customHeight="1" x14ac:dyDescent="0.3">
      <c r="A61" s="101" t="s">
        <v>218</v>
      </c>
      <c r="B61" s="1" t="s">
        <v>260</v>
      </c>
      <c r="C61" s="1"/>
    </row>
    <row r="63" spans="1:3" ht="15.6" x14ac:dyDescent="0.3">
      <c r="A63" s="20" t="s">
        <v>261</v>
      </c>
    </row>
    <row r="64" spans="1:3" x14ac:dyDescent="0.3">
      <c r="A64" s="8" t="s">
        <v>262</v>
      </c>
      <c r="B64" s="8" t="s">
        <v>263</v>
      </c>
      <c r="C64" s="8" t="s">
        <v>264</v>
      </c>
    </row>
    <row r="65" spans="1:3" ht="30" customHeight="1" x14ac:dyDescent="0.3">
      <c r="A65" s="101" t="s">
        <v>23</v>
      </c>
      <c r="B65" s="101" t="s">
        <v>133</v>
      </c>
      <c r="C65" s="101" t="s">
        <v>265</v>
      </c>
    </row>
    <row r="66" spans="1:3" ht="30" customHeight="1" x14ac:dyDescent="0.3">
      <c r="A66" s="101" t="s">
        <v>81</v>
      </c>
      <c r="B66" s="101" t="s">
        <v>131</v>
      </c>
      <c r="C66" s="101" t="s">
        <v>266</v>
      </c>
    </row>
    <row r="67" spans="1:3" ht="15.75" customHeight="1" x14ac:dyDescent="0.3">
      <c r="A67" s="101" t="s">
        <v>22</v>
      </c>
      <c r="B67" s="101" t="s">
        <v>133</v>
      </c>
      <c r="C67" s="101" t="s">
        <v>267</v>
      </c>
    </row>
    <row r="68" spans="1:3" ht="30" customHeight="1" x14ac:dyDescent="0.3">
      <c r="A68" s="101" t="s">
        <v>68</v>
      </c>
      <c r="B68" s="101" t="s">
        <v>268</v>
      </c>
      <c r="C68" s="101" t="s">
        <v>269</v>
      </c>
    </row>
    <row r="69" spans="1:3" ht="15.75" customHeight="1" x14ac:dyDescent="0.3">
      <c r="A69" s="101" t="s">
        <v>270</v>
      </c>
      <c r="B69" s="101" t="s">
        <v>133</v>
      </c>
      <c r="C69" s="101" t="s">
        <v>271</v>
      </c>
    </row>
    <row r="70" spans="1:3" ht="15.75" customHeight="1" x14ac:dyDescent="0.3">
      <c r="A70" s="101" t="s">
        <v>116</v>
      </c>
      <c r="B70" s="101" t="s">
        <v>268</v>
      </c>
      <c r="C70" s="101" t="s">
        <v>272</v>
      </c>
    </row>
    <row r="71" spans="1:3" ht="15.75" customHeight="1" x14ac:dyDescent="0.3">
      <c r="A71" s="101" t="s">
        <v>80</v>
      </c>
      <c r="B71" s="101" t="s">
        <v>273</v>
      </c>
      <c r="C71" s="101" t="s">
        <v>274</v>
      </c>
    </row>
    <row r="72" spans="1:3" ht="30" customHeight="1" x14ac:dyDescent="0.3">
      <c r="A72" s="101" t="s">
        <v>73</v>
      </c>
      <c r="B72" s="101" t="s">
        <v>275</v>
      </c>
      <c r="C72" s="101" t="s">
        <v>276</v>
      </c>
    </row>
    <row r="73" spans="1:3" ht="30" customHeight="1" x14ac:dyDescent="0.3">
      <c r="A73" s="101" t="s">
        <v>277</v>
      </c>
      <c r="B73" s="101" t="s">
        <v>278</v>
      </c>
      <c r="C73" s="101" t="s">
        <v>279</v>
      </c>
    </row>
    <row r="74" spans="1:3" ht="30" customHeight="1" x14ac:dyDescent="0.3">
      <c r="A74" s="101" t="s">
        <v>126</v>
      </c>
      <c r="B74" s="101" t="s">
        <v>280</v>
      </c>
      <c r="C74" s="101" t="s">
        <v>281</v>
      </c>
    </row>
    <row r="75" spans="1:3" ht="15.75" customHeight="1" x14ac:dyDescent="0.3">
      <c r="A75" s="101" t="s">
        <v>282</v>
      </c>
      <c r="B75" s="101" t="s">
        <v>283</v>
      </c>
      <c r="C75" s="101" t="s">
        <v>284</v>
      </c>
    </row>
    <row r="77" spans="1:3" ht="15.6" x14ac:dyDescent="0.3">
      <c r="A77" s="20" t="s">
        <v>285</v>
      </c>
    </row>
    <row r="78" spans="1:3" ht="15" customHeight="1" x14ac:dyDescent="0.3">
      <c r="A78" s="8" t="s">
        <v>286</v>
      </c>
      <c r="B78" s="2" t="s">
        <v>287</v>
      </c>
      <c r="C78" s="2"/>
    </row>
    <row r="79" spans="1:3" ht="30" customHeight="1" x14ac:dyDescent="0.3">
      <c r="A79" s="101" t="s">
        <v>288</v>
      </c>
      <c r="B79" s="1" t="s">
        <v>289</v>
      </c>
      <c r="C79" s="1"/>
    </row>
    <row r="80" spans="1:3" ht="15.75" customHeight="1" x14ac:dyDescent="0.3">
      <c r="A80" s="101" t="s">
        <v>290</v>
      </c>
      <c r="B80" s="1" t="s">
        <v>291</v>
      </c>
      <c r="C80" s="1"/>
    </row>
    <row r="81" spans="1:3" ht="30" customHeight="1" x14ac:dyDescent="0.3">
      <c r="A81" s="101" t="s">
        <v>292</v>
      </c>
      <c r="B81" s="1" t="s">
        <v>293</v>
      </c>
      <c r="C81" s="1"/>
    </row>
    <row r="82" spans="1:3" ht="15.75" customHeight="1" x14ac:dyDescent="0.3">
      <c r="A82" s="101" t="s">
        <v>294</v>
      </c>
      <c r="B82" s="1" t="s">
        <v>295</v>
      </c>
      <c r="C82" s="1"/>
    </row>
    <row r="83" spans="1:3" ht="15.75" customHeight="1" x14ac:dyDescent="0.3">
      <c r="A83" s="101" t="s">
        <v>296</v>
      </c>
      <c r="B83" s="1" t="s">
        <v>297</v>
      </c>
      <c r="C83" s="1"/>
    </row>
    <row r="84" spans="1:3" ht="30" customHeight="1" x14ac:dyDescent="0.3">
      <c r="A84" s="101" t="s">
        <v>298</v>
      </c>
      <c r="B84" s="1" t="s">
        <v>299</v>
      </c>
      <c r="C84" s="1"/>
    </row>
    <row r="86" spans="1:3" ht="15.6" x14ac:dyDescent="0.3">
      <c r="A86" s="20" t="s">
        <v>300</v>
      </c>
    </row>
    <row r="87" spans="1:3" ht="15" customHeight="1" x14ac:dyDescent="0.3">
      <c r="A87" s="8" t="s">
        <v>301</v>
      </c>
      <c r="B87" s="2" t="s">
        <v>302</v>
      </c>
      <c r="C87" s="2"/>
    </row>
    <row r="88" spans="1:3" ht="15.75" customHeight="1" x14ac:dyDescent="0.3">
      <c r="A88" s="101" t="s">
        <v>303</v>
      </c>
      <c r="B88" s="1" t="s">
        <v>304</v>
      </c>
      <c r="C88" s="1"/>
    </row>
    <row r="89" spans="1:3" ht="15.75" customHeight="1" x14ac:dyDescent="0.3">
      <c r="A89" s="101" t="s">
        <v>305</v>
      </c>
      <c r="B89" s="1" t="s">
        <v>306</v>
      </c>
      <c r="C89" s="1"/>
    </row>
    <row r="90" spans="1:3" ht="30" customHeight="1" x14ac:dyDescent="0.3">
      <c r="A90" s="101" t="s">
        <v>307</v>
      </c>
      <c r="B90" s="1" t="s">
        <v>308</v>
      </c>
      <c r="C90" s="1"/>
    </row>
    <row r="91" spans="1:3" ht="30" customHeight="1" x14ac:dyDescent="0.3">
      <c r="A91" s="101" t="s">
        <v>309</v>
      </c>
      <c r="B91" s="1" t="s">
        <v>310</v>
      </c>
      <c r="C91" s="1"/>
    </row>
    <row r="92" spans="1:3" ht="30" customHeight="1" x14ac:dyDescent="0.3">
      <c r="A92" s="101" t="s">
        <v>311</v>
      </c>
      <c r="B92" s="1" t="s">
        <v>312</v>
      </c>
      <c r="C92" s="1"/>
    </row>
    <row r="93" spans="1:3" ht="30" customHeight="1" x14ac:dyDescent="0.3">
      <c r="A93" s="101" t="s">
        <v>159</v>
      </c>
      <c r="B93" s="1" t="s">
        <v>313</v>
      </c>
      <c r="C93" s="1"/>
    </row>
    <row r="94" spans="1:3" ht="30" customHeight="1" x14ac:dyDescent="0.3">
      <c r="A94" s="101" t="s">
        <v>314</v>
      </c>
      <c r="B94" s="1" t="s">
        <v>315</v>
      </c>
      <c r="C94" s="1"/>
    </row>
    <row r="95" spans="1:3" ht="30" customHeight="1" x14ac:dyDescent="0.3">
      <c r="A95" s="101" t="s">
        <v>316</v>
      </c>
      <c r="B95" s="1" t="s">
        <v>317</v>
      </c>
      <c r="C95" s="1"/>
    </row>
    <row r="96" spans="1:3" ht="30" customHeight="1" x14ac:dyDescent="0.3">
      <c r="A96" s="101" t="s">
        <v>318</v>
      </c>
      <c r="B96" s="1" t="s">
        <v>319</v>
      </c>
      <c r="C96" s="1"/>
    </row>
    <row r="98" spans="1:3" ht="15.6" x14ac:dyDescent="0.3">
      <c r="A98" s="20" t="s">
        <v>320</v>
      </c>
    </row>
    <row r="99" spans="1:3" ht="15" customHeight="1" x14ac:dyDescent="0.3">
      <c r="A99" s="8" t="s">
        <v>166</v>
      </c>
      <c r="B99" s="2" t="s">
        <v>321</v>
      </c>
      <c r="C99" s="2"/>
    </row>
    <row r="100" spans="1:3" ht="15.75" customHeight="1" x14ac:dyDescent="0.3">
      <c r="A100" s="101" t="s">
        <v>322</v>
      </c>
      <c r="B100" s="1" t="s">
        <v>323</v>
      </c>
      <c r="C100" s="1"/>
    </row>
    <row r="101" spans="1:3" ht="15.75" customHeight="1" x14ac:dyDescent="0.3">
      <c r="A101" s="101" t="s">
        <v>324</v>
      </c>
      <c r="B101" s="1" t="s">
        <v>325</v>
      </c>
      <c r="C101" s="1"/>
    </row>
    <row r="102" spans="1:3" ht="15.75" customHeight="1" x14ac:dyDescent="0.3">
      <c r="A102" s="101" t="s">
        <v>326</v>
      </c>
      <c r="B102" s="1" t="s">
        <v>327</v>
      </c>
      <c r="C102" s="1"/>
    </row>
    <row r="103" spans="1:3" ht="30" customHeight="1" x14ac:dyDescent="0.3">
      <c r="A103" s="101" t="s">
        <v>328</v>
      </c>
      <c r="B103" s="1" t="s">
        <v>329</v>
      </c>
      <c r="C103" s="1"/>
    </row>
    <row r="104" spans="1:3" ht="15.75" customHeight="1" x14ac:dyDescent="0.3">
      <c r="A104" s="101" t="s">
        <v>330</v>
      </c>
      <c r="B104" s="1" t="s">
        <v>331</v>
      </c>
      <c r="C104" s="1"/>
    </row>
    <row r="106" spans="1:3" ht="15.6" x14ac:dyDescent="0.3">
      <c r="A106" s="20" t="s">
        <v>332</v>
      </c>
    </row>
    <row r="107" spans="1:3" ht="15" customHeight="1" x14ac:dyDescent="0.3">
      <c r="A107" s="8" t="s">
        <v>166</v>
      </c>
      <c r="B107" s="2" t="s">
        <v>333</v>
      </c>
      <c r="C107" s="2"/>
    </row>
    <row r="108" spans="1:3" ht="30" customHeight="1" x14ac:dyDescent="0.3">
      <c r="A108" s="101" t="s">
        <v>334</v>
      </c>
      <c r="B108" s="1" t="s">
        <v>335</v>
      </c>
      <c r="C108" s="1"/>
    </row>
    <row r="109" spans="1:3" ht="15.75" customHeight="1" x14ac:dyDescent="0.3">
      <c r="A109" s="101" t="s">
        <v>336</v>
      </c>
      <c r="B109" s="1" t="s">
        <v>337</v>
      </c>
      <c r="C109" s="1"/>
    </row>
    <row r="110" spans="1:3" ht="15.75" customHeight="1" x14ac:dyDescent="0.3">
      <c r="A110" s="101" t="s">
        <v>143</v>
      </c>
      <c r="B110" s="1" t="s">
        <v>338</v>
      </c>
      <c r="C110" s="1"/>
    </row>
    <row r="111" spans="1:3" ht="30" customHeight="1" x14ac:dyDescent="0.3">
      <c r="A111" s="101" t="s">
        <v>339</v>
      </c>
      <c r="B111" s="1" t="s">
        <v>340</v>
      </c>
      <c r="C111" s="1"/>
    </row>
    <row r="112" spans="1:3" ht="30" customHeight="1" x14ac:dyDescent="0.3">
      <c r="A112" s="101" t="s">
        <v>341</v>
      </c>
      <c r="B112" s="1" t="s">
        <v>342</v>
      </c>
      <c r="C112" s="1"/>
    </row>
  </sheetData>
  <mergeCells count="53">
    <mergeCell ref="B110:C110"/>
    <mergeCell ref="B111:C111"/>
    <mergeCell ref="B112:C112"/>
    <mergeCell ref="B103:C103"/>
    <mergeCell ref="B104:C104"/>
    <mergeCell ref="B107:C107"/>
    <mergeCell ref="B108:C108"/>
    <mergeCell ref="B109:C109"/>
    <mergeCell ref="B96:C96"/>
    <mergeCell ref="B99:C99"/>
    <mergeCell ref="B100:C100"/>
    <mergeCell ref="B101:C101"/>
    <mergeCell ref="B102:C102"/>
    <mergeCell ref="B91:C91"/>
    <mergeCell ref="B92:C92"/>
    <mergeCell ref="B93:C93"/>
    <mergeCell ref="B94:C94"/>
    <mergeCell ref="B95:C95"/>
    <mergeCell ref="B84:C84"/>
    <mergeCell ref="B87:C87"/>
    <mergeCell ref="B88:C88"/>
    <mergeCell ref="B89:C89"/>
    <mergeCell ref="B90:C90"/>
    <mergeCell ref="B79:C79"/>
    <mergeCell ref="B80:C80"/>
    <mergeCell ref="B81:C81"/>
    <mergeCell ref="B82:C82"/>
    <mergeCell ref="B83:C83"/>
    <mergeCell ref="B58:C58"/>
    <mergeCell ref="B59:C59"/>
    <mergeCell ref="B60:C60"/>
    <mergeCell ref="B61:C61"/>
    <mergeCell ref="B78:C78"/>
    <mergeCell ref="B51:C51"/>
    <mergeCell ref="B52:C52"/>
    <mergeCell ref="B55:C55"/>
    <mergeCell ref="B56:C56"/>
    <mergeCell ref="B57:C57"/>
    <mergeCell ref="B46:C46"/>
    <mergeCell ref="B47:C47"/>
    <mergeCell ref="B48:C48"/>
    <mergeCell ref="B49:C49"/>
    <mergeCell ref="B50:C50"/>
    <mergeCell ref="B12:C12"/>
    <mergeCell ref="B13:C13"/>
    <mergeCell ref="B14:C14"/>
    <mergeCell ref="B15:C15"/>
    <mergeCell ref="B45:C45"/>
    <mergeCell ref="B5:C5"/>
    <mergeCell ref="B6:C6"/>
    <mergeCell ref="B7:C7"/>
    <mergeCell ref="B8:C8"/>
    <mergeCell ref="B9:C9"/>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1_Raw_Data</vt:lpstr>
      <vt:lpstr>2_Clean_Data</vt:lpstr>
      <vt:lpstr>2_Cleaning_Log</vt:lpstr>
      <vt:lpstr>3_Pivot_Tables</vt:lpstr>
      <vt:lpstr>3_Summary_Tables</vt:lpstr>
      <vt:lpstr>4_Formulas</vt:lpstr>
      <vt:lpstr>5_Visualization</vt:lpstr>
      <vt:lpstr>6_Dashboard</vt:lpstr>
      <vt:lpstr>7_Documentation</vt:lpstr>
      <vt:lpstr>'6_Dashboard'!Print_Area</vt:lpstr>
      <vt:lpstr>selAhi</vt:lpstr>
      <vt:lpstr>selAlo</vt:lpstr>
      <vt:lpstr>selQmax</vt:lpstr>
      <vt:lpstr>selQmin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kishal Gosai</cp:lastModifiedBy>
  <cp:revision>1</cp:revision>
  <dcterms:created xsi:type="dcterms:W3CDTF">2026-10-18T07:04:36Z</dcterms:created>
  <dcterms:modified xsi:type="dcterms:W3CDTF">2026-10-18T07:11:38Z</dcterms:modified>
  <dc:language>en-US</dc:language>
</cp:coreProperties>
</file>